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ranpakcorp-my.sharepoint.com/personal/methorst_erwin_ranpak_com/Documents/David/EPR/EPR tool/"/>
    </mc:Choice>
  </mc:AlternateContent>
  <xr:revisionPtr revIDLastSave="0" documentId="14_{F9716569-E4C0-43B7-B804-74712BC98560}" xr6:coauthVersionLast="47" xr6:coauthVersionMax="47" xr10:uidLastSave="{00000000-0000-0000-0000-000000000000}"/>
  <bookViews>
    <workbookView xWindow="-120" yWindow="-120" windowWidth="29040" windowHeight="17520" xr2:uid="{00000000-000D-0000-FFFF-FFFF00000000}"/>
  </bookViews>
  <sheets>
    <sheet name="Single input " sheetId="9" r:id="rId1"/>
    <sheet name="Batch input" sheetId="20" r:id="rId2"/>
    <sheet name="Batch details" sheetId="19" r:id="rId3"/>
    <sheet name="Data" sheetId="1" state="hidden" r:id="rId4"/>
    <sheet name="LookUp Roll&amp;Packs" sheetId="3" state="hidden" r:id="rId5"/>
    <sheet name="LookUp Gelpacks" sheetId="7" state="hidden" r:id="rId6"/>
    <sheet name="LookUp ExBox" sheetId="8" state="hidden" r:id="rId7"/>
  </sheets>
  <definedNames>
    <definedName name="_xlnm._FilterDatabase" localSheetId="3" hidden="1">Data!$B$2:$JD$136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2" i="19" l="1"/>
  <c r="G152" i="19" s="1"/>
  <c r="B152" i="19"/>
  <c r="D152" i="19"/>
  <c r="E152" i="19"/>
  <c r="F152" i="19"/>
  <c r="H152" i="19"/>
  <c r="J152" i="19"/>
  <c r="K152" i="19"/>
  <c r="Q152" i="19" s="1"/>
  <c r="L152" i="19"/>
  <c r="R152" i="19" s="1"/>
  <c r="M152" i="19"/>
  <c r="A153" i="19"/>
  <c r="E153" i="19" s="1"/>
  <c r="B153" i="19"/>
  <c r="A154" i="19"/>
  <c r="I154" i="19" s="1"/>
  <c r="N154" i="19" s="1"/>
  <c r="B154" i="19"/>
  <c r="E154" i="19"/>
  <c r="F154" i="19"/>
  <c r="H154" i="19"/>
  <c r="J154" i="19"/>
  <c r="L154" i="19"/>
  <c r="R154" i="19" s="1"/>
  <c r="M154" i="19"/>
  <c r="A155" i="19"/>
  <c r="B155" i="19"/>
  <c r="M155" i="19"/>
  <c r="A156" i="19"/>
  <c r="B156" i="19"/>
  <c r="A157" i="19"/>
  <c r="J157" i="19" s="1"/>
  <c r="B157" i="19"/>
  <c r="A158" i="19"/>
  <c r="E158" i="19" s="1"/>
  <c r="B158" i="19"/>
  <c r="A159" i="19"/>
  <c r="B159" i="19"/>
  <c r="A160" i="19"/>
  <c r="I160" i="19" s="1"/>
  <c r="N160" i="19" s="1"/>
  <c r="B160" i="19"/>
  <c r="D160" i="19"/>
  <c r="E160" i="19"/>
  <c r="F160" i="19"/>
  <c r="H160" i="19"/>
  <c r="J160" i="19"/>
  <c r="K160" i="19"/>
  <c r="Q160" i="19" s="1"/>
  <c r="A161" i="19"/>
  <c r="J161" i="19" s="1"/>
  <c r="B161" i="19"/>
  <c r="A162" i="19"/>
  <c r="I162" i="19" s="1"/>
  <c r="N162" i="19" s="1"/>
  <c r="B162" i="19"/>
  <c r="C162" i="19"/>
  <c r="K162" i="19"/>
  <c r="Q162" i="19" s="1"/>
  <c r="A163" i="19"/>
  <c r="B163" i="19"/>
  <c r="A164" i="19"/>
  <c r="C164" i="19" s="1"/>
  <c r="B164" i="19"/>
  <c r="A165" i="19"/>
  <c r="D165" i="19" s="1"/>
  <c r="B165" i="19"/>
  <c r="A166" i="19"/>
  <c r="D166" i="19" s="1"/>
  <c r="B166" i="19"/>
  <c r="A167" i="19"/>
  <c r="I167" i="19" s="1"/>
  <c r="N167" i="19" s="1"/>
  <c r="B167" i="19"/>
  <c r="D167" i="19"/>
  <c r="M167" i="19"/>
  <c r="A168" i="19"/>
  <c r="C168" i="19" s="1"/>
  <c r="B168" i="19"/>
  <c r="A169" i="19"/>
  <c r="D169" i="19" s="1"/>
  <c r="B169" i="19"/>
  <c r="J169" i="19"/>
  <c r="A170" i="19"/>
  <c r="C170" i="19" s="1"/>
  <c r="B170" i="19"/>
  <c r="H170" i="19"/>
  <c r="L170" i="19"/>
  <c r="R170" i="19" s="1"/>
  <c r="X170" i="19" s="1"/>
  <c r="A171" i="19"/>
  <c r="F171" i="19" s="1"/>
  <c r="B171" i="19"/>
  <c r="I171" i="19"/>
  <c r="N171" i="19" s="1"/>
  <c r="A172" i="19"/>
  <c r="D172" i="19" s="1"/>
  <c r="B172" i="19"/>
  <c r="A173" i="19"/>
  <c r="C173" i="19" s="1"/>
  <c r="B173" i="19"/>
  <c r="I173" i="19"/>
  <c r="N173" i="19" s="1"/>
  <c r="T173" i="19" s="1"/>
  <c r="A174" i="19"/>
  <c r="B174" i="19"/>
  <c r="A175" i="19"/>
  <c r="B175" i="19"/>
  <c r="A176" i="19"/>
  <c r="J176" i="19" s="1"/>
  <c r="B176" i="19"/>
  <c r="C176" i="19"/>
  <c r="K176" i="19"/>
  <c r="Q176" i="19" s="1"/>
  <c r="L176" i="19"/>
  <c r="R176" i="19" s="1"/>
  <c r="A177" i="19"/>
  <c r="K177" i="19" s="1"/>
  <c r="Q177" i="19" s="1"/>
  <c r="B177" i="19"/>
  <c r="A178" i="19"/>
  <c r="B178" i="19"/>
  <c r="A179" i="19"/>
  <c r="B179" i="19"/>
  <c r="M179" i="19"/>
  <c r="A180" i="19"/>
  <c r="B180" i="19"/>
  <c r="I180" i="19"/>
  <c r="N180" i="19" s="1"/>
  <c r="J180" i="19"/>
  <c r="A181" i="19"/>
  <c r="E181" i="19" s="1"/>
  <c r="B181" i="19"/>
  <c r="A182" i="19"/>
  <c r="C182" i="19" s="1"/>
  <c r="B182" i="19"/>
  <c r="A183" i="19"/>
  <c r="K183" i="19" s="1"/>
  <c r="Q183" i="19" s="1"/>
  <c r="B183" i="19"/>
  <c r="C183" i="19"/>
  <c r="F183" i="19"/>
  <c r="H183" i="19"/>
  <c r="I183" i="19"/>
  <c r="N183" i="19" s="1"/>
  <c r="A184" i="19"/>
  <c r="B184" i="19"/>
  <c r="K184" i="19"/>
  <c r="Q184" i="19" s="1"/>
  <c r="A185" i="19"/>
  <c r="H185" i="19" s="1"/>
  <c r="B185" i="19"/>
  <c r="A186" i="19"/>
  <c r="B186" i="19"/>
  <c r="I186" i="19"/>
  <c r="N186" i="19" s="1"/>
  <c r="A187" i="19"/>
  <c r="C187" i="19" s="1"/>
  <c r="B187" i="19"/>
  <c r="A188" i="19"/>
  <c r="B188" i="19"/>
  <c r="C188" i="19"/>
  <c r="A189" i="19"/>
  <c r="B189" i="19"/>
  <c r="A190" i="19"/>
  <c r="G190" i="19" s="1"/>
  <c r="B190" i="19"/>
  <c r="L190" i="19"/>
  <c r="R190" i="19" s="1"/>
  <c r="M190" i="19"/>
  <c r="A191" i="19"/>
  <c r="M191" i="19" s="1"/>
  <c r="B191" i="19"/>
  <c r="A192" i="19"/>
  <c r="B192" i="19"/>
  <c r="A193" i="19"/>
  <c r="B193" i="19"/>
  <c r="E193" i="19"/>
  <c r="A194" i="19"/>
  <c r="J194" i="19" s="1"/>
  <c r="B194" i="19"/>
  <c r="A195" i="19"/>
  <c r="E195" i="19" s="1"/>
  <c r="B195" i="19"/>
  <c r="G195" i="19"/>
  <c r="A196" i="19"/>
  <c r="B196" i="19"/>
  <c r="A197" i="19"/>
  <c r="B197" i="19"/>
  <c r="A198" i="19"/>
  <c r="B198" i="19"/>
  <c r="A199" i="19"/>
  <c r="J199" i="19" s="1"/>
  <c r="B199" i="19"/>
  <c r="A200" i="19"/>
  <c r="C200" i="19" s="1"/>
  <c r="B200" i="19"/>
  <c r="I200" i="19"/>
  <c r="N200" i="19" s="1"/>
  <c r="T200" i="19"/>
  <c r="A201" i="19"/>
  <c r="C201" i="19" s="1"/>
  <c r="B201" i="19"/>
  <c r="A202" i="19"/>
  <c r="B202" i="19"/>
  <c r="F202" i="19"/>
  <c r="I202" i="19"/>
  <c r="N202" i="19" s="1"/>
  <c r="A203" i="19"/>
  <c r="C203" i="19" s="1"/>
  <c r="B203" i="19"/>
  <c r="J203" i="19"/>
  <c r="K203" i="19"/>
  <c r="Q203" i="19" s="1"/>
  <c r="A204" i="19"/>
  <c r="B204" i="19"/>
  <c r="G204" i="19"/>
  <c r="A205" i="19"/>
  <c r="B205" i="19"/>
  <c r="A206" i="19"/>
  <c r="E206" i="19" s="1"/>
  <c r="B206" i="19"/>
  <c r="A207" i="19"/>
  <c r="B207" i="19"/>
  <c r="A208" i="19"/>
  <c r="B208" i="19"/>
  <c r="A209" i="19"/>
  <c r="B209" i="19"/>
  <c r="A210" i="19"/>
  <c r="F210" i="19" s="1"/>
  <c r="B210" i="19"/>
  <c r="A211" i="19"/>
  <c r="K211" i="19" s="1"/>
  <c r="Q211" i="19" s="1"/>
  <c r="B211" i="19"/>
  <c r="A212" i="19"/>
  <c r="B212" i="19"/>
  <c r="A213" i="19"/>
  <c r="B213" i="19"/>
  <c r="A214" i="19"/>
  <c r="F214" i="19" s="1"/>
  <c r="B214" i="19"/>
  <c r="G214" i="19"/>
  <c r="H214" i="19"/>
  <c r="K214" i="19"/>
  <c r="Q214" i="19" s="1"/>
  <c r="L214" i="19"/>
  <c r="R214" i="19" s="1"/>
  <c r="A215" i="19"/>
  <c r="M215" i="19" s="1"/>
  <c r="B215" i="19"/>
  <c r="A216" i="19"/>
  <c r="B216" i="19"/>
  <c r="A217" i="19"/>
  <c r="C217" i="19" s="1"/>
  <c r="B217" i="19"/>
  <c r="D217" i="19"/>
  <c r="L217" i="19"/>
  <c r="R217" i="19" s="1"/>
  <c r="A218" i="19"/>
  <c r="B218" i="19"/>
  <c r="A219" i="19"/>
  <c r="B219" i="19"/>
  <c r="A220" i="19"/>
  <c r="B220" i="19"/>
  <c r="A221" i="19"/>
  <c r="K221" i="19" s="1"/>
  <c r="Q221" i="19" s="1"/>
  <c r="B221" i="19"/>
  <c r="E221" i="19"/>
  <c r="G221" i="19"/>
  <c r="A222" i="19"/>
  <c r="F222" i="19" s="1"/>
  <c r="B222" i="19"/>
  <c r="E222" i="19"/>
  <c r="G222" i="19"/>
  <c r="H222" i="19"/>
  <c r="I222" i="19"/>
  <c r="M222" i="19"/>
  <c r="N222" i="19"/>
  <c r="A223" i="19"/>
  <c r="B223" i="19"/>
  <c r="A224" i="19"/>
  <c r="M224" i="19" s="1"/>
  <c r="B224" i="19"/>
  <c r="A225" i="19"/>
  <c r="B225" i="19"/>
  <c r="A226" i="19"/>
  <c r="B226" i="19"/>
  <c r="A227" i="19"/>
  <c r="B227" i="19"/>
  <c r="A228" i="19"/>
  <c r="J228" i="19" s="1"/>
  <c r="B228" i="19"/>
  <c r="K228" i="19"/>
  <c r="Q228" i="19" s="1"/>
  <c r="W228" i="19" s="1"/>
  <c r="L228" i="19"/>
  <c r="R228" i="19" s="1"/>
  <c r="A229" i="19"/>
  <c r="D229" i="19" s="1"/>
  <c r="B229" i="19"/>
  <c r="E229" i="19"/>
  <c r="F229" i="19"/>
  <c r="J229" i="19"/>
  <c r="L229" i="19"/>
  <c r="R229" i="19" s="1"/>
  <c r="A230" i="19"/>
  <c r="B230" i="19"/>
  <c r="H230" i="19"/>
  <c r="A231" i="19"/>
  <c r="E231" i="19" s="1"/>
  <c r="B231" i="19"/>
  <c r="A232" i="19"/>
  <c r="B232" i="19"/>
  <c r="A233" i="19"/>
  <c r="M233" i="19" s="1"/>
  <c r="B233" i="19"/>
  <c r="A234" i="19"/>
  <c r="B234" i="19"/>
  <c r="A235" i="19"/>
  <c r="B235" i="19"/>
  <c r="M235" i="19"/>
  <c r="A236" i="19"/>
  <c r="F236" i="19" s="1"/>
  <c r="B236" i="19"/>
  <c r="E236" i="19"/>
  <c r="J236" i="19"/>
  <c r="A237" i="19"/>
  <c r="D237" i="19" s="1"/>
  <c r="B237" i="19"/>
  <c r="F237" i="19"/>
  <c r="J237" i="19"/>
  <c r="A238" i="19"/>
  <c r="E238" i="19" s="1"/>
  <c r="B238" i="19"/>
  <c r="D238" i="19"/>
  <c r="F238" i="19"/>
  <c r="G238" i="19"/>
  <c r="H238" i="19"/>
  <c r="I238" i="19"/>
  <c r="N238" i="19" s="1"/>
  <c r="J238" i="19"/>
  <c r="K238" i="19"/>
  <c r="Q238" i="19" s="1"/>
  <c r="L238" i="19"/>
  <c r="R238" i="19" s="1"/>
  <c r="M238" i="19"/>
  <c r="A239" i="19"/>
  <c r="B239" i="19"/>
  <c r="K239" i="19"/>
  <c r="Q239" i="19" s="1"/>
  <c r="A240" i="19"/>
  <c r="B240" i="19"/>
  <c r="I240" i="19"/>
  <c r="N240" i="19" s="1"/>
  <c r="A241" i="19"/>
  <c r="B241" i="19"/>
  <c r="A242" i="19"/>
  <c r="F242" i="19" s="1"/>
  <c r="B242" i="19"/>
  <c r="A243" i="19"/>
  <c r="C243" i="19" s="1"/>
  <c r="B243" i="19"/>
  <c r="A244" i="19"/>
  <c r="C244" i="19" s="1"/>
  <c r="B244" i="19"/>
  <c r="A245" i="19"/>
  <c r="F245" i="19" s="1"/>
  <c r="B245" i="19"/>
  <c r="A246" i="19"/>
  <c r="G246" i="19" s="1"/>
  <c r="B246" i="19"/>
  <c r="A247" i="19"/>
  <c r="B247" i="19"/>
  <c r="A248" i="19"/>
  <c r="H248" i="19" s="1"/>
  <c r="B248" i="19"/>
  <c r="F248" i="19"/>
  <c r="A249" i="19"/>
  <c r="B249" i="19"/>
  <c r="K249" i="19"/>
  <c r="Q249" i="19" s="1"/>
  <c r="A250" i="19"/>
  <c r="C250" i="19" s="1"/>
  <c r="B250" i="19"/>
  <c r="J250" i="19"/>
  <c r="A251" i="19"/>
  <c r="D251" i="19" s="1"/>
  <c r="B251" i="19"/>
  <c r="H251" i="19"/>
  <c r="A252" i="19"/>
  <c r="B252" i="19"/>
  <c r="A253" i="19"/>
  <c r="B253" i="19"/>
  <c r="A254" i="19"/>
  <c r="F254" i="19" s="1"/>
  <c r="B254" i="19"/>
  <c r="A255" i="19"/>
  <c r="B255" i="19"/>
  <c r="A256" i="19"/>
  <c r="E256" i="19" s="1"/>
  <c r="B256" i="19"/>
  <c r="H256" i="19"/>
  <c r="I256" i="19"/>
  <c r="N256" i="19" s="1"/>
  <c r="A257" i="19"/>
  <c r="I257" i="19" s="1"/>
  <c r="N257" i="19" s="1"/>
  <c r="B257" i="19"/>
  <c r="A258" i="19"/>
  <c r="B258" i="19"/>
  <c r="A259" i="19"/>
  <c r="B259" i="19"/>
  <c r="A260" i="19"/>
  <c r="F260" i="19" s="1"/>
  <c r="B260" i="19"/>
  <c r="H260" i="19"/>
  <c r="I260" i="19"/>
  <c r="N260" i="19" s="1"/>
  <c r="J260" i="19"/>
  <c r="K260" i="19"/>
  <c r="Q260" i="19" s="1"/>
  <c r="A261" i="19"/>
  <c r="B261" i="19"/>
  <c r="A262" i="19"/>
  <c r="B262" i="19"/>
  <c r="A263" i="19"/>
  <c r="K263" i="19" s="1"/>
  <c r="Q263" i="19" s="1"/>
  <c r="W263" i="19" s="1"/>
  <c r="B263" i="19"/>
  <c r="A264" i="19"/>
  <c r="B264" i="19"/>
  <c r="A265" i="19"/>
  <c r="E265" i="19" s="1"/>
  <c r="B265" i="19"/>
  <c r="A266" i="19"/>
  <c r="B266" i="19"/>
  <c r="A267" i="19"/>
  <c r="B267" i="19"/>
  <c r="A268" i="19"/>
  <c r="B268" i="19"/>
  <c r="A269" i="19"/>
  <c r="I269" i="19" s="1"/>
  <c r="N269" i="19" s="1"/>
  <c r="B269" i="19"/>
  <c r="A270" i="19"/>
  <c r="F270" i="19" s="1"/>
  <c r="B270" i="19"/>
  <c r="A271" i="19"/>
  <c r="B271" i="19"/>
  <c r="E271" i="19"/>
  <c r="A272" i="19"/>
  <c r="M272" i="19" s="1"/>
  <c r="B272" i="19"/>
  <c r="A273" i="19"/>
  <c r="C273" i="19" s="1"/>
  <c r="B273" i="19"/>
  <c r="A274" i="19"/>
  <c r="G274" i="19" s="1"/>
  <c r="B274" i="19"/>
  <c r="I274" i="19"/>
  <c r="N274" i="19" s="1"/>
  <c r="J274" i="19"/>
  <c r="A275" i="19"/>
  <c r="B275" i="19"/>
  <c r="A276" i="19"/>
  <c r="C276" i="19" s="1"/>
  <c r="B276" i="19"/>
  <c r="D276" i="19"/>
  <c r="A277" i="19"/>
  <c r="I277" i="19" s="1"/>
  <c r="N277" i="19" s="1"/>
  <c r="B277" i="19"/>
  <c r="A278" i="19"/>
  <c r="B278" i="19"/>
  <c r="I278" i="19"/>
  <c r="N278" i="19" s="1"/>
  <c r="A279" i="19"/>
  <c r="E279" i="19" s="1"/>
  <c r="B279" i="19"/>
  <c r="F279" i="19"/>
  <c r="H279" i="19"/>
  <c r="I279" i="19"/>
  <c r="N279" i="19" s="1"/>
  <c r="T279" i="19" s="1"/>
  <c r="A280" i="19"/>
  <c r="I280" i="19" s="1"/>
  <c r="N280" i="19" s="1"/>
  <c r="B280" i="19"/>
  <c r="A281" i="19"/>
  <c r="M281" i="19" s="1"/>
  <c r="B281" i="19"/>
  <c r="J281" i="19"/>
  <c r="K281" i="19"/>
  <c r="Q281" i="19" s="1"/>
  <c r="L281" i="19"/>
  <c r="R281" i="19" s="1"/>
  <c r="A282" i="19"/>
  <c r="B282" i="19"/>
  <c r="A283" i="19"/>
  <c r="L283" i="19" s="1"/>
  <c r="R283" i="19" s="1"/>
  <c r="B283" i="19"/>
  <c r="J283" i="19"/>
  <c r="K283" i="19"/>
  <c r="Q283" i="19" s="1"/>
  <c r="M283" i="19"/>
  <c r="A284" i="19"/>
  <c r="G284" i="19" s="1"/>
  <c r="B284" i="19"/>
  <c r="I284" i="19"/>
  <c r="N284" i="19" s="1"/>
  <c r="M284" i="19"/>
  <c r="A285" i="19"/>
  <c r="B285" i="19"/>
  <c r="A286" i="19"/>
  <c r="B286" i="19"/>
  <c r="A287" i="19"/>
  <c r="B287" i="19"/>
  <c r="E287" i="19"/>
  <c r="A288" i="19"/>
  <c r="B288" i="19"/>
  <c r="A289" i="19"/>
  <c r="H289" i="19" s="1"/>
  <c r="B289" i="19"/>
  <c r="A290" i="19"/>
  <c r="K290" i="19" s="1"/>
  <c r="Q290" i="19" s="1"/>
  <c r="B290" i="19"/>
  <c r="A291" i="19"/>
  <c r="B291" i="19"/>
  <c r="A292" i="19"/>
  <c r="C292" i="19" s="1"/>
  <c r="B292" i="19"/>
  <c r="A293" i="19"/>
  <c r="E293" i="19" s="1"/>
  <c r="B293" i="19"/>
  <c r="A294" i="19"/>
  <c r="E294" i="19" s="1"/>
  <c r="B294" i="19"/>
  <c r="A295" i="19"/>
  <c r="B295" i="19"/>
  <c r="A296" i="19"/>
  <c r="C296" i="19" s="1"/>
  <c r="B296" i="19"/>
  <c r="H296" i="19"/>
  <c r="M296" i="19"/>
  <c r="A297" i="19"/>
  <c r="G297" i="19" s="1"/>
  <c r="B297" i="19"/>
  <c r="C297" i="19"/>
  <c r="D297" i="19"/>
  <c r="E297" i="19"/>
  <c r="A298" i="19"/>
  <c r="C298" i="19" s="1"/>
  <c r="B298" i="19"/>
  <c r="A299" i="19"/>
  <c r="C299" i="19" s="1"/>
  <c r="B299" i="19"/>
  <c r="M299" i="19"/>
  <c r="A300" i="19"/>
  <c r="F300" i="19" s="1"/>
  <c r="B300" i="19"/>
  <c r="A301" i="19"/>
  <c r="D301" i="19" s="1"/>
  <c r="B301" i="19"/>
  <c r="A302" i="19"/>
  <c r="C302" i="19" s="1"/>
  <c r="B302" i="19"/>
  <c r="G302" i="19"/>
  <c r="H302" i="19"/>
  <c r="J302" i="19"/>
  <c r="K302" i="19"/>
  <c r="Q302" i="19" s="1"/>
  <c r="L302" i="19"/>
  <c r="R302" i="19" s="1"/>
  <c r="M302" i="19"/>
  <c r="A303" i="19"/>
  <c r="D303" i="19" s="1"/>
  <c r="B303" i="19"/>
  <c r="A304" i="19"/>
  <c r="I304" i="19" s="1"/>
  <c r="N304" i="19" s="1"/>
  <c r="B304" i="19"/>
  <c r="E304" i="19"/>
  <c r="A305" i="19"/>
  <c r="B305" i="19"/>
  <c r="G305" i="19"/>
  <c r="H305" i="19"/>
  <c r="A306" i="19"/>
  <c r="I306" i="19" s="1"/>
  <c r="N306" i="19" s="1"/>
  <c r="B306" i="19"/>
  <c r="C306" i="19"/>
  <c r="A307" i="19"/>
  <c r="B307" i="19"/>
  <c r="A308" i="19"/>
  <c r="B308" i="19"/>
  <c r="L308" i="19"/>
  <c r="R308" i="19" s="1"/>
  <c r="A309" i="19"/>
  <c r="C309" i="19" s="1"/>
  <c r="B309" i="19"/>
  <c r="H309" i="19"/>
  <c r="M309" i="19"/>
  <c r="A310" i="19"/>
  <c r="C310" i="19" s="1"/>
  <c r="B310" i="19"/>
  <c r="A311" i="19"/>
  <c r="B311" i="19"/>
  <c r="A312" i="19"/>
  <c r="C312" i="19" s="1"/>
  <c r="B312" i="19"/>
  <c r="D312" i="19"/>
  <c r="A313" i="19"/>
  <c r="F313" i="19" s="1"/>
  <c r="B313" i="19"/>
  <c r="I313" i="19"/>
  <c r="N313" i="19" s="1"/>
  <c r="J313" i="19"/>
  <c r="A314" i="19"/>
  <c r="B314" i="19"/>
  <c r="A315" i="19"/>
  <c r="H315" i="19" s="1"/>
  <c r="B315" i="19"/>
  <c r="A316" i="19"/>
  <c r="M316" i="19" s="1"/>
  <c r="B316" i="19"/>
  <c r="E316" i="19"/>
  <c r="H316" i="19"/>
  <c r="A317" i="19"/>
  <c r="B317" i="19"/>
  <c r="A318" i="19"/>
  <c r="C318" i="19" s="1"/>
  <c r="B318" i="19"/>
  <c r="E318" i="19"/>
  <c r="G318" i="19"/>
  <c r="K318" i="19"/>
  <c r="Q318" i="19" s="1"/>
  <c r="M318" i="19"/>
  <c r="A319" i="19"/>
  <c r="B319" i="19"/>
  <c r="A320" i="19"/>
  <c r="B320" i="19"/>
  <c r="A321" i="19"/>
  <c r="C321" i="19" s="1"/>
  <c r="B321" i="19"/>
  <c r="F321" i="19"/>
  <c r="G321" i="19"/>
  <c r="H321" i="19"/>
  <c r="M321" i="19"/>
  <c r="A322" i="19"/>
  <c r="F322" i="19" s="1"/>
  <c r="B322" i="19"/>
  <c r="A323" i="19"/>
  <c r="M323" i="19" s="1"/>
  <c r="B323" i="19"/>
  <c r="A324" i="19"/>
  <c r="C324" i="19" s="1"/>
  <c r="B324" i="19"/>
  <c r="A325" i="19"/>
  <c r="D325" i="19" s="1"/>
  <c r="B325" i="19"/>
  <c r="A326" i="19"/>
  <c r="C326" i="19" s="1"/>
  <c r="B326" i="19"/>
  <c r="A327" i="19"/>
  <c r="B327" i="19"/>
  <c r="G327" i="19"/>
  <c r="A328" i="19"/>
  <c r="B328" i="19"/>
  <c r="A329" i="19"/>
  <c r="B329" i="19"/>
  <c r="D329" i="19"/>
  <c r="E329" i="19"/>
  <c r="M329" i="19"/>
  <c r="A330" i="19"/>
  <c r="B330" i="19"/>
  <c r="A331" i="19"/>
  <c r="B331" i="19"/>
  <c r="F331" i="19"/>
  <c r="A332" i="19"/>
  <c r="H332" i="19" s="1"/>
  <c r="B332" i="19"/>
  <c r="C332" i="19"/>
  <c r="G332" i="19"/>
  <c r="I332" i="19"/>
  <c r="N332" i="19" s="1"/>
  <c r="J332" i="19"/>
  <c r="L332" i="19"/>
  <c r="R332" i="19" s="1"/>
  <c r="A333" i="19"/>
  <c r="H333" i="19" s="1"/>
  <c r="B333" i="19"/>
  <c r="A334" i="19"/>
  <c r="H334" i="19" s="1"/>
  <c r="B334" i="19"/>
  <c r="A335" i="19"/>
  <c r="D335" i="19" s="1"/>
  <c r="B335" i="19"/>
  <c r="A336" i="19"/>
  <c r="D336" i="19" s="1"/>
  <c r="B336" i="19"/>
  <c r="F336" i="19"/>
  <c r="A337" i="19"/>
  <c r="B337" i="19"/>
  <c r="A338" i="19"/>
  <c r="B338" i="19"/>
  <c r="A339" i="19"/>
  <c r="C339" i="19" s="1"/>
  <c r="B339" i="19"/>
  <c r="A340" i="19"/>
  <c r="B340" i="19"/>
  <c r="A341" i="19"/>
  <c r="E341" i="19" s="1"/>
  <c r="B341" i="19"/>
  <c r="A342" i="19"/>
  <c r="B342" i="19"/>
  <c r="G342" i="19"/>
  <c r="A343" i="19"/>
  <c r="B343" i="19"/>
  <c r="A344" i="19"/>
  <c r="C344" i="19" s="1"/>
  <c r="B344" i="19"/>
  <c r="H344" i="19"/>
  <c r="A345" i="19"/>
  <c r="B345" i="19"/>
  <c r="A346" i="19"/>
  <c r="H346" i="19" s="1"/>
  <c r="B346" i="19"/>
  <c r="A347" i="19"/>
  <c r="G347" i="19" s="1"/>
  <c r="B347" i="19"/>
  <c r="M347" i="19"/>
  <c r="A348" i="19"/>
  <c r="C348" i="19" s="1"/>
  <c r="B348" i="19"/>
  <c r="L348" i="19"/>
  <c r="R348" i="19" s="1"/>
  <c r="A349" i="19"/>
  <c r="B349" i="19"/>
  <c r="A350" i="19"/>
  <c r="B350" i="19"/>
  <c r="K350" i="19"/>
  <c r="Q350" i="19" s="1"/>
  <c r="A351" i="19"/>
  <c r="B351" i="19"/>
  <c r="A352" i="19"/>
  <c r="C352" i="19" s="1"/>
  <c r="B352" i="19"/>
  <c r="E352" i="19"/>
  <c r="H352" i="19"/>
  <c r="A353" i="19"/>
  <c r="B353" i="19"/>
  <c r="A354" i="19"/>
  <c r="B354" i="19"/>
  <c r="A355" i="19"/>
  <c r="B355" i="19"/>
  <c r="A356" i="19"/>
  <c r="F356" i="19" s="1"/>
  <c r="B356" i="19"/>
  <c r="C356" i="19"/>
  <c r="H356" i="19"/>
  <c r="I356" i="19"/>
  <c r="N356" i="19" s="1"/>
  <c r="J356" i="19"/>
  <c r="A357" i="19"/>
  <c r="I357" i="19" s="1"/>
  <c r="B357" i="19"/>
  <c r="F357" i="19"/>
  <c r="G357" i="19"/>
  <c r="J357" i="19"/>
  <c r="K357" i="19"/>
  <c r="Q357" i="19" s="1"/>
  <c r="W357" i="19" s="1"/>
  <c r="L357" i="19"/>
  <c r="R357" i="19" s="1"/>
  <c r="X357" i="19" s="1"/>
  <c r="M357" i="19"/>
  <c r="N357" i="19"/>
  <c r="A358" i="19"/>
  <c r="B358" i="19"/>
  <c r="A359" i="19"/>
  <c r="B359" i="19"/>
  <c r="A360" i="19"/>
  <c r="E360" i="19" s="1"/>
  <c r="B360" i="19"/>
  <c r="A361" i="19"/>
  <c r="D361" i="19" s="1"/>
  <c r="B361" i="19"/>
  <c r="A362" i="19"/>
  <c r="C362" i="19" s="1"/>
  <c r="B362" i="19"/>
  <c r="A363" i="19"/>
  <c r="C363" i="19" s="1"/>
  <c r="B363" i="19"/>
  <c r="A364" i="19"/>
  <c r="B364" i="19"/>
  <c r="A365" i="19"/>
  <c r="B365" i="19"/>
  <c r="A366" i="19"/>
  <c r="K366" i="19" s="1"/>
  <c r="Q366" i="19" s="1"/>
  <c r="B366" i="19"/>
  <c r="I366" i="19"/>
  <c r="N366" i="19" s="1"/>
  <c r="J366" i="19"/>
  <c r="A367" i="19"/>
  <c r="D367" i="19" s="1"/>
  <c r="B367" i="19"/>
  <c r="A368" i="19"/>
  <c r="B368" i="19"/>
  <c r="A369" i="19"/>
  <c r="F369" i="19" s="1"/>
  <c r="B369" i="19"/>
  <c r="A370" i="19"/>
  <c r="K370" i="19" s="1"/>
  <c r="Q370" i="19" s="1"/>
  <c r="B370" i="19"/>
  <c r="D370" i="19"/>
  <c r="G370" i="19"/>
  <c r="M370" i="19"/>
  <c r="A371" i="19"/>
  <c r="B371" i="19"/>
  <c r="D371" i="19"/>
  <c r="A372" i="19"/>
  <c r="I372" i="19" s="1"/>
  <c r="N372" i="19" s="1"/>
  <c r="T372" i="19" s="1"/>
  <c r="B372" i="19"/>
  <c r="A373" i="19"/>
  <c r="D373" i="19" s="1"/>
  <c r="B373" i="19"/>
  <c r="A374" i="19"/>
  <c r="B374" i="19"/>
  <c r="A375" i="19"/>
  <c r="B375" i="19"/>
  <c r="I375" i="19"/>
  <c r="N375" i="19" s="1"/>
  <c r="A376" i="19"/>
  <c r="J376" i="19" s="1"/>
  <c r="B376" i="19"/>
  <c r="M376" i="19"/>
  <c r="A377" i="19"/>
  <c r="D377" i="19" s="1"/>
  <c r="B377" i="19"/>
  <c r="A378" i="19"/>
  <c r="K378" i="19" s="1"/>
  <c r="Q378" i="19" s="1"/>
  <c r="B378" i="19"/>
  <c r="L378" i="19"/>
  <c r="R378" i="19" s="1"/>
  <c r="A379" i="19"/>
  <c r="L379" i="19" s="1"/>
  <c r="R379" i="19" s="1"/>
  <c r="B379" i="19"/>
  <c r="E379" i="19"/>
  <c r="I379" i="19"/>
  <c r="N379" i="19" s="1"/>
  <c r="K379" i="19"/>
  <c r="Q379" i="19" s="1"/>
  <c r="M379" i="19"/>
  <c r="A380" i="19"/>
  <c r="B380" i="19"/>
  <c r="A381" i="19"/>
  <c r="M381" i="19" s="1"/>
  <c r="B381" i="19"/>
  <c r="A382" i="19"/>
  <c r="C382" i="19" s="1"/>
  <c r="B382" i="19"/>
  <c r="A383" i="19"/>
  <c r="F383" i="19" s="1"/>
  <c r="B383" i="19"/>
  <c r="A384" i="19"/>
  <c r="B384" i="19"/>
  <c r="A385" i="19"/>
  <c r="K385" i="19" s="1"/>
  <c r="Q385" i="19" s="1"/>
  <c r="B385" i="19"/>
  <c r="A386" i="19"/>
  <c r="E386" i="19" s="1"/>
  <c r="B386" i="19"/>
  <c r="F386" i="19"/>
  <c r="G386" i="19"/>
  <c r="L386" i="19"/>
  <c r="R386" i="19" s="1"/>
  <c r="A387" i="19"/>
  <c r="B387" i="19"/>
  <c r="A388" i="19"/>
  <c r="B388" i="19"/>
  <c r="A389" i="19"/>
  <c r="D389" i="19" s="1"/>
  <c r="B389" i="19"/>
  <c r="H389" i="19"/>
  <c r="I389" i="19"/>
  <c r="N389" i="19" s="1"/>
  <c r="J389" i="19"/>
  <c r="A390" i="19"/>
  <c r="B390" i="19"/>
  <c r="D390" i="19"/>
  <c r="E390" i="19"/>
  <c r="A391" i="19"/>
  <c r="D391" i="19" s="1"/>
  <c r="B391" i="19"/>
  <c r="A392" i="19"/>
  <c r="K392" i="19" s="1"/>
  <c r="Q392" i="19" s="1"/>
  <c r="B392" i="19"/>
  <c r="C392" i="19"/>
  <c r="D392" i="19"/>
  <c r="E392" i="19"/>
  <c r="F392" i="19"/>
  <c r="G392" i="19"/>
  <c r="I392" i="19"/>
  <c r="N392" i="19" s="1"/>
  <c r="J392" i="19"/>
  <c r="A393" i="19"/>
  <c r="B393" i="19"/>
  <c r="E393" i="19"/>
  <c r="A394" i="19"/>
  <c r="B394" i="19"/>
  <c r="D394" i="19"/>
  <c r="M394" i="19"/>
  <c r="A395" i="19"/>
  <c r="B395" i="19"/>
  <c r="A396" i="19"/>
  <c r="E396" i="19" s="1"/>
  <c r="B396" i="19"/>
  <c r="A397" i="19"/>
  <c r="C397" i="19" s="1"/>
  <c r="B397" i="19"/>
  <c r="H397" i="19"/>
  <c r="A398" i="19"/>
  <c r="C398" i="19" s="1"/>
  <c r="B398" i="19"/>
  <c r="A399" i="19"/>
  <c r="B399" i="19"/>
  <c r="F399" i="19"/>
  <c r="G399" i="19"/>
  <c r="I399" i="19"/>
  <c r="N399" i="19" s="1"/>
  <c r="A400" i="19"/>
  <c r="C400" i="19" s="1"/>
  <c r="B400" i="19"/>
  <c r="A401" i="19"/>
  <c r="F401" i="19" s="1"/>
  <c r="B401" i="19"/>
  <c r="A402" i="19"/>
  <c r="L402" i="19" s="1"/>
  <c r="R402" i="19" s="1"/>
  <c r="B402" i="19"/>
  <c r="D402" i="19"/>
  <c r="E402" i="19"/>
  <c r="F402" i="19"/>
  <c r="K402" i="19"/>
  <c r="Q402" i="19" s="1"/>
  <c r="A403" i="19"/>
  <c r="I403" i="19" s="1"/>
  <c r="N403" i="19" s="1"/>
  <c r="B403" i="19"/>
  <c r="C403" i="19"/>
  <c r="D403" i="19"/>
  <c r="J403" i="19"/>
  <c r="A404" i="19"/>
  <c r="C404" i="19" s="1"/>
  <c r="B404" i="19"/>
  <c r="A405" i="19"/>
  <c r="B405" i="19"/>
  <c r="A406" i="19"/>
  <c r="C406" i="19" s="1"/>
  <c r="B406" i="19"/>
  <c r="F406" i="19"/>
  <c r="A407" i="19"/>
  <c r="B407" i="19"/>
  <c r="A408" i="19"/>
  <c r="B408" i="19"/>
  <c r="D408" i="19"/>
  <c r="A409" i="19"/>
  <c r="B409" i="19"/>
  <c r="A410" i="19"/>
  <c r="B410" i="19"/>
  <c r="A411" i="19"/>
  <c r="C411" i="19" s="1"/>
  <c r="B411" i="19"/>
  <c r="E411" i="19"/>
  <c r="I411" i="19"/>
  <c r="N411" i="19" s="1"/>
  <c r="J411" i="19"/>
  <c r="K411" i="19"/>
  <c r="Q411" i="19" s="1"/>
  <c r="W411" i="19" s="1"/>
  <c r="L411" i="19"/>
  <c r="R411" i="19" s="1"/>
  <c r="X411" i="19" s="1"/>
  <c r="M411" i="19"/>
  <c r="A412" i="19"/>
  <c r="F412" i="19" s="1"/>
  <c r="B412" i="19"/>
  <c r="A413" i="19"/>
  <c r="J413" i="19" s="1"/>
  <c r="B413" i="19"/>
  <c r="C413" i="19"/>
  <c r="E413" i="19"/>
  <c r="A414" i="19"/>
  <c r="B414" i="19"/>
  <c r="K414" i="19"/>
  <c r="Q414" i="19" s="1"/>
  <c r="M414" i="19"/>
  <c r="A415" i="19"/>
  <c r="B415" i="19"/>
  <c r="A416" i="19"/>
  <c r="C416" i="19" s="1"/>
  <c r="B416" i="19"/>
  <c r="A417" i="19"/>
  <c r="B417" i="19"/>
  <c r="E417" i="19"/>
  <c r="F417" i="19"/>
  <c r="A418" i="19"/>
  <c r="E418" i="19" s="1"/>
  <c r="B418" i="19"/>
  <c r="A419" i="19"/>
  <c r="C419" i="19" s="1"/>
  <c r="B419" i="19"/>
  <c r="F419" i="19"/>
  <c r="H419" i="19"/>
  <c r="A420" i="19"/>
  <c r="M420" i="19" s="1"/>
  <c r="B420" i="19"/>
  <c r="A421" i="19"/>
  <c r="C421" i="19" s="1"/>
  <c r="B421" i="19"/>
  <c r="D421" i="19"/>
  <c r="A422" i="19"/>
  <c r="C422" i="19" s="1"/>
  <c r="B422" i="19"/>
  <c r="A423" i="19"/>
  <c r="E423" i="19" s="1"/>
  <c r="B423" i="19"/>
  <c r="A424" i="19"/>
  <c r="D424" i="19" s="1"/>
  <c r="B424" i="19"/>
  <c r="J424" i="19"/>
  <c r="A425" i="19"/>
  <c r="B425" i="19"/>
  <c r="A426" i="19"/>
  <c r="B426" i="19"/>
  <c r="A427" i="19"/>
  <c r="M427" i="19" s="1"/>
  <c r="B427" i="19"/>
  <c r="A428" i="19"/>
  <c r="B428" i="19"/>
  <c r="A105" i="19"/>
  <c r="L105" i="19" s="1"/>
  <c r="R105" i="19" s="1"/>
  <c r="B105" i="19"/>
  <c r="D105" i="19"/>
  <c r="E105" i="19"/>
  <c r="G105" i="19"/>
  <c r="H105" i="19"/>
  <c r="S105" i="19" s="1"/>
  <c r="Y105" i="19" s="1"/>
  <c r="I105" i="19"/>
  <c r="N105" i="19" s="1"/>
  <c r="J105" i="19"/>
  <c r="A106" i="19"/>
  <c r="C106" i="19" s="1"/>
  <c r="B106" i="19"/>
  <c r="A107" i="19"/>
  <c r="B107" i="19"/>
  <c r="A108" i="19"/>
  <c r="B108" i="19"/>
  <c r="C108" i="19"/>
  <c r="A109" i="19"/>
  <c r="D109" i="19" s="1"/>
  <c r="B109" i="19"/>
  <c r="A110" i="19"/>
  <c r="B110" i="19"/>
  <c r="A111" i="19"/>
  <c r="B111" i="19"/>
  <c r="A112" i="19"/>
  <c r="B112" i="19"/>
  <c r="A113" i="19"/>
  <c r="B113" i="19"/>
  <c r="D113" i="19"/>
  <c r="F113" i="19"/>
  <c r="A114" i="19"/>
  <c r="B114" i="19"/>
  <c r="L114" i="19"/>
  <c r="R114" i="19" s="1"/>
  <c r="X114" i="19" s="1"/>
  <c r="M114" i="19"/>
  <c r="A115" i="19"/>
  <c r="B115" i="19"/>
  <c r="A116" i="19"/>
  <c r="B116" i="19"/>
  <c r="C116" i="19"/>
  <c r="A117" i="19"/>
  <c r="B117" i="19"/>
  <c r="A118" i="19"/>
  <c r="L118" i="19" s="1"/>
  <c r="R118" i="19" s="1"/>
  <c r="B118" i="19"/>
  <c r="D118" i="19"/>
  <c r="E118" i="19"/>
  <c r="F118" i="19"/>
  <c r="G118" i="19"/>
  <c r="H118" i="19"/>
  <c r="I118" i="19"/>
  <c r="N118" i="19" s="1"/>
  <c r="J118" i="19"/>
  <c r="A119" i="19"/>
  <c r="B119" i="19"/>
  <c r="A120" i="19"/>
  <c r="B120" i="19"/>
  <c r="A121" i="19"/>
  <c r="K121" i="19" s="1"/>
  <c r="Q121" i="19" s="1"/>
  <c r="B121" i="19"/>
  <c r="F121" i="19"/>
  <c r="A122" i="19"/>
  <c r="B122" i="19"/>
  <c r="A123" i="19"/>
  <c r="C123" i="19" s="1"/>
  <c r="B123" i="19"/>
  <c r="L123" i="19"/>
  <c r="R123" i="19" s="1"/>
  <c r="X123" i="19" s="1"/>
  <c r="A124" i="19"/>
  <c r="M124" i="19" s="1"/>
  <c r="B124" i="19"/>
  <c r="A125" i="19"/>
  <c r="B125" i="19"/>
  <c r="A126" i="19"/>
  <c r="B126" i="19"/>
  <c r="A127" i="19"/>
  <c r="B127" i="19"/>
  <c r="A128" i="19"/>
  <c r="D128" i="19" s="1"/>
  <c r="B128" i="19"/>
  <c r="A129" i="19"/>
  <c r="B129" i="19"/>
  <c r="D129" i="19"/>
  <c r="G129" i="19"/>
  <c r="A130" i="19"/>
  <c r="B130" i="19"/>
  <c r="C130" i="19"/>
  <c r="A131" i="19"/>
  <c r="B131" i="19"/>
  <c r="A132" i="19"/>
  <c r="D132" i="19" s="1"/>
  <c r="B132" i="19"/>
  <c r="M132" i="19"/>
  <c r="A133" i="19"/>
  <c r="C133" i="19" s="1"/>
  <c r="B133" i="19"/>
  <c r="D133" i="19"/>
  <c r="K133" i="19"/>
  <c r="Q133" i="19" s="1"/>
  <c r="A134" i="19"/>
  <c r="E134" i="19" s="1"/>
  <c r="B134" i="19"/>
  <c r="C134" i="19"/>
  <c r="A135" i="19"/>
  <c r="B135" i="19"/>
  <c r="A136" i="19"/>
  <c r="J136" i="19" s="1"/>
  <c r="B136" i="19"/>
  <c r="D136" i="19"/>
  <c r="E136" i="19"/>
  <c r="F136" i="19"/>
  <c r="M136" i="19"/>
  <c r="A137" i="19"/>
  <c r="B137" i="19"/>
  <c r="A138" i="19"/>
  <c r="C138" i="19" s="1"/>
  <c r="B138" i="19"/>
  <c r="A139" i="19"/>
  <c r="B139" i="19"/>
  <c r="A140" i="19"/>
  <c r="B140" i="19"/>
  <c r="F140" i="19"/>
  <c r="G140" i="19"/>
  <c r="A141" i="19"/>
  <c r="C141" i="19" s="1"/>
  <c r="B141" i="19"/>
  <c r="G141" i="19"/>
  <c r="H141" i="19"/>
  <c r="I141" i="19"/>
  <c r="N141" i="19" s="1"/>
  <c r="J141" i="19"/>
  <c r="L141" i="19"/>
  <c r="R141" i="19" s="1"/>
  <c r="X141" i="19" s="1"/>
  <c r="A142" i="19"/>
  <c r="B142" i="19"/>
  <c r="A143" i="19"/>
  <c r="D143" i="19" s="1"/>
  <c r="B143" i="19"/>
  <c r="A144" i="19"/>
  <c r="B144" i="19"/>
  <c r="A145" i="19"/>
  <c r="B145" i="19"/>
  <c r="E145" i="19"/>
  <c r="F145" i="19"/>
  <c r="G145" i="19"/>
  <c r="A146" i="19"/>
  <c r="F146" i="19" s="1"/>
  <c r="B146" i="19"/>
  <c r="A147" i="19"/>
  <c r="B147" i="19"/>
  <c r="J147" i="19"/>
  <c r="A148" i="19"/>
  <c r="C148" i="19" s="1"/>
  <c r="B148" i="19"/>
  <c r="A149" i="19"/>
  <c r="B149" i="19"/>
  <c r="C149" i="19"/>
  <c r="A150" i="19"/>
  <c r="M150" i="19" s="1"/>
  <c r="B150" i="19"/>
  <c r="H150" i="19"/>
  <c r="I150" i="19"/>
  <c r="N150" i="19" s="1"/>
  <c r="K150" i="19"/>
  <c r="Q150" i="19" s="1"/>
  <c r="A151" i="19"/>
  <c r="K151" i="19" s="1"/>
  <c r="Q151" i="19" s="1"/>
  <c r="B151" i="19"/>
  <c r="I151" i="19"/>
  <c r="N151" i="19" s="1"/>
  <c r="J151" i="19"/>
  <c r="A102" i="19"/>
  <c r="C102" i="19" s="1"/>
  <c r="B102" i="19"/>
  <c r="J102" i="19"/>
  <c r="K102" i="19"/>
  <c r="Q102" i="19" s="1"/>
  <c r="L102" i="19"/>
  <c r="R102" i="19" s="1"/>
  <c r="A103" i="19"/>
  <c r="D103" i="19" s="1"/>
  <c r="B103" i="19"/>
  <c r="A104" i="19"/>
  <c r="B104" i="19"/>
  <c r="D104"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A4" i="19"/>
  <c r="H4" i="19" s="1"/>
  <c r="A5" i="19"/>
  <c r="F5" i="19" s="1"/>
  <c r="A6" i="19"/>
  <c r="J6" i="19" s="1"/>
  <c r="A7" i="19"/>
  <c r="I7" i="19" s="1"/>
  <c r="A8" i="19"/>
  <c r="I8" i="19" s="1"/>
  <c r="N8" i="19" s="1"/>
  <c r="A9" i="19"/>
  <c r="M9" i="19" s="1"/>
  <c r="A10" i="19"/>
  <c r="I10" i="19" s="1"/>
  <c r="N10" i="19" s="1"/>
  <c r="A11" i="19"/>
  <c r="K11" i="19" s="1"/>
  <c r="Q11" i="19" s="1"/>
  <c r="A12" i="19"/>
  <c r="L12" i="19" s="1"/>
  <c r="R12" i="19" s="1"/>
  <c r="A13" i="19"/>
  <c r="F13" i="19" s="1"/>
  <c r="A14" i="19"/>
  <c r="J14" i="19" s="1"/>
  <c r="A15" i="19"/>
  <c r="K15" i="19" s="1"/>
  <c r="A16" i="19"/>
  <c r="I16" i="19" s="1"/>
  <c r="N16" i="19" s="1"/>
  <c r="A17" i="19"/>
  <c r="F17" i="19" s="1"/>
  <c r="A18" i="19"/>
  <c r="J18" i="19" s="1"/>
  <c r="A19" i="19"/>
  <c r="I19" i="19" s="1"/>
  <c r="N19" i="19" s="1"/>
  <c r="A20" i="19"/>
  <c r="J20" i="19" s="1"/>
  <c r="A21" i="19"/>
  <c r="G21" i="19" s="1"/>
  <c r="A22" i="19"/>
  <c r="I22" i="19" s="1"/>
  <c r="A23" i="19"/>
  <c r="I23" i="19" s="1"/>
  <c r="A24" i="19"/>
  <c r="J24" i="19" s="1"/>
  <c r="A25" i="19"/>
  <c r="G25" i="19" s="1"/>
  <c r="A26" i="19"/>
  <c r="L26" i="19" s="1"/>
  <c r="R26" i="19" s="1"/>
  <c r="A27" i="19"/>
  <c r="I27" i="19" s="1"/>
  <c r="N27" i="19" s="1"/>
  <c r="A28" i="19"/>
  <c r="H28" i="19" s="1"/>
  <c r="A29" i="19"/>
  <c r="H29" i="19" s="1"/>
  <c r="A30" i="19"/>
  <c r="I30" i="19" s="1"/>
  <c r="A31" i="19"/>
  <c r="I31" i="19" s="1"/>
  <c r="A32" i="19"/>
  <c r="J32" i="19" s="1"/>
  <c r="A33" i="19"/>
  <c r="H33" i="19" s="1"/>
  <c r="A34" i="19"/>
  <c r="C34" i="19" s="1"/>
  <c r="A35" i="19"/>
  <c r="D35" i="19" s="1"/>
  <c r="A36" i="19"/>
  <c r="J36" i="19" s="1"/>
  <c r="A37" i="19"/>
  <c r="I37" i="19" s="1"/>
  <c r="A38" i="19"/>
  <c r="K38" i="19" s="1"/>
  <c r="A39" i="19"/>
  <c r="L39" i="19" s="1"/>
  <c r="A40" i="19"/>
  <c r="A41" i="19"/>
  <c r="J41" i="19" s="1"/>
  <c r="A42" i="19"/>
  <c r="I42" i="19" s="1"/>
  <c r="A43" i="19"/>
  <c r="I43" i="19" s="1"/>
  <c r="A44" i="19"/>
  <c r="G44" i="19" s="1"/>
  <c r="A45" i="19"/>
  <c r="I45" i="19" s="1"/>
  <c r="A46" i="19"/>
  <c r="A47" i="19"/>
  <c r="K47" i="19" s="1"/>
  <c r="A48" i="19"/>
  <c r="L48" i="19" s="1"/>
  <c r="A49" i="19"/>
  <c r="A50" i="19"/>
  <c r="A51" i="19"/>
  <c r="A52" i="19"/>
  <c r="A53" i="19"/>
  <c r="E53" i="19" s="1"/>
  <c r="A54" i="19"/>
  <c r="A55" i="19"/>
  <c r="A56" i="19"/>
  <c r="I56" i="19" s="1"/>
  <c r="A57" i="19"/>
  <c r="H57" i="19" s="1"/>
  <c r="A58" i="19"/>
  <c r="C58" i="19" s="1"/>
  <c r="A59" i="19"/>
  <c r="M59" i="19" s="1"/>
  <c r="A60" i="19"/>
  <c r="A61" i="19"/>
  <c r="A62" i="19"/>
  <c r="L62" i="19" s="1"/>
  <c r="A63" i="19"/>
  <c r="I63" i="19" s="1"/>
  <c r="A64" i="19"/>
  <c r="C64" i="19" s="1"/>
  <c r="A65" i="19"/>
  <c r="A66" i="19"/>
  <c r="I66" i="19" s="1"/>
  <c r="N66" i="19" s="1"/>
  <c r="A67" i="19"/>
  <c r="F67" i="19" s="1"/>
  <c r="A68" i="19"/>
  <c r="A69" i="19"/>
  <c r="A70" i="19"/>
  <c r="A71" i="19"/>
  <c r="A72" i="19"/>
  <c r="H72" i="19" s="1"/>
  <c r="A73" i="19"/>
  <c r="E73" i="19" s="1"/>
  <c r="A74" i="19"/>
  <c r="E74" i="19" s="1"/>
  <c r="A75" i="19"/>
  <c r="D75" i="19" s="1"/>
  <c r="A76" i="19"/>
  <c r="L76" i="19" s="1"/>
  <c r="A77" i="19"/>
  <c r="I77" i="19" s="1"/>
  <c r="A78" i="19"/>
  <c r="A79" i="19"/>
  <c r="A80" i="19"/>
  <c r="A81" i="19"/>
  <c r="I81" i="19" s="1"/>
  <c r="N81" i="19" s="1"/>
  <c r="A82" i="19"/>
  <c r="A83" i="19"/>
  <c r="L83" i="19" s="1"/>
  <c r="R83" i="19" s="1"/>
  <c r="A84" i="19"/>
  <c r="I84" i="19" s="1"/>
  <c r="N84" i="19" s="1"/>
  <c r="A85" i="19"/>
  <c r="K85" i="19" s="1"/>
  <c r="A86" i="19"/>
  <c r="I86" i="19" s="1"/>
  <c r="A87" i="19"/>
  <c r="M87" i="19" s="1"/>
  <c r="A88" i="19"/>
  <c r="C88" i="19" s="1"/>
  <c r="A89" i="19"/>
  <c r="A90" i="19"/>
  <c r="A91" i="19"/>
  <c r="G91" i="19" s="1"/>
  <c r="A92" i="19"/>
  <c r="H92" i="19" s="1"/>
  <c r="A93" i="19"/>
  <c r="A94" i="19"/>
  <c r="C94" i="19" s="1"/>
  <c r="A95" i="19"/>
  <c r="I95" i="19" s="1"/>
  <c r="A96" i="19"/>
  <c r="L96" i="19" s="1"/>
  <c r="R96" i="19" s="1"/>
  <c r="A97" i="19"/>
  <c r="F97" i="19" s="1"/>
  <c r="A98" i="19"/>
  <c r="I98" i="19" s="1"/>
  <c r="N98" i="19" s="1"/>
  <c r="A99" i="19"/>
  <c r="I99" i="19" s="1"/>
  <c r="N99" i="19" s="1"/>
  <c r="A100" i="19"/>
  <c r="I100" i="19" s="1"/>
  <c r="N100" i="19" s="1"/>
  <c r="A101" i="19"/>
  <c r="C101" i="19" s="1"/>
  <c r="A3" i="19"/>
  <c r="H3" i="19" s="1"/>
  <c r="B3" i="19"/>
  <c r="M137" i="19" l="1"/>
  <c r="G137" i="19"/>
  <c r="H137" i="19"/>
  <c r="I137" i="19"/>
  <c r="N137" i="19" s="1"/>
  <c r="C137" i="19"/>
  <c r="D137" i="19"/>
  <c r="F137" i="19"/>
  <c r="E198" i="19"/>
  <c r="C198" i="19"/>
  <c r="D198" i="19"/>
  <c r="K409" i="19"/>
  <c r="Q409" i="19" s="1"/>
  <c r="W409" i="19" s="1"/>
  <c r="G409" i="19"/>
  <c r="I409" i="19"/>
  <c r="N409" i="19" s="1"/>
  <c r="T409" i="19" s="1"/>
  <c r="J409" i="19"/>
  <c r="C208" i="19"/>
  <c r="D208" i="19"/>
  <c r="G208" i="19"/>
  <c r="J208" i="19"/>
  <c r="K327" i="19"/>
  <c r="Q327" i="19" s="1"/>
  <c r="M327" i="19"/>
  <c r="F327" i="19"/>
  <c r="H327" i="19"/>
  <c r="I327" i="19"/>
  <c r="N327" i="19" s="1"/>
  <c r="T327" i="19" s="1"/>
  <c r="J327" i="19"/>
  <c r="K113" i="19"/>
  <c r="Q113" i="19" s="1"/>
  <c r="W113" i="19" s="1"/>
  <c r="J113" i="19"/>
  <c r="L113" i="19"/>
  <c r="R113" i="19" s="1"/>
  <c r="X113" i="19" s="1"/>
  <c r="G113" i="19"/>
  <c r="H113" i="19"/>
  <c r="I113" i="19"/>
  <c r="N113" i="19" s="1"/>
  <c r="K342" i="19"/>
  <c r="Q342" i="19" s="1"/>
  <c r="L342" i="19"/>
  <c r="R342" i="19" s="1"/>
  <c r="H342" i="19"/>
  <c r="I342" i="19"/>
  <c r="N342" i="19" s="1"/>
  <c r="T342" i="19" s="1"/>
  <c r="J342" i="19"/>
  <c r="M342" i="19"/>
  <c r="G149" i="19"/>
  <c r="K149" i="19"/>
  <c r="Q149" i="19" s="1"/>
  <c r="W149" i="19" s="1"/>
  <c r="M149" i="19"/>
  <c r="E149" i="19"/>
  <c r="S149" i="19" s="1"/>
  <c r="Y149" i="19" s="1"/>
  <c r="F149" i="19"/>
  <c r="P149" i="19" s="1"/>
  <c r="V149" i="19" s="1"/>
  <c r="H149" i="19"/>
  <c r="D131" i="19"/>
  <c r="E131" i="19"/>
  <c r="F131" i="19"/>
  <c r="G131" i="19"/>
  <c r="L119" i="19"/>
  <c r="R119" i="19" s="1"/>
  <c r="X119" i="19" s="1"/>
  <c r="G119" i="19"/>
  <c r="H119" i="19"/>
  <c r="I119" i="19"/>
  <c r="N119" i="19" s="1"/>
  <c r="T119" i="19" s="1"/>
  <c r="J119" i="19"/>
  <c r="D119" i="19"/>
  <c r="O119" i="19" s="1"/>
  <c r="U119" i="19" s="1"/>
  <c r="E119" i="19"/>
  <c r="S119" i="19" s="1"/>
  <c r="Y119" i="19" s="1"/>
  <c r="K119" i="19"/>
  <c r="Q119" i="19" s="1"/>
  <c r="W119" i="19" s="1"/>
  <c r="F119" i="19"/>
  <c r="P119" i="19" s="1"/>
  <c r="V119" i="19" s="1"/>
  <c r="G116" i="19"/>
  <c r="D116" i="19"/>
  <c r="G135" i="19"/>
  <c r="H135" i="19"/>
  <c r="K135" i="19"/>
  <c r="Q135" i="19" s="1"/>
  <c r="E135" i="19"/>
  <c r="S135" i="19" s="1"/>
  <c r="F135" i="19"/>
  <c r="P135" i="19" s="1"/>
  <c r="M135" i="19"/>
  <c r="I390" i="19"/>
  <c r="N390" i="19" s="1"/>
  <c r="T390" i="19" s="1"/>
  <c r="K390" i="19"/>
  <c r="Q390" i="19" s="1"/>
  <c r="W390" i="19" s="1"/>
  <c r="M390" i="19"/>
  <c r="F390" i="19"/>
  <c r="H390" i="19"/>
  <c r="S390" i="19" s="1"/>
  <c r="Y390" i="19" s="1"/>
  <c r="J390" i="19"/>
  <c r="L390" i="19"/>
  <c r="R390" i="19" s="1"/>
  <c r="K147" i="19"/>
  <c r="Q147" i="19" s="1"/>
  <c r="E147" i="19"/>
  <c r="F147" i="19"/>
  <c r="P147" i="19" s="1"/>
  <c r="V147" i="19" s="1"/>
  <c r="I147" i="19"/>
  <c r="N147" i="19" s="1"/>
  <c r="T147" i="19" s="1"/>
  <c r="C147" i="19"/>
  <c r="H147" i="19"/>
  <c r="S147" i="19" s="1"/>
  <c r="Y147" i="19" s="1"/>
  <c r="D147" i="19"/>
  <c r="G147" i="19"/>
  <c r="H146" i="19"/>
  <c r="P146" i="19" s="1"/>
  <c r="V146" i="19" s="1"/>
  <c r="E109" i="19"/>
  <c r="S109" i="19" s="1"/>
  <c r="Y109" i="19" s="1"/>
  <c r="K375" i="19"/>
  <c r="Q375" i="19" s="1"/>
  <c r="W375" i="19" s="1"/>
  <c r="D375" i="19"/>
  <c r="O375" i="19" s="1"/>
  <c r="U375" i="19" s="1"/>
  <c r="H364" i="19"/>
  <c r="L364" i="19"/>
  <c r="R364" i="19" s="1"/>
  <c r="X364" i="19" s="1"/>
  <c r="M364" i="19"/>
  <c r="G146" i="19"/>
  <c r="M350" i="19"/>
  <c r="F350" i="19"/>
  <c r="G350" i="19"/>
  <c r="H350" i="19"/>
  <c r="J350" i="19"/>
  <c r="L350" i="19"/>
  <c r="R350" i="19" s="1"/>
  <c r="X350" i="19" s="1"/>
  <c r="D350" i="19"/>
  <c r="O350" i="19" s="1"/>
  <c r="U350" i="19" s="1"/>
  <c r="E350" i="19"/>
  <c r="S350" i="19" s="1"/>
  <c r="Y350" i="19" s="1"/>
  <c r="I350" i="19"/>
  <c r="N350" i="19" s="1"/>
  <c r="T350" i="19" s="1"/>
  <c r="C329" i="19"/>
  <c r="L329" i="19"/>
  <c r="R329" i="19" s="1"/>
  <c r="X329" i="19" s="1"/>
  <c r="G104" i="19"/>
  <c r="E104" i="19"/>
  <c r="E146" i="19"/>
  <c r="C262" i="19"/>
  <c r="D262" i="19"/>
  <c r="K262" i="19"/>
  <c r="Q262" i="19" s="1"/>
  <c r="W262" i="19" s="1"/>
  <c r="F232" i="19"/>
  <c r="G232" i="19"/>
  <c r="J232" i="19"/>
  <c r="C371" i="19"/>
  <c r="E371" i="19"/>
  <c r="L286" i="19"/>
  <c r="R286" i="19" s="1"/>
  <c r="X286" i="19" s="1"/>
  <c r="F286" i="19"/>
  <c r="P286" i="19" s="1"/>
  <c r="V286" i="19" s="1"/>
  <c r="G286" i="19"/>
  <c r="H286" i="19"/>
  <c r="J286" i="19"/>
  <c r="K286" i="19"/>
  <c r="Q286" i="19" s="1"/>
  <c r="D140" i="19"/>
  <c r="I140" i="19"/>
  <c r="N140" i="19" s="1"/>
  <c r="C103" i="19"/>
  <c r="M109" i="19"/>
  <c r="J109" i="19"/>
  <c r="G109" i="19"/>
  <c r="H109" i="19"/>
  <c r="O109" i="19" s="1"/>
  <c r="U109" i="19" s="1"/>
  <c r="I109" i="19"/>
  <c r="N109" i="19" s="1"/>
  <c r="T109" i="19" s="1"/>
  <c r="E409" i="19"/>
  <c r="S409" i="19" s="1"/>
  <c r="Y409" i="19" s="1"/>
  <c r="M378" i="19"/>
  <c r="O378" i="19" s="1"/>
  <c r="U378" i="19" s="1"/>
  <c r="D322" i="19"/>
  <c r="G322" i="19"/>
  <c r="L322" i="19"/>
  <c r="R322" i="19" s="1"/>
  <c r="F141" i="19"/>
  <c r="K123" i="19"/>
  <c r="Q123" i="19" s="1"/>
  <c r="W123" i="19" s="1"/>
  <c r="K360" i="19"/>
  <c r="Q360" i="19" s="1"/>
  <c r="W360" i="19" s="1"/>
  <c r="X190" i="19"/>
  <c r="M106" i="19"/>
  <c r="E389" i="19"/>
  <c r="L339" i="19"/>
  <c r="R339" i="19" s="1"/>
  <c r="X339" i="19" s="1"/>
  <c r="D321" i="19"/>
  <c r="G102" i="19"/>
  <c r="E106" i="19"/>
  <c r="M416" i="19"/>
  <c r="C412" i="19"/>
  <c r="H392" i="19"/>
  <c r="J379" i="19"/>
  <c r="E376" i="19"/>
  <c r="I369" i="19"/>
  <c r="N369" i="19" s="1"/>
  <c r="M352" i="19"/>
  <c r="D280" i="19"/>
  <c r="C274" i="19"/>
  <c r="E260" i="19"/>
  <c r="S260" i="19" s="1"/>
  <c r="Y260" i="19" s="1"/>
  <c r="C245" i="19"/>
  <c r="M229" i="19"/>
  <c r="J214" i="19"/>
  <c r="H190" i="19"/>
  <c r="D176" i="19"/>
  <c r="T356" i="19"/>
  <c r="M332" i="19"/>
  <c r="X308" i="19"/>
  <c r="M279" i="19"/>
  <c r="L276" i="19"/>
  <c r="R276" i="19" s="1"/>
  <c r="I229" i="19"/>
  <c r="N229" i="19" s="1"/>
  <c r="G217" i="19"/>
  <c r="J167" i="19"/>
  <c r="D356" i="19"/>
  <c r="M344" i="19"/>
  <c r="K332" i="19"/>
  <c r="Q332" i="19" s="1"/>
  <c r="W332" i="19" s="1"/>
  <c r="K279" i="19"/>
  <c r="Q279" i="19" s="1"/>
  <c r="W279" i="19" s="1"/>
  <c r="F276" i="19"/>
  <c r="G229" i="19"/>
  <c r="H221" i="19"/>
  <c r="S221" i="19" s="1"/>
  <c r="Y221" i="19" s="1"/>
  <c r="E217" i="19"/>
  <c r="L389" i="19"/>
  <c r="R389" i="19" s="1"/>
  <c r="X389" i="19" s="1"/>
  <c r="I386" i="19"/>
  <c r="N386" i="19" s="1"/>
  <c r="F348" i="19"/>
  <c r="L321" i="19"/>
  <c r="R321" i="19" s="1"/>
  <c r="L318" i="19"/>
  <c r="R318" i="19" s="1"/>
  <c r="X318" i="19" s="1"/>
  <c r="D306" i="19"/>
  <c r="G279" i="19"/>
  <c r="M231" i="19"/>
  <c r="D221" i="19"/>
  <c r="J162" i="19"/>
  <c r="D187" i="19"/>
  <c r="K173" i="19"/>
  <c r="Q173" i="19" s="1"/>
  <c r="W173" i="19" s="1"/>
  <c r="F173" i="19"/>
  <c r="P173" i="19" s="1"/>
  <c r="V173" i="19" s="1"/>
  <c r="I169" i="19"/>
  <c r="N169" i="19" s="1"/>
  <c r="T169" i="19" s="1"/>
  <c r="M165" i="19"/>
  <c r="E173" i="19"/>
  <c r="J165" i="19"/>
  <c r="S154" i="19"/>
  <c r="F165" i="19"/>
  <c r="M161" i="19"/>
  <c r="X332" i="19"/>
  <c r="P321" i="19"/>
  <c r="V321" i="19" s="1"/>
  <c r="S309" i="19"/>
  <c r="G389" i="19"/>
  <c r="L372" i="19"/>
  <c r="R372" i="19" s="1"/>
  <c r="X372" i="19" s="1"/>
  <c r="M339" i="19"/>
  <c r="E321" i="19"/>
  <c r="S321" i="19" s="1"/>
  <c r="Y321" i="19" s="1"/>
  <c r="H313" i="19"/>
  <c r="E309" i="19"/>
  <c r="M292" i="19"/>
  <c r="I102" i="19"/>
  <c r="N102" i="19" s="1"/>
  <c r="T102" i="19" s="1"/>
  <c r="D141" i="19"/>
  <c r="K128" i="19"/>
  <c r="Q128" i="19" s="1"/>
  <c r="W128" i="19" s="1"/>
  <c r="J123" i="19"/>
  <c r="L376" i="19"/>
  <c r="R376" i="19" s="1"/>
  <c r="J372" i="19"/>
  <c r="K369" i="19"/>
  <c r="Q369" i="19" s="1"/>
  <c r="W369" i="19" s="1"/>
  <c r="J360" i="19"/>
  <c r="G313" i="19"/>
  <c r="D309" i="19"/>
  <c r="H292" i="19"/>
  <c r="H274" i="19"/>
  <c r="M263" i="19"/>
  <c r="G260" i="19"/>
  <c r="E245" i="19"/>
  <c r="K190" i="19"/>
  <c r="Q190" i="19" s="1"/>
  <c r="H102" i="19"/>
  <c r="I128" i="19"/>
  <c r="N128" i="19" s="1"/>
  <c r="T128" i="19" s="1"/>
  <c r="K106" i="19"/>
  <c r="Q106" i="19" s="1"/>
  <c r="D412" i="19"/>
  <c r="G376" i="19"/>
  <c r="J369" i="19"/>
  <c r="I360" i="19"/>
  <c r="N360" i="19" s="1"/>
  <c r="T360" i="19" s="1"/>
  <c r="I333" i="19"/>
  <c r="N333" i="19" s="1"/>
  <c r="T333" i="19" s="1"/>
  <c r="G292" i="19"/>
  <c r="H269" i="19"/>
  <c r="L263" i="19"/>
  <c r="R263" i="19" s="1"/>
  <c r="D245" i="19"/>
  <c r="I190" i="19"/>
  <c r="N190" i="19" s="1"/>
  <c r="T190" i="19" s="1"/>
  <c r="E165" i="19"/>
  <c r="C264" i="19"/>
  <c r="G264" i="19"/>
  <c r="D264" i="19"/>
  <c r="F264" i="19"/>
  <c r="J216" i="19"/>
  <c r="L216" i="19"/>
  <c r="R216" i="19" s="1"/>
  <c r="X216" i="19" s="1"/>
  <c r="M216" i="19"/>
  <c r="H216" i="19"/>
  <c r="C191" i="19"/>
  <c r="D191" i="19"/>
  <c r="I191" i="19"/>
  <c r="N191" i="19" s="1"/>
  <c r="T191" i="19" s="1"/>
  <c r="E191" i="19"/>
  <c r="G191" i="19"/>
  <c r="J191" i="19"/>
  <c r="K191" i="19"/>
  <c r="Q191" i="19" s="1"/>
  <c r="W191" i="19" s="1"/>
  <c r="L191" i="19"/>
  <c r="R191" i="19" s="1"/>
  <c r="X191" i="19" s="1"/>
  <c r="I175" i="19"/>
  <c r="N175" i="19" s="1"/>
  <c r="T175" i="19" s="1"/>
  <c r="L175" i="19"/>
  <c r="R175" i="19" s="1"/>
  <c r="X175" i="19" s="1"/>
  <c r="J129" i="19"/>
  <c r="L129" i="19"/>
  <c r="R129" i="19" s="1"/>
  <c r="X129" i="19" s="1"/>
  <c r="M129" i="19"/>
  <c r="O129" i="19" s="1"/>
  <c r="U129" i="19" s="1"/>
  <c r="I129" i="19"/>
  <c r="N129" i="19" s="1"/>
  <c r="T129" i="19" s="1"/>
  <c r="E120" i="19"/>
  <c r="S120" i="19" s="1"/>
  <c r="Y120" i="19" s="1"/>
  <c r="H120" i="19"/>
  <c r="J120" i="19"/>
  <c r="K120" i="19"/>
  <c r="Q120" i="19" s="1"/>
  <c r="W120" i="19" s="1"/>
  <c r="M120" i="19"/>
  <c r="C120" i="19"/>
  <c r="L414" i="19"/>
  <c r="R414" i="19" s="1"/>
  <c r="I414" i="19"/>
  <c r="N414" i="19" s="1"/>
  <c r="J414" i="19"/>
  <c r="F408" i="19"/>
  <c r="G408" i="19"/>
  <c r="H408" i="19"/>
  <c r="E408" i="19"/>
  <c r="S408" i="19" s="1"/>
  <c r="Y408" i="19" s="1"/>
  <c r="W399" i="19"/>
  <c r="I337" i="19"/>
  <c r="N337" i="19" s="1"/>
  <c r="T337" i="19" s="1"/>
  <c r="J337" i="19"/>
  <c r="F337" i="19"/>
  <c r="D235" i="19"/>
  <c r="E235" i="19"/>
  <c r="H235" i="19"/>
  <c r="G235" i="19"/>
  <c r="I235" i="19"/>
  <c r="N235" i="19" s="1"/>
  <c r="T235" i="19" s="1"/>
  <c r="K235" i="19"/>
  <c r="Q235" i="19" s="1"/>
  <c r="L235" i="19"/>
  <c r="R235" i="19" s="1"/>
  <c r="C235" i="19"/>
  <c r="E188" i="19"/>
  <c r="K188" i="19"/>
  <c r="Q188" i="19" s="1"/>
  <c r="F188" i="19"/>
  <c r="H188" i="19"/>
  <c r="J188" i="19"/>
  <c r="L188" i="19"/>
  <c r="R188" i="19" s="1"/>
  <c r="D188" i="19"/>
  <c r="C155" i="19"/>
  <c r="H155" i="19"/>
  <c r="E155" i="19"/>
  <c r="F155" i="19"/>
  <c r="I155" i="19"/>
  <c r="N155" i="19" s="1"/>
  <c r="J155" i="19"/>
  <c r="K155" i="19"/>
  <c r="Q155" i="19" s="1"/>
  <c r="H242" i="19"/>
  <c r="P242" i="19" s="1"/>
  <c r="V242" i="19" s="1"/>
  <c r="I242" i="19"/>
  <c r="N242" i="19" s="1"/>
  <c r="T242" i="19" s="1"/>
  <c r="K242" i="19"/>
  <c r="Q242" i="19" s="1"/>
  <c r="W242" i="19" s="1"/>
  <c r="G242" i="19"/>
  <c r="D184" i="19"/>
  <c r="G184" i="19"/>
  <c r="E184" i="19"/>
  <c r="F184" i="19"/>
  <c r="H184" i="19"/>
  <c r="I184" i="19"/>
  <c r="N184" i="19" s="1"/>
  <c r="J184" i="19"/>
  <c r="L184" i="19"/>
  <c r="R184" i="19" s="1"/>
  <c r="X184" i="19" s="1"/>
  <c r="M184" i="19"/>
  <c r="C184" i="19"/>
  <c r="H331" i="19"/>
  <c r="P331" i="19" s="1"/>
  <c r="V331" i="19" s="1"/>
  <c r="M331" i="19"/>
  <c r="I331" i="19"/>
  <c r="N331" i="19" s="1"/>
  <c r="T331" i="19" s="1"/>
  <c r="J331" i="19"/>
  <c r="K331" i="19"/>
  <c r="Q331" i="19" s="1"/>
  <c r="W331" i="19" s="1"/>
  <c r="G331" i="19"/>
  <c r="E108" i="19"/>
  <c r="F108" i="19"/>
  <c r="G108" i="19"/>
  <c r="D108" i="19"/>
  <c r="D179" i="19"/>
  <c r="I179" i="19"/>
  <c r="N179" i="19" s="1"/>
  <c r="T179" i="19" s="1"/>
  <c r="E179" i="19"/>
  <c r="F179" i="19"/>
  <c r="P179" i="19" s="1"/>
  <c r="V179" i="19" s="1"/>
  <c r="J179" i="19"/>
  <c r="K179" i="19"/>
  <c r="Q179" i="19" s="1"/>
  <c r="W179" i="19" s="1"/>
  <c r="L179" i="19"/>
  <c r="R179" i="19" s="1"/>
  <c r="X179" i="19" s="1"/>
  <c r="K415" i="19"/>
  <c r="Q415" i="19" s="1"/>
  <c r="L415" i="19"/>
  <c r="R415" i="19" s="1"/>
  <c r="X415" i="19" s="1"/>
  <c r="M415" i="19"/>
  <c r="I261" i="19"/>
  <c r="N261" i="19" s="1"/>
  <c r="T261" i="19" s="1"/>
  <c r="J261" i="19"/>
  <c r="H261" i="19"/>
  <c r="F213" i="19"/>
  <c r="P213" i="19" s="1"/>
  <c r="V213" i="19" s="1"/>
  <c r="H213" i="19"/>
  <c r="C395" i="19"/>
  <c r="F395" i="19"/>
  <c r="H395" i="19"/>
  <c r="L189" i="19"/>
  <c r="R189" i="19" s="1"/>
  <c r="X189" i="19" s="1"/>
  <c r="J189" i="19"/>
  <c r="M189" i="19"/>
  <c r="E189" i="19"/>
  <c r="I189" i="19"/>
  <c r="N189" i="19" s="1"/>
  <c r="T189" i="19" s="1"/>
  <c r="K387" i="19"/>
  <c r="Q387" i="19" s="1"/>
  <c r="W387" i="19" s="1"/>
  <c r="L387" i="19"/>
  <c r="R387" i="19" s="1"/>
  <c r="X387" i="19" s="1"/>
  <c r="M387" i="19"/>
  <c r="D387" i="19"/>
  <c r="M115" i="19"/>
  <c r="J115" i="19"/>
  <c r="T414" i="19"/>
  <c r="P137" i="19"/>
  <c r="K399" i="19"/>
  <c r="Q399" i="19" s="1"/>
  <c r="L399" i="19"/>
  <c r="R399" i="19" s="1"/>
  <c r="X399" i="19" s="1"/>
  <c r="M399" i="19"/>
  <c r="D399" i="19"/>
  <c r="E399" i="19"/>
  <c r="J399" i="19"/>
  <c r="P356" i="19"/>
  <c r="V356" i="19" s="1"/>
  <c r="I228" i="19"/>
  <c r="N228" i="19" s="1"/>
  <c r="T228" i="19" s="1"/>
  <c r="D228" i="19"/>
  <c r="M355" i="19"/>
  <c r="D355" i="19"/>
  <c r="E355" i="19"/>
  <c r="L355" i="19"/>
  <c r="R355" i="19" s="1"/>
  <c r="X355" i="19" s="1"/>
  <c r="J355" i="19"/>
  <c r="C355" i="19"/>
  <c r="J428" i="19"/>
  <c r="K428" i="19"/>
  <c r="Q428" i="19" s="1"/>
  <c r="W428" i="19" s="1"/>
  <c r="L428" i="19"/>
  <c r="R428" i="19" s="1"/>
  <c r="X428" i="19" s="1"/>
  <c r="M428" i="19"/>
  <c r="D343" i="19"/>
  <c r="K343" i="19"/>
  <c r="Q343" i="19" s="1"/>
  <c r="W343" i="19" s="1"/>
  <c r="E343" i="19"/>
  <c r="J343" i="19"/>
  <c r="G343" i="19"/>
  <c r="L343" i="19"/>
  <c r="R343" i="19" s="1"/>
  <c r="M343" i="19"/>
  <c r="C343" i="19"/>
  <c r="L277" i="19"/>
  <c r="R277" i="19" s="1"/>
  <c r="X277" i="19" s="1"/>
  <c r="K277" i="19"/>
  <c r="Q277" i="19" s="1"/>
  <c r="W277" i="19" s="1"/>
  <c r="D209" i="19"/>
  <c r="E209" i="19"/>
  <c r="M209" i="19"/>
  <c r="G209" i="19"/>
  <c r="E140" i="19"/>
  <c r="S140" i="19" s="1"/>
  <c r="Y140" i="19" s="1"/>
  <c r="C417" i="19"/>
  <c r="D417" i="19"/>
  <c r="M366" i="19"/>
  <c r="D366" i="19"/>
  <c r="L366" i="19"/>
  <c r="R366" i="19" s="1"/>
  <c r="E268" i="19"/>
  <c r="F268" i="19"/>
  <c r="M268" i="19"/>
  <c r="C268" i="19"/>
  <c r="D233" i="19"/>
  <c r="F233" i="19"/>
  <c r="P233" i="19" s="1"/>
  <c r="V233" i="19" s="1"/>
  <c r="J233" i="19"/>
  <c r="G233" i="19"/>
  <c r="H233" i="19"/>
  <c r="K233" i="19"/>
  <c r="Q233" i="19" s="1"/>
  <c r="L233" i="19"/>
  <c r="R233" i="19" s="1"/>
  <c r="X233" i="19" s="1"/>
  <c r="E233" i="19"/>
  <c r="I233" i="19"/>
  <c r="N233" i="19" s="1"/>
  <c r="T233" i="19" s="1"/>
  <c r="F218" i="19"/>
  <c r="G218" i="19"/>
  <c r="D218" i="19"/>
  <c r="K393" i="19"/>
  <c r="Q393" i="19" s="1"/>
  <c r="W393" i="19" s="1"/>
  <c r="I393" i="19"/>
  <c r="N393" i="19" s="1"/>
  <c r="T393" i="19" s="1"/>
  <c r="J393" i="19"/>
  <c r="H393" i="19"/>
  <c r="S393" i="19" s="1"/>
  <c r="Y393" i="19" s="1"/>
  <c r="C380" i="19"/>
  <c r="D380" i="19"/>
  <c r="E380" i="19"/>
  <c r="F380" i="19"/>
  <c r="I303" i="19"/>
  <c r="N303" i="19" s="1"/>
  <c r="T303" i="19" s="1"/>
  <c r="M303" i="19"/>
  <c r="H303" i="19"/>
  <c r="W150" i="19"/>
  <c r="D405" i="19"/>
  <c r="K405" i="19"/>
  <c r="Q405" i="19" s="1"/>
  <c r="W405" i="19" s="1"/>
  <c r="M405" i="19"/>
  <c r="D396" i="19"/>
  <c r="L289" i="19"/>
  <c r="R289" i="19" s="1"/>
  <c r="X289" i="19" s="1"/>
  <c r="H189" i="19"/>
  <c r="P189" i="19" s="1"/>
  <c r="V189" i="19" s="1"/>
  <c r="E345" i="19"/>
  <c r="I345" i="19"/>
  <c r="N345" i="19" s="1"/>
  <c r="T345" i="19" s="1"/>
  <c r="J345" i="19"/>
  <c r="J334" i="19"/>
  <c r="K334" i="19"/>
  <c r="Q334" i="19" s="1"/>
  <c r="W334" i="19" s="1"/>
  <c r="D334" i="19"/>
  <c r="I334" i="19"/>
  <c r="N334" i="19" s="1"/>
  <c r="T334" i="19" s="1"/>
  <c r="D288" i="19"/>
  <c r="E288" i="19"/>
  <c r="F288" i="19"/>
  <c r="I288" i="19"/>
  <c r="N288" i="19" s="1"/>
  <c r="T288" i="19" s="1"/>
  <c r="J288" i="19"/>
  <c r="C288" i="19"/>
  <c r="G288" i="19"/>
  <c r="O288" i="19" s="1"/>
  <c r="U288" i="19" s="1"/>
  <c r="H288" i="19"/>
  <c r="C407" i="19"/>
  <c r="M407" i="19"/>
  <c r="C107" i="19"/>
  <c r="D107" i="19"/>
  <c r="W233" i="19"/>
  <c r="L146" i="19"/>
  <c r="R146" i="19" s="1"/>
  <c r="J146" i="19"/>
  <c r="D146" i="19"/>
  <c r="I146" i="19"/>
  <c r="N146" i="19" s="1"/>
  <c r="T146" i="19" s="1"/>
  <c r="C426" i="19"/>
  <c r="D426" i="19"/>
  <c r="E426" i="19"/>
  <c r="S426" i="19" s="1"/>
  <c r="Y426" i="19" s="1"/>
  <c r="G384" i="19"/>
  <c r="L384" i="19"/>
  <c r="R384" i="19" s="1"/>
  <c r="X384" i="19" s="1"/>
  <c r="F334" i="19"/>
  <c r="C314" i="19"/>
  <c r="E314" i="19"/>
  <c r="F314" i="19"/>
  <c r="I314" i="19"/>
  <c r="N314" i="19" s="1"/>
  <c r="T314" i="19" s="1"/>
  <c r="J314" i="19"/>
  <c r="M314" i="19"/>
  <c r="G314" i="19"/>
  <c r="H282" i="19"/>
  <c r="I282" i="19"/>
  <c r="N282" i="19" s="1"/>
  <c r="T282" i="19" s="1"/>
  <c r="G282" i="19"/>
  <c r="G261" i="19"/>
  <c r="K193" i="19"/>
  <c r="Q193" i="19" s="1"/>
  <c r="W193" i="19" s="1"/>
  <c r="L193" i="19"/>
  <c r="R193" i="19" s="1"/>
  <c r="X193" i="19" s="1"/>
  <c r="M193" i="19"/>
  <c r="I193" i="19"/>
  <c r="N193" i="19" s="1"/>
  <c r="G189" i="19"/>
  <c r="C125" i="19"/>
  <c r="K125" i="19"/>
  <c r="Q125" i="19" s="1"/>
  <c r="W125" i="19" s="1"/>
  <c r="I125" i="19"/>
  <c r="N125" i="19" s="1"/>
  <c r="C275" i="19"/>
  <c r="E275" i="19"/>
  <c r="J275" i="19"/>
  <c r="T184" i="19"/>
  <c r="G121" i="19"/>
  <c r="D121" i="19"/>
  <c r="E121" i="19"/>
  <c r="M121" i="19"/>
  <c r="F125" i="19"/>
  <c r="H121" i="19"/>
  <c r="T369" i="19"/>
  <c r="E334" i="19"/>
  <c r="S334" i="19" s="1"/>
  <c r="Y334" i="19" s="1"/>
  <c r="G294" i="19"/>
  <c r="F294" i="19"/>
  <c r="P232" i="19"/>
  <c r="V232" i="19" s="1"/>
  <c r="F189" i="19"/>
  <c r="K185" i="19"/>
  <c r="Q185" i="19" s="1"/>
  <c r="W185" i="19" s="1"/>
  <c r="J185" i="19"/>
  <c r="M102" i="19"/>
  <c r="J137" i="19"/>
  <c r="G136" i="19"/>
  <c r="E116" i="19"/>
  <c r="K105" i="19"/>
  <c r="Q105" i="19" s="1"/>
  <c r="E412" i="19"/>
  <c r="G402" i="19"/>
  <c r="J375" i="19"/>
  <c r="F371" i="19"/>
  <c r="P371" i="19" s="1"/>
  <c r="V371" i="19" s="1"/>
  <c r="L369" i="19"/>
  <c r="R369" i="19" s="1"/>
  <c r="X369" i="19" s="1"/>
  <c r="L356" i="19"/>
  <c r="R356" i="19" s="1"/>
  <c r="J316" i="19"/>
  <c r="M306" i="19"/>
  <c r="F297" i="19"/>
  <c r="K236" i="19"/>
  <c r="Q236" i="19" s="1"/>
  <c r="W236" i="19" s="1"/>
  <c r="J221" i="19"/>
  <c r="K376" i="19"/>
  <c r="Q376" i="19" s="1"/>
  <c r="H369" i="19"/>
  <c r="L361" i="19"/>
  <c r="R361" i="19" s="1"/>
  <c r="G356" i="19"/>
  <c r="X348" i="19"/>
  <c r="J336" i="19"/>
  <c r="W318" i="19"/>
  <c r="L299" i="19"/>
  <c r="R299" i="19" s="1"/>
  <c r="X299" i="19" s="1"/>
  <c r="D293" i="19"/>
  <c r="X281" i="19"/>
  <c r="X276" i="19"/>
  <c r="I232" i="19"/>
  <c r="N232" i="19" s="1"/>
  <c r="T232" i="19" s="1"/>
  <c r="F208" i="19"/>
  <c r="L187" i="19"/>
  <c r="R187" i="19" s="1"/>
  <c r="X187" i="19" s="1"/>
  <c r="P160" i="19"/>
  <c r="V160" i="19" s="1"/>
  <c r="F104" i="19"/>
  <c r="E137" i="19"/>
  <c r="L133" i="19"/>
  <c r="R133" i="19" s="1"/>
  <c r="X133" i="19" s="1"/>
  <c r="F109" i="19"/>
  <c r="F105" i="19"/>
  <c r="P105" i="19" s="1"/>
  <c r="V105" i="19" s="1"/>
  <c r="H409" i="19"/>
  <c r="X402" i="19"/>
  <c r="H386" i="19"/>
  <c r="S386" i="19" s="1"/>
  <c r="Y386" i="19" s="1"/>
  <c r="T379" i="19"/>
  <c r="G369" i="19"/>
  <c r="J361" i="19"/>
  <c r="I336" i="19"/>
  <c r="N336" i="19" s="1"/>
  <c r="T336" i="19" s="1"/>
  <c r="I318" i="19"/>
  <c r="N318" i="19" s="1"/>
  <c r="T318" i="19" s="1"/>
  <c r="C293" i="19"/>
  <c r="K276" i="19"/>
  <c r="Q276" i="19" s="1"/>
  <c r="W276" i="19" s="1"/>
  <c r="I251" i="19"/>
  <c r="N251" i="19" s="1"/>
  <c r="T251" i="19" s="1"/>
  <c r="P238" i="19"/>
  <c r="H232" i="19"/>
  <c r="O232" i="19" s="1"/>
  <c r="U232" i="19" s="1"/>
  <c r="C221" i="19"/>
  <c r="F217" i="19"/>
  <c r="E208" i="19"/>
  <c r="W203" i="19"/>
  <c r="J190" i="19"/>
  <c r="K187" i="19"/>
  <c r="Q187" i="19" s="1"/>
  <c r="W187" i="19" s="1"/>
  <c r="M173" i="19"/>
  <c r="H171" i="19"/>
  <c r="I165" i="19"/>
  <c r="N165" i="19" s="1"/>
  <c r="S160" i="19"/>
  <c r="K154" i="19"/>
  <c r="Q154" i="19" s="1"/>
  <c r="P369" i="19"/>
  <c r="V369" i="19" s="1"/>
  <c r="I194" i="19"/>
  <c r="N194" i="19" s="1"/>
  <c r="T194" i="19" s="1"/>
  <c r="P152" i="19"/>
  <c r="V152" i="19" s="1"/>
  <c r="C109" i="19"/>
  <c r="C105" i="19"/>
  <c r="C409" i="19"/>
  <c r="D406" i="19"/>
  <c r="P392" i="19"/>
  <c r="V392" i="19" s="1"/>
  <c r="G390" i="19"/>
  <c r="J352" i="19"/>
  <c r="G329" i="19"/>
  <c r="K322" i="19"/>
  <c r="Q322" i="19" s="1"/>
  <c r="W322" i="19" s="1"/>
  <c r="D318" i="19"/>
  <c r="I302" i="19"/>
  <c r="N302" i="19" s="1"/>
  <c r="G269" i="19"/>
  <c r="I262" i="19"/>
  <c r="N262" i="19" s="1"/>
  <c r="I214" i="19"/>
  <c r="N214" i="19" s="1"/>
  <c r="T214" i="19" s="1"/>
  <c r="H173" i="19"/>
  <c r="S173" i="19" s="1"/>
  <c r="Y173" i="19" s="1"/>
  <c r="M170" i="19"/>
  <c r="G154" i="19"/>
  <c r="O154" i="19" s="1"/>
  <c r="U154" i="19" s="1"/>
  <c r="S392" i="19"/>
  <c r="Y392" i="19" s="1"/>
  <c r="W402" i="19"/>
  <c r="T269" i="19"/>
  <c r="D149" i="19"/>
  <c r="K136" i="19"/>
  <c r="Q136" i="19" s="1"/>
  <c r="W136" i="19" s="1"/>
  <c r="D135" i="19"/>
  <c r="K132" i="19"/>
  <c r="Q132" i="19" s="1"/>
  <c r="W132" i="19" s="1"/>
  <c r="C119" i="19"/>
  <c r="M116" i="19"/>
  <c r="J402" i="19"/>
  <c r="F397" i="19"/>
  <c r="P397" i="19" s="1"/>
  <c r="V397" i="19" s="1"/>
  <c r="M375" i="19"/>
  <c r="C350" i="19"/>
  <c r="E322" i="19"/>
  <c r="S322" i="19" s="1"/>
  <c r="Y322" i="19" s="1"/>
  <c r="H250" i="19"/>
  <c r="F246" i="19"/>
  <c r="F231" i="19"/>
  <c r="G181" i="19"/>
  <c r="D173" i="19"/>
  <c r="D170" i="19"/>
  <c r="E164" i="19"/>
  <c r="D154" i="19"/>
  <c r="L137" i="19"/>
  <c r="R137" i="19" s="1"/>
  <c r="X137" i="19" s="1"/>
  <c r="I136" i="19"/>
  <c r="N136" i="19" s="1"/>
  <c r="T136" i="19" s="1"/>
  <c r="C135" i="19"/>
  <c r="L116" i="19"/>
  <c r="R116" i="19" s="1"/>
  <c r="J412" i="19"/>
  <c r="I402" i="19"/>
  <c r="N402" i="19" s="1"/>
  <c r="T402" i="19" s="1"/>
  <c r="D397" i="19"/>
  <c r="L375" i="19"/>
  <c r="R375" i="19" s="1"/>
  <c r="X375" i="19" s="1"/>
  <c r="H297" i="19"/>
  <c r="F272" i="19"/>
  <c r="E250" i="19"/>
  <c r="M221" i="19"/>
  <c r="C154" i="19"/>
  <c r="K137" i="19"/>
  <c r="Q137" i="19" s="1"/>
  <c r="W137" i="19" s="1"/>
  <c r="H136" i="19"/>
  <c r="P136" i="19" s="1"/>
  <c r="V136" i="19" s="1"/>
  <c r="H402" i="19"/>
  <c r="P402" i="19" s="1"/>
  <c r="V402" i="19" s="1"/>
  <c r="M369" i="19"/>
  <c r="W151" i="19"/>
  <c r="T306" i="19"/>
  <c r="T222" i="19"/>
  <c r="W184" i="19"/>
  <c r="X379" i="19"/>
  <c r="X102" i="19"/>
  <c r="T137" i="19"/>
  <c r="X322" i="19"/>
  <c r="T171" i="19"/>
  <c r="T140" i="19"/>
  <c r="W102" i="19"/>
  <c r="T113" i="19"/>
  <c r="W177" i="19"/>
  <c r="T165" i="19"/>
  <c r="W260" i="19"/>
  <c r="T280" i="19"/>
  <c r="T262" i="19"/>
  <c r="V137" i="19"/>
  <c r="T202" i="19"/>
  <c r="W188" i="19"/>
  <c r="W176" i="19"/>
  <c r="T141" i="19"/>
  <c r="T399" i="19"/>
  <c r="T277" i="19"/>
  <c r="X118" i="19"/>
  <c r="X386" i="19"/>
  <c r="T193" i="19"/>
  <c r="X146" i="19"/>
  <c r="T151" i="19"/>
  <c r="X390" i="19"/>
  <c r="T366" i="19"/>
  <c r="W327" i="19"/>
  <c r="W249" i="19"/>
  <c r="E148" i="19"/>
  <c r="M133" i="19"/>
  <c r="F117" i="19"/>
  <c r="G117" i="19"/>
  <c r="H117" i="19"/>
  <c r="J117" i="19"/>
  <c r="H420" i="19"/>
  <c r="D420" i="19"/>
  <c r="F420" i="19"/>
  <c r="P420" i="19" s="1"/>
  <c r="V420" i="19" s="1"/>
  <c r="I420" i="19"/>
  <c r="N420" i="19" s="1"/>
  <c r="T420" i="19" s="1"/>
  <c r="J420" i="19"/>
  <c r="H418" i="19"/>
  <c r="S418" i="19" s="1"/>
  <c r="Y418" i="19" s="1"/>
  <c r="I418" i="19"/>
  <c r="N418" i="19" s="1"/>
  <c r="T418" i="19" s="1"/>
  <c r="M418" i="19"/>
  <c r="J418" i="19"/>
  <c r="K418" i="19"/>
  <c r="Q418" i="19" s="1"/>
  <c r="W418" i="19" s="1"/>
  <c r="L418" i="19"/>
  <c r="R418" i="19" s="1"/>
  <c r="X418" i="19" s="1"/>
  <c r="J404" i="19"/>
  <c r="J381" i="19"/>
  <c r="E381" i="19"/>
  <c r="F381" i="19"/>
  <c r="G381" i="19"/>
  <c r="H381" i="19"/>
  <c r="K381" i="19"/>
  <c r="Q381" i="19" s="1"/>
  <c r="W381" i="19" s="1"/>
  <c r="I381" i="19"/>
  <c r="N381" i="19" s="1"/>
  <c r="T381" i="19" s="1"/>
  <c r="L371" i="19"/>
  <c r="R371" i="19" s="1"/>
  <c r="X371" i="19" s="1"/>
  <c r="J346" i="19"/>
  <c r="K346" i="19"/>
  <c r="Q346" i="19" s="1"/>
  <c r="C338" i="19"/>
  <c r="H338" i="19"/>
  <c r="I338" i="19"/>
  <c r="N338" i="19" s="1"/>
  <c r="T338" i="19" s="1"/>
  <c r="J338" i="19"/>
  <c r="M338" i="19"/>
  <c r="C308" i="19"/>
  <c r="G308" i="19"/>
  <c r="E280" i="19"/>
  <c r="F280" i="19"/>
  <c r="G280" i="19"/>
  <c r="H280" i="19"/>
  <c r="J280" i="19"/>
  <c r="K280" i="19"/>
  <c r="Q280" i="19" s="1"/>
  <c r="W280" i="19" s="1"/>
  <c r="L280" i="19"/>
  <c r="R280" i="19" s="1"/>
  <c r="X280" i="19" s="1"/>
  <c r="M280" i="19"/>
  <c r="J230" i="19"/>
  <c r="D230" i="19"/>
  <c r="E230" i="19"/>
  <c r="S230" i="19" s="1"/>
  <c r="G230" i="19"/>
  <c r="M230" i="19"/>
  <c r="I230" i="19"/>
  <c r="N230" i="19" s="1"/>
  <c r="T230" i="19" s="1"/>
  <c r="L223" i="19"/>
  <c r="R223" i="19" s="1"/>
  <c r="X223" i="19" s="1"/>
  <c r="M223" i="19"/>
  <c r="F223" i="19"/>
  <c r="G223" i="19"/>
  <c r="H223" i="19"/>
  <c r="I223" i="19"/>
  <c r="N223" i="19" s="1"/>
  <c r="T223" i="19" s="1"/>
  <c r="J223" i="19"/>
  <c r="K223" i="19"/>
  <c r="Q223" i="19" s="1"/>
  <c r="W223" i="19" s="1"/>
  <c r="C156" i="19"/>
  <c r="D156" i="19"/>
  <c r="E156" i="19"/>
  <c r="F156" i="19"/>
  <c r="G156" i="19"/>
  <c r="H156" i="19"/>
  <c r="P156" i="19" s="1"/>
  <c r="V156" i="19" s="1"/>
  <c r="I156" i="19"/>
  <c r="N156" i="19" s="1"/>
  <c r="T156" i="19" s="1"/>
  <c r="J156" i="19"/>
  <c r="K156" i="19"/>
  <c r="Q156" i="19" s="1"/>
  <c r="W156" i="19" s="1"/>
  <c r="L156" i="19"/>
  <c r="R156" i="19" s="1"/>
  <c r="X156" i="19" s="1"/>
  <c r="M156" i="19"/>
  <c r="C290" i="19"/>
  <c r="G290" i="19"/>
  <c r="J290" i="19"/>
  <c r="M396" i="19"/>
  <c r="J396" i="19"/>
  <c r="K396" i="19"/>
  <c r="Q396" i="19" s="1"/>
  <c r="W396" i="19" s="1"/>
  <c r="L396" i="19"/>
  <c r="R396" i="19" s="1"/>
  <c r="X396" i="19" s="1"/>
  <c r="C246" i="19"/>
  <c r="D246" i="19"/>
  <c r="E246" i="19"/>
  <c r="K246" i="19"/>
  <c r="Q246" i="19" s="1"/>
  <c r="W246" i="19" s="1"/>
  <c r="L246" i="19"/>
  <c r="R246" i="19" s="1"/>
  <c r="X246" i="19" s="1"/>
  <c r="M246" i="19"/>
  <c r="J246" i="19"/>
  <c r="M151" i="19"/>
  <c r="C151" i="19"/>
  <c r="D151" i="19"/>
  <c r="G151" i="19"/>
  <c r="E151" i="19"/>
  <c r="F151" i="19"/>
  <c r="H151" i="19"/>
  <c r="P118" i="19"/>
  <c r="V118" i="19" s="1"/>
  <c r="F114" i="19"/>
  <c r="I114" i="19"/>
  <c r="N114" i="19" s="1"/>
  <c r="T114" i="19" s="1"/>
  <c r="K114" i="19"/>
  <c r="Q114" i="19" s="1"/>
  <c r="W114" i="19" s="1"/>
  <c r="G114" i="19"/>
  <c r="J114" i="19"/>
  <c r="G107" i="19"/>
  <c r="E107" i="19"/>
  <c r="F107" i="19"/>
  <c r="H107" i="19"/>
  <c r="K107" i="19"/>
  <c r="Q107" i="19" s="1"/>
  <c r="M107" i="19"/>
  <c r="D388" i="19"/>
  <c r="K388" i="19"/>
  <c r="Q388" i="19" s="1"/>
  <c r="W388" i="19" s="1"/>
  <c r="L388" i="19"/>
  <c r="R388" i="19" s="1"/>
  <c r="X388" i="19" s="1"/>
  <c r="M388" i="19"/>
  <c r="H293" i="19"/>
  <c r="I293" i="19"/>
  <c r="N293" i="19" s="1"/>
  <c r="T293" i="19" s="1"/>
  <c r="J293" i="19"/>
  <c r="F293" i="19"/>
  <c r="G293" i="19"/>
  <c r="K293" i="19"/>
  <c r="Q293" i="19" s="1"/>
  <c r="W293" i="19" s="1"/>
  <c r="L293" i="19"/>
  <c r="R293" i="19" s="1"/>
  <c r="X293" i="19" s="1"/>
  <c r="M293" i="19"/>
  <c r="E252" i="19"/>
  <c r="L252" i="19"/>
  <c r="R252" i="19" s="1"/>
  <c r="M252" i="19"/>
  <c r="J252" i="19"/>
  <c r="K252" i="19"/>
  <c r="Q252" i="19" s="1"/>
  <c r="W252" i="19" s="1"/>
  <c r="C252" i="19"/>
  <c r="D252" i="19"/>
  <c r="F252" i="19"/>
  <c r="G252" i="19"/>
  <c r="H252" i="19"/>
  <c r="I252" i="19"/>
  <c r="N252" i="19" s="1"/>
  <c r="K198" i="19"/>
  <c r="Q198" i="19" s="1"/>
  <c r="W198" i="19" s="1"/>
  <c r="L198" i="19"/>
  <c r="R198" i="19" s="1"/>
  <c r="X198" i="19" s="1"/>
  <c r="M198" i="19"/>
  <c r="F198" i="19"/>
  <c r="G198" i="19"/>
  <c r="H198" i="19"/>
  <c r="S198" i="19" s="1"/>
  <c r="Y198" i="19" s="1"/>
  <c r="I198" i="19"/>
  <c r="N198" i="19" s="1"/>
  <c r="T198" i="19" s="1"/>
  <c r="J198" i="19"/>
  <c r="G142" i="19"/>
  <c r="D142" i="19"/>
  <c r="F142" i="19"/>
  <c r="I142" i="19"/>
  <c r="N142" i="19" s="1"/>
  <c r="T142" i="19" s="1"/>
  <c r="J128" i="19"/>
  <c r="D125" i="19"/>
  <c r="M123" i="19"/>
  <c r="D123" i="19"/>
  <c r="I123" i="19"/>
  <c r="N123" i="19" s="1"/>
  <c r="T123" i="19" s="1"/>
  <c r="E123" i="19"/>
  <c r="H123" i="19"/>
  <c r="F123" i="19"/>
  <c r="G123" i="19"/>
  <c r="F421" i="19"/>
  <c r="C415" i="19"/>
  <c r="H415" i="19"/>
  <c r="E415" i="19"/>
  <c r="G415" i="19"/>
  <c r="J415" i="19"/>
  <c r="I415" i="19"/>
  <c r="N415" i="19" s="1"/>
  <c r="T415" i="19" s="1"/>
  <c r="G395" i="19"/>
  <c r="F393" i="19"/>
  <c r="E340" i="19"/>
  <c r="L340" i="19"/>
  <c r="R340" i="19" s="1"/>
  <c r="X340" i="19" s="1"/>
  <c r="G298" i="19"/>
  <c r="H298" i="19"/>
  <c r="I298" i="19"/>
  <c r="N298" i="19" s="1"/>
  <c r="T298" i="19" s="1"/>
  <c r="J298" i="19"/>
  <c r="D298" i="19"/>
  <c r="E298" i="19"/>
  <c r="F298" i="19"/>
  <c r="K298" i="19"/>
  <c r="Q298" i="19" s="1"/>
  <c r="W298" i="19" s="1"/>
  <c r="L298" i="19"/>
  <c r="R298" i="19" s="1"/>
  <c r="X298" i="19" s="1"/>
  <c r="E249" i="19"/>
  <c r="G249" i="19"/>
  <c r="H249" i="19"/>
  <c r="L206" i="19"/>
  <c r="R206" i="19" s="1"/>
  <c r="X206" i="19" s="1"/>
  <c r="J177" i="19"/>
  <c r="C126" i="19"/>
  <c r="D126" i="19"/>
  <c r="E126" i="19"/>
  <c r="E133" i="19"/>
  <c r="H133" i="19"/>
  <c r="O133" i="19" s="1"/>
  <c r="U133" i="19" s="1"/>
  <c r="I133" i="19"/>
  <c r="N133" i="19" s="1"/>
  <c r="F133" i="19"/>
  <c r="G133" i="19"/>
  <c r="J133" i="19"/>
  <c r="I364" i="19"/>
  <c r="N364" i="19" s="1"/>
  <c r="T364" i="19" s="1"/>
  <c r="J364" i="19"/>
  <c r="K364" i="19"/>
  <c r="Q364" i="19" s="1"/>
  <c r="C364" i="19"/>
  <c r="D364" i="19"/>
  <c r="E364" i="19"/>
  <c r="F364" i="19"/>
  <c r="G364" i="19"/>
  <c r="J284" i="19"/>
  <c r="K284" i="19"/>
  <c r="Q284" i="19" s="1"/>
  <c r="W284" i="19" s="1"/>
  <c r="L284" i="19"/>
  <c r="R284" i="19" s="1"/>
  <c r="X284" i="19" s="1"/>
  <c r="D284" i="19"/>
  <c r="E284" i="19"/>
  <c r="F284" i="19"/>
  <c r="H227" i="19"/>
  <c r="J227" i="19"/>
  <c r="K227" i="19"/>
  <c r="Q227" i="19" s="1"/>
  <c r="W227" i="19" s="1"/>
  <c r="L227" i="19"/>
  <c r="R227" i="19" s="1"/>
  <c r="X227" i="19" s="1"/>
  <c r="G227" i="19"/>
  <c r="I227" i="19"/>
  <c r="N227" i="19" s="1"/>
  <c r="T227" i="19" s="1"/>
  <c r="M227" i="19"/>
  <c r="C227" i="19"/>
  <c r="F227" i="19"/>
  <c r="P227" i="19" s="1"/>
  <c r="V227" i="19" s="1"/>
  <c r="D227" i="19"/>
  <c r="E227" i="19"/>
  <c r="C215" i="19"/>
  <c r="E215" i="19"/>
  <c r="I215" i="19"/>
  <c r="N215" i="19" s="1"/>
  <c r="T215" i="19" s="1"/>
  <c r="L215" i="19"/>
  <c r="R215" i="19" s="1"/>
  <c r="F215" i="19"/>
  <c r="G215" i="19"/>
  <c r="J215" i="19"/>
  <c r="K215" i="19"/>
  <c r="Q215" i="19" s="1"/>
  <c r="W215" i="19" s="1"/>
  <c r="I206" i="19"/>
  <c r="N206" i="19" s="1"/>
  <c r="T206" i="19" s="1"/>
  <c r="E203" i="19"/>
  <c r="H203" i="19"/>
  <c r="I203" i="19"/>
  <c r="N203" i="19" s="1"/>
  <c r="T203" i="19" s="1"/>
  <c r="L203" i="19"/>
  <c r="R203" i="19" s="1"/>
  <c r="X203" i="19" s="1"/>
  <c r="I177" i="19"/>
  <c r="N177" i="19" s="1"/>
  <c r="T177" i="19" s="1"/>
  <c r="O152" i="19"/>
  <c r="U152" i="19" s="1"/>
  <c r="G128" i="19"/>
  <c r="S118" i="19"/>
  <c r="Y118" i="19" s="1"/>
  <c r="C428" i="19"/>
  <c r="D428" i="19"/>
  <c r="I428" i="19"/>
  <c r="N428" i="19" s="1"/>
  <c r="T428" i="19" s="1"/>
  <c r="E428" i="19"/>
  <c r="F428" i="19"/>
  <c r="G428" i="19"/>
  <c r="H428" i="19"/>
  <c r="G417" i="19"/>
  <c r="H417" i="19"/>
  <c r="K417" i="19"/>
  <c r="Q417" i="19" s="1"/>
  <c r="I417" i="19"/>
  <c r="N417" i="19" s="1"/>
  <c r="T417" i="19" s="1"/>
  <c r="M417" i="19"/>
  <c r="H406" i="19"/>
  <c r="P406" i="19" s="1"/>
  <c r="V406" i="19" s="1"/>
  <c r="L406" i="19"/>
  <c r="R406" i="19" s="1"/>
  <c r="X406" i="19" s="1"/>
  <c r="I406" i="19"/>
  <c r="N406" i="19" s="1"/>
  <c r="T406" i="19" s="1"/>
  <c r="K406" i="19"/>
  <c r="Q406" i="19" s="1"/>
  <c r="W406" i="19" s="1"/>
  <c r="I397" i="19"/>
  <c r="N397" i="19" s="1"/>
  <c r="T397" i="19" s="1"/>
  <c r="J397" i="19"/>
  <c r="K397" i="19"/>
  <c r="Q397" i="19" s="1"/>
  <c r="W397" i="19" s="1"/>
  <c r="L397" i="19"/>
  <c r="R397" i="19" s="1"/>
  <c r="X397" i="19" s="1"/>
  <c r="M397" i="19"/>
  <c r="E395" i="19"/>
  <c r="C393" i="19"/>
  <c r="C378" i="19"/>
  <c r="D378" i="19"/>
  <c r="E378" i="19"/>
  <c r="J378" i="19"/>
  <c r="F378" i="19"/>
  <c r="G378" i="19"/>
  <c r="H378" i="19"/>
  <c r="I378" i="19"/>
  <c r="N378" i="19" s="1"/>
  <c r="T378" i="19" s="1"/>
  <c r="C360" i="19"/>
  <c r="F360" i="19"/>
  <c r="G360" i="19"/>
  <c r="H360" i="19"/>
  <c r="S360" i="19" s="1"/>
  <c r="Y360" i="19" s="1"/>
  <c r="L360" i="19"/>
  <c r="R360" i="19" s="1"/>
  <c r="X360" i="19" s="1"/>
  <c r="M360" i="19"/>
  <c r="P248" i="19"/>
  <c r="V248" i="19" s="1"/>
  <c r="M211" i="19"/>
  <c r="H206" i="19"/>
  <c r="S206" i="19" s="1"/>
  <c r="Y206" i="19" s="1"/>
  <c r="L199" i="19"/>
  <c r="R199" i="19" s="1"/>
  <c r="X199" i="19" s="1"/>
  <c r="M182" i="19"/>
  <c r="E177" i="19"/>
  <c r="J158" i="19"/>
  <c r="C140" i="19"/>
  <c r="L140" i="19"/>
  <c r="R140" i="19" s="1"/>
  <c r="X140" i="19" s="1"/>
  <c r="D130" i="19"/>
  <c r="E130" i="19"/>
  <c r="J130" i="19"/>
  <c r="L130" i="19"/>
  <c r="R130" i="19" s="1"/>
  <c r="X130" i="19" s="1"/>
  <c r="G130" i="19"/>
  <c r="F128" i="19"/>
  <c r="G418" i="19"/>
  <c r="M398" i="19"/>
  <c r="D395" i="19"/>
  <c r="G325" i="19"/>
  <c r="G300" i="19"/>
  <c r="K295" i="19"/>
  <c r="Q295" i="19" s="1"/>
  <c r="W295" i="19" s="1"/>
  <c r="C295" i="19"/>
  <c r="G206" i="19"/>
  <c r="K199" i="19"/>
  <c r="Q199" i="19" s="1"/>
  <c r="W199" i="19" s="1"/>
  <c r="D182" i="19"/>
  <c r="D177" i="19"/>
  <c r="E172" i="19"/>
  <c r="K172" i="19"/>
  <c r="Q172" i="19" s="1"/>
  <c r="W172" i="19" s="1"/>
  <c r="M172" i="19"/>
  <c r="J122" i="19"/>
  <c r="F122" i="19"/>
  <c r="I122" i="19"/>
  <c r="N122" i="19" s="1"/>
  <c r="T122" i="19" s="1"/>
  <c r="G122" i="19"/>
  <c r="H122" i="19"/>
  <c r="M122" i="19"/>
  <c r="K122" i="19"/>
  <c r="Q122" i="19" s="1"/>
  <c r="W122" i="19" s="1"/>
  <c r="L427" i="19"/>
  <c r="R427" i="19" s="1"/>
  <c r="X427" i="19" s="1"/>
  <c r="C427" i="19"/>
  <c r="F427" i="19"/>
  <c r="D427" i="19"/>
  <c r="H427" i="19"/>
  <c r="E427" i="19"/>
  <c r="G427" i="19"/>
  <c r="D349" i="19"/>
  <c r="C349" i="19"/>
  <c r="J349" i="19"/>
  <c r="J244" i="19"/>
  <c r="K244" i="19"/>
  <c r="Q244" i="19" s="1"/>
  <c r="W244" i="19" s="1"/>
  <c r="L244" i="19"/>
  <c r="R244" i="19" s="1"/>
  <c r="X244" i="19" s="1"/>
  <c r="M244" i="19"/>
  <c r="H168" i="19"/>
  <c r="J168" i="19"/>
  <c r="K168" i="19"/>
  <c r="Q168" i="19" s="1"/>
  <c r="E168" i="19"/>
  <c r="S168" i="19" s="1"/>
  <c r="Y168" i="19" s="1"/>
  <c r="F168" i="19"/>
  <c r="L168" i="19"/>
  <c r="R168" i="19" s="1"/>
  <c r="X168" i="19" s="1"/>
  <c r="M304" i="19"/>
  <c r="J304" i="19"/>
  <c r="K304" i="19"/>
  <c r="Q304" i="19" s="1"/>
  <c r="W304" i="19" s="1"/>
  <c r="L304" i="19"/>
  <c r="R304" i="19" s="1"/>
  <c r="X304" i="19" s="1"/>
  <c r="C265" i="19"/>
  <c r="F265" i="19"/>
  <c r="H265" i="19"/>
  <c r="S265" i="19" s="1"/>
  <c r="Y265" i="19" s="1"/>
  <c r="M265" i="19"/>
  <c r="J240" i="19"/>
  <c r="L240" i="19"/>
  <c r="R240" i="19" s="1"/>
  <c r="X240" i="19" s="1"/>
  <c r="M240" i="19"/>
  <c r="D194" i="19"/>
  <c r="E194" i="19"/>
  <c r="H194" i="19"/>
  <c r="M194" i="19"/>
  <c r="L194" i="19"/>
  <c r="R194" i="19" s="1"/>
  <c r="X194" i="19" s="1"/>
  <c r="K382" i="19"/>
  <c r="Q382" i="19" s="1"/>
  <c r="W382" i="19" s="1"/>
  <c r="L382" i="19"/>
  <c r="R382" i="19" s="1"/>
  <c r="X382" i="19" s="1"/>
  <c r="D382" i="19"/>
  <c r="E382" i="19"/>
  <c r="G382" i="19"/>
  <c r="I382" i="19"/>
  <c r="N382" i="19" s="1"/>
  <c r="T382" i="19" s="1"/>
  <c r="J382" i="19"/>
  <c r="E373" i="19"/>
  <c r="G373" i="19"/>
  <c r="G371" i="19"/>
  <c r="I371" i="19"/>
  <c r="N371" i="19" s="1"/>
  <c r="T371" i="19" s="1"/>
  <c r="J371" i="19"/>
  <c r="L115" i="19"/>
  <c r="R115" i="19" s="1"/>
  <c r="X115" i="19" s="1"/>
  <c r="C425" i="19"/>
  <c r="E425" i="19"/>
  <c r="G425" i="19"/>
  <c r="I425" i="19"/>
  <c r="N425" i="19" s="1"/>
  <c r="T425" i="19" s="1"/>
  <c r="M425" i="19"/>
  <c r="L425" i="19"/>
  <c r="R425" i="19" s="1"/>
  <c r="X425" i="19" s="1"/>
  <c r="L421" i="19"/>
  <c r="R421" i="19" s="1"/>
  <c r="X421" i="19" s="1"/>
  <c r="G421" i="19"/>
  <c r="I421" i="19"/>
  <c r="N421" i="19" s="1"/>
  <c r="T421" i="19" s="1"/>
  <c r="K421" i="19"/>
  <c r="Q421" i="19" s="1"/>
  <c r="W421" i="19" s="1"/>
  <c r="F418" i="19"/>
  <c r="I398" i="19"/>
  <c r="N398" i="19" s="1"/>
  <c r="D328" i="19"/>
  <c r="E328" i="19"/>
  <c r="I328" i="19"/>
  <c r="N328" i="19" s="1"/>
  <c r="T328" i="19" s="1"/>
  <c r="L328" i="19"/>
  <c r="R328" i="19" s="1"/>
  <c r="X328" i="19" s="1"/>
  <c r="M328" i="19"/>
  <c r="F328" i="19"/>
  <c r="G328" i="19"/>
  <c r="D317" i="19"/>
  <c r="G317" i="19"/>
  <c r="L317" i="19"/>
  <c r="R317" i="19" s="1"/>
  <c r="X317" i="19" s="1"/>
  <c r="M308" i="19"/>
  <c r="D351" i="19"/>
  <c r="H351" i="19"/>
  <c r="I351" i="19"/>
  <c r="N351" i="19" s="1"/>
  <c r="T351" i="19" s="1"/>
  <c r="K351" i="19"/>
  <c r="Q351" i="19" s="1"/>
  <c r="W351" i="19" s="1"/>
  <c r="J351" i="19"/>
  <c r="L351" i="19"/>
  <c r="R351" i="19" s="1"/>
  <c r="M351" i="19"/>
  <c r="C285" i="19"/>
  <c r="D285" i="19"/>
  <c r="G285" i="19"/>
  <c r="J285" i="19"/>
  <c r="K285" i="19"/>
  <c r="Q285" i="19" s="1"/>
  <c r="W285" i="19" s="1"/>
  <c r="K353" i="19"/>
  <c r="Q353" i="19" s="1"/>
  <c r="W353" i="19" s="1"/>
  <c r="M353" i="19"/>
  <c r="C353" i="19"/>
  <c r="D353" i="19"/>
  <c r="H353" i="19"/>
  <c r="I353" i="19"/>
  <c r="N353" i="19" s="1"/>
  <c r="T353" i="19" s="1"/>
  <c r="M148" i="19"/>
  <c r="D410" i="19"/>
  <c r="I410" i="19"/>
  <c r="N410" i="19" s="1"/>
  <c r="T410" i="19" s="1"/>
  <c r="J410" i="19"/>
  <c r="H398" i="19"/>
  <c r="I396" i="19"/>
  <c r="N396" i="19" s="1"/>
  <c r="T396" i="19" s="1"/>
  <c r="C158" i="19"/>
  <c r="D158" i="19"/>
  <c r="K158" i="19"/>
  <c r="Q158" i="19" s="1"/>
  <c r="W158" i="19" s="1"/>
  <c r="M158" i="19"/>
  <c r="L128" i="19"/>
  <c r="R128" i="19" s="1"/>
  <c r="X128" i="19" s="1"/>
  <c r="M128" i="19"/>
  <c r="E122" i="19"/>
  <c r="I424" i="19"/>
  <c r="N424" i="19" s="1"/>
  <c r="T424" i="19" s="1"/>
  <c r="D418" i="19"/>
  <c r="F398" i="19"/>
  <c r="H396" i="19"/>
  <c r="S396" i="19" s="1"/>
  <c r="Y396" i="19" s="1"/>
  <c r="I395" i="19"/>
  <c r="N395" i="19" s="1"/>
  <c r="T395" i="19" s="1"/>
  <c r="L395" i="19"/>
  <c r="R395" i="19" s="1"/>
  <c r="X395" i="19" s="1"/>
  <c r="L381" i="19"/>
  <c r="R381" i="19" s="1"/>
  <c r="X381" i="19" s="1"/>
  <c r="C358" i="19"/>
  <c r="D358" i="19"/>
  <c r="E358" i="19"/>
  <c r="G358" i="19"/>
  <c r="I358" i="19"/>
  <c r="N358" i="19" s="1"/>
  <c r="T358" i="19" s="1"/>
  <c r="L358" i="19"/>
  <c r="R358" i="19" s="1"/>
  <c r="X358" i="19" s="1"/>
  <c r="J358" i="19"/>
  <c r="M358" i="19"/>
  <c r="E346" i="19"/>
  <c r="S346" i="19" s="1"/>
  <c r="Y346" i="19" s="1"/>
  <c r="C330" i="19"/>
  <c r="G330" i="19"/>
  <c r="L330" i="19"/>
  <c r="R330" i="19" s="1"/>
  <c r="X330" i="19" s="1"/>
  <c r="I324" i="19"/>
  <c r="N324" i="19" s="1"/>
  <c r="T324" i="19" s="1"/>
  <c r="K308" i="19"/>
  <c r="Q308" i="19" s="1"/>
  <c r="C255" i="19"/>
  <c r="G255" i="19"/>
  <c r="H255" i="19"/>
  <c r="K255" i="19"/>
  <c r="Q255" i="19" s="1"/>
  <c r="W255" i="19" s="1"/>
  <c r="D255" i="19"/>
  <c r="F255" i="19"/>
  <c r="M255" i="19"/>
  <c r="G244" i="19"/>
  <c r="D199" i="19"/>
  <c r="F199" i="19"/>
  <c r="G199" i="19"/>
  <c r="H199" i="19"/>
  <c r="C199" i="19"/>
  <c r="E199" i="19"/>
  <c r="I199" i="19"/>
  <c r="N199" i="19" s="1"/>
  <c r="T199" i="19" s="1"/>
  <c r="M199" i="19"/>
  <c r="E182" i="19"/>
  <c r="F182" i="19"/>
  <c r="H182" i="19"/>
  <c r="S182" i="19" s="1"/>
  <c r="Y182" i="19" s="1"/>
  <c r="J182" i="19"/>
  <c r="K182" i="19"/>
  <c r="Q182" i="19" s="1"/>
  <c r="L182" i="19"/>
  <c r="R182" i="19" s="1"/>
  <c r="X182" i="19" s="1"/>
  <c r="J150" i="19"/>
  <c r="F150" i="19"/>
  <c r="P150" i="19" s="1"/>
  <c r="V150" i="19" s="1"/>
  <c r="G150" i="19"/>
  <c r="C150" i="19"/>
  <c r="D150" i="19"/>
  <c r="E150" i="19"/>
  <c r="J148" i="19"/>
  <c r="H134" i="19"/>
  <c r="S134" i="19" s="1"/>
  <c r="Y134" i="19" s="1"/>
  <c r="J134" i="19"/>
  <c r="D122" i="19"/>
  <c r="D117" i="19"/>
  <c r="D115" i="19"/>
  <c r="J427" i="19"/>
  <c r="K420" i="19"/>
  <c r="Q420" i="19" s="1"/>
  <c r="W420" i="19" s="1"/>
  <c r="C418" i="19"/>
  <c r="D416" i="19"/>
  <c r="H416" i="19"/>
  <c r="E416" i="19"/>
  <c r="S416" i="19" s="1"/>
  <c r="Y416" i="19" s="1"/>
  <c r="F416" i="19"/>
  <c r="K416" i="19"/>
  <c r="Q416" i="19" s="1"/>
  <c r="W416" i="19" s="1"/>
  <c r="L416" i="19"/>
  <c r="R416" i="19" s="1"/>
  <c r="X416" i="19" s="1"/>
  <c r="D398" i="19"/>
  <c r="G396" i="19"/>
  <c r="D384" i="19"/>
  <c r="D381" i="19"/>
  <c r="G365" i="19"/>
  <c r="E365" i="19"/>
  <c r="F351" i="19"/>
  <c r="D346" i="19"/>
  <c r="G324" i="19"/>
  <c r="F310" i="19"/>
  <c r="J308" i="19"/>
  <c r="C280" i="19"/>
  <c r="I246" i="19"/>
  <c r="N246" i="19" s="1"/>
  <c r="T246" i="19" s="1"/>
  <c r="F244" i="19"/>
  <c r="P244" i="19" s="1"/>
  <c r="V244" i="19" s="1"/>
  <c r="C230" i="19"/>
  <c r="M185" i="19"/>
  <c r="E185" i="19"/>
  <c r="S185" i="19" s="1"/>
  <c r="Y185" i="19" s="1"/>
  <c r="F185" i="19"/>
  <c r="L185" i="19"/>
  <c r="R185" i="19" s="1"/>
  <c r="X185" i="19" s="1"/>
  <c r="D163" i="19"/>
  <c r="G163" i="19"/>
  <c r="C307" i="19"/>
  <c r="D307" i="19"/>
  <c r="E307" i="19"/>
  <c r="H307" i="19"/>
  <c r="I307" i="19"/>
  <c r="N307" i="19" s="1"/>
  <c r="T307" i="19" s="1"/>
  <c r="J307" i="19"/>
  <c r="F307" i="19"/>
  <c r="G307" i="19"/>
  <c r="K307" i="19"/>
  <c r="Q307" i="19" s="1"/>
  <c r="W307" i="19" s="1"/>
  <c r="L307" i="19"/>
  <c r="R307" i="19" s="1"/>
  <c r="X307" i="19" s="1"/>
  <c r="M307" i="19"/>
  <c r="C124" i="19"/>
  <c r="F124" i="19"/>
  <c r="K124" i="19"/>
  <c r="Q124" i="19" s="1"/>
  <c r="W124" i="19" s="1"/>
  <c r="H124" i="19"/>
  <c r="I124" i="19"/>
  <c r="N124" i="19" s="1"/>
  <c r="T124" i="19" s="1"/>
  <c r="L124" i="19"/>
  <c r="R124" i="19" s="1"/>
  <c r="X124" i="19" s="1"/>
  <c r="H244" i="19"/>
  <c r="K148" i="19"/>
  <c r="Q148" i="19" s="1"/>
  <c r="E117" i="19"/>
  <c r="I115" i="19"/>
  <c r="N115" i="19" s="1"/>
  <c r="T115" i="19" s="1"/>
  <c r="K427" i="19"/>
  <c r="Q427" i="19" s="1"/>
  <c r="W427" i="19" s="1"/>
  <c r="L420" i="19"/>
  <c r="R420" i="19" s="1"/>
  <c r="X420" i="19" s="1"/>
  <c r="G351" i="19"/>
  <c r="D311" i="19"/>
  <c r="I311" i="19"/>
  <c r="N311" i="19" s="1"/>
  <c r="K311" i="19"/>
  <c r="Q311" i="19" s="1"/>
  <c r="W311" i="19" s="1"/>
  <c r="C300" i="19"/>
  <c r="D300" i="19"/>
  <c r="I300" i="19"/>
  <c r="N300" i="19" s="1"/>
  <c r="T300" i="19" s="1"/>
  <c r="K300" i="19"/>
  <c r="Q300" i="19" s="1"/>
  <c r="W300" i="19" s="1"/>
  <c r="L300" i="19"/>
  <c r="R300" i="19" s="1"/>
  <c r="X300" i="19" s="1"/>
  <c r="M300" i="19"/>
  <c r="L151" i="19"/>
  <c r="R151" i="19" s="1"/>
  <c r="X151" i="19" s="1"/>
  <c r="H148" i="19"/>
  <c r="D145" i="19"/>
  <c r="H145" i="19"/>
  <c r="S145" i="19" s="1"/>
  <c r="Y145" i="19" s="1"/>
  <c r="J145" i="19"/>
  <c r="M145" i="19"/>
  <c r="L132" i="19"/>
  <c r="R132" i="19" s="1"/>
  <c r="E132" i="19"/>
  <c r="J132" i="19"/>
  <c r="F132" i="19"/>
  <c r="G132" i="19"/>
  <c r="H132" i="19"/>
  <c r="O132" i="19" s="1"/>
  <c r="U132" i="19" s="1"/>
  <c r="I132" i="19"/>
  <c r="N132" i="19" s="1"/>
  <c r="T132" i="19" s="1"/>
  <c r="C122" i="19"/>
  <c r="J108" i="19"/>
  <c r="H108" i="19"/>
  <c r="O108" i="19" s="1"/>
  <c r="U108" i="19" s="1"/>
  <c r="M108" i="19"/>
  <c r="I108" i="19"/>
  <c r="N108" i="19" s="1"/>
  <c r="T108" i="19" s="1"/>
  <c r="K108" i="19"/>
  <c r="Q108" i="19" s="1"/>
  <c r="W108" i="19" s="1"/>
  <c r="I427" i="19"/>
  <c r="N427" i="19" s="1"/>
  <c r="T427" i="19" s="1"/>
  <c r="C414" i="19"/>
  <c r="D414" i="19"/>
  <c r="F414" i="19"/>
  <c r="H414" i="19"/>
  <c r="E414" i="19"/>
  <c r="G414" i="19"/>
  <c r="I408" i="19"/>
  <c r="N408" i="19" s="1"/>
  <c r="T408" i="19" s="1"/>
  <c r="J408" i="19"/>
  <c r="L405" i="19"/>
  <c r="R405" i="19" s="1"/>
  <c r="X405" i="19" s="1"/>
  <c r="E405" i="19"/>
  <c r="F405" i="19"/>
  <c r="G405" i="19"/>
  <c r="H405" i="19"/>
  <c r="I405" i="19"/>
  <c r="N405" i="19" s="1"/>
  <c r="T405" i="19" s="1"/>
  <c r="J405" i="19"/>
  <c r="F396" i="19"/>
  <c r="S389" i="19"/>
  <c r="Y389" i="19" s="1"/>
  <c r="C387" i="19"/>
  <c r="E387" i="19"/>
  <c r="F387" i="19"/>
  <c r="J387" i="19"/>
  <c r="G387" i="19"/>
  <c r="H387" i="19"/>
  <c r="I387" i="19"/>
  <c r="N387" i="19" s="1"/>
  <c r="T387" i="19" s="1"/>
  <c r="K372" i="19"/>
  <c r="Q372" i="19" s="1"/>
  <c r="W372" i="19" s="1"/>
  <c r="M372" i="19"/>
  <c r="D372" i="19"/>
  <c r="E372" i="19"/>
  <c r="F372" i="19"/>
  <c r="G372" i="19"/>
  <c r="H372" i="19"/>
  <c r="E351" i="19"/>
  <c r="S351" i="19" s="1"/>
  <c r="Y351" i="19" s="1"/>
  <c r="H246" i="19"/>
  <c r="D244" i="19"/>
  <c r="F201" i="19"/>
  <c r="G201" i="19"/>
  <c r="H201" i="19"/>
  <c r="D201" i="19"/>
  <c r="I201" i="19"/>
  <c r="N201" i="19" s="1"/>
  <c r="T201" i="19" s="1"/>
  <c r="K201" i="19"/>
  <c r="Q201" i="19" s="1"/>
  <c r="M201" i="19"/>
  <c r="K194" i="19"/>
  <c r="Q194" i="19" s="1"/>
  <c r="D168" i="19"/>
  <c r="F157" i="19"/>
  <c r="I157" i="19"/>
  <c r="N157" i="19" s="1"/>
  <c r="T157" i="19" s="1"/>
  <c r="C237" i="19"/>
  <c r="G237" i="19"/>
  <c r="H237" i="19"/>
  <c r="I237" i="19"/>
  <c r="N237" i="19" s="1"/>
  <c r="T237" i="19" s="1"/>
  <c r="E162" i="19"/>
  <c r="M162" i="19"/>
  <c r="D162" i="19"/>
  <c r="F162" i="19"/>
  <c r="P162" i="19" s="1"/>
  <c r="V162" i="19" s="1"/>
  <c r="H162" i="19"/>
  <c r="S137" i="19"/>
  <c r="Y137" i="19" s="1"/>
  <c r="L380" i="19"/>
  <c r="R380" i="19" s="1"/>
  <c r="H380" i="19"/>
  <c r="J380" i="19"/>
  <c r="F339" i="19"/>
  <c r="G339" i="19"/>
  <c r="H339" i="19"/>
  <c r="F320" i="19"/>
  <c r="P320" i="19" s="1"/>
  <c r="V320" i="19" s="1"/>
  <c r="M320" i="19"/>
  <c r="P313" i="19"/>
  <c r="V313" i="19" s="1"/>
  <c r="F299" i="19"/>
  <c r="H299" i="19"/>
  <c r="K299" i="19"/>
  <c r="Q299" i="19" s="1"/>
  <c r="W299" i="19" s="1"/>
  <c r="S297" i="19"/>
  <c r="Y297" i="19" s="1"/>
  <c r="C281" i="19"/>
  <c r="D281" i="19"/>
  <c r="E281" i="19"/>
  <c r="F281" i="19"/>
  <c r="K274" i="19"/>
  <c r="Q274" i="19" s="1"/>
  <c r="W274" i="19" s="1"/>
  <c r="L274" i="19"/>
  <c r="R274" i="19" s="1"/>
  <c r="X274" i="19" s="1"/>
  <c r="M274" i="19"/>
  <c r="D274" i="19"/>
  <c r="E274" i="19"/>
  <c r="S274" i="19" s="1"/>
  <c r="Y274" i="19" s="1"/>
  <c r="F274" i="19"/>
  <c r="P274" i="19" s="1"/>
  <c r="I264" i="19"/>
  <c r="N264" i="19" s="1"/>
  <c r="T264" i="19" s="1"/>
  <c r="J264" i="19"/>
  <c r="L264" i="19"/>
  <c r="R264" i="19" s="1"/>
  <c r="X264" i="19" s="1"/>
  <c r="H264" i="19"/>
  <c r="P264" i="19" s="1"/>
  <c r="V264" i="19" s="1"/>
  <c r="K210" i="19"/>
  <c r="Q210" i="19" s="1"/>
  <c r="W210" i="19" s="1"/>
  <c r="L210" i="19"/>
  <c r="R210" i="19" s="1"/>
  <c r="X210" i="19" s="1"/>
  <c r="M210" i="19"/>
  <c r="H196" i="19"/>
  <c r="C196" i="19"/>
  <c r="F196" i="19"/>
  <c r="P154" i="19"/>
  <c r="V154" i="19" s="1"/>
  <c r="E342" i="19"/>
  <c r="S342" i="19" s="1"/>
  <c r="Y342" i="19" s="1"/>
  <c r="D342" i="19"/>
  <c r="O342" i="19" s="1"/>
  <c r="U342" i="19" s="1"/>
  <c r="F342" i="19"/>
  <c r="P342" i="19" s="1"/>
  <c r="V342" i="19" s="1"/>
  <c r="J323" i="19"/>
  <c r="K323" i="19"/>
  <c r="Q323" i="19" s="1"/>
  <c r="W323" i="19" s="1"/>
  <c r="L323" i="19"/>
  <c r="R323" i="19" s="1"/>
  <c r="X323" i="19" s="1"/>
  <c r="C323" i="19"/>
  <c r="D323" i="19"/>
  <c r="F323" i="19"/>
  <c r="M266" i="19"/>
  <c r="H266" i="19"/>
  <c r="P260" i="19"/>
  <c r="V260" i="19" s="1"/>
  <c r="S222" i="19"/>
  <c r="Y222" i="19" s="1"/>
  <c r="E214" i="19"/>
  <c r="S214" i="19" s="1"/>
  <c r="Y214" i="19" s="1"/>
  <c r="C214" i="19"/>
  <c r="D214" i="19"/>
  <c r="M214" i="19"/>
  <c r="D200" i="19"/>
  <c r="E200" i="19"/>
  <c r="H200" i="19"/>
  <c r="K200" i="19"/>
  <c r="Q200" i="19" s="1"/>
  <c r="W200" i="19" s="1"/>
  <c r="L200" i="19"/>
  <c r="R200" i="19" s="1"/>
  <c r="X200" i="19" s="1"/>
  <c r="M200" i="19"/>
  <c r="E187" i="19"/>
  <c r="H187" i="19"/>
  <c r="I187" i="19"/>
  <c r="N187" i="19" s="1"/>
  <c r="T187" i="19" s="1"/>
  <c r="P183" i="19"/>
  <c r="C337" i="19"/>
  <c r="D337" i="19"/>
  <c r="K337" i="19"/>
  <c r="Q337" i="19" s="1"/>
  <c r="W337" i="19" s="1"/>
  <c r="L337" i="19"/>
  <c r="R337" i="19" s="1"/>
  <c r="X337" i="19" s="1"/>
  <c r="M337" i="19"/>
  <c r="E170" i="19"/>
  <c r="S170" i="19" s="1"/>
  <c r="Y170" i="19" s="1"/>
  <c r="F170" i="19"/>
  <c r="P170" i="19" s="1"/>
  <c r="V170" i="19" s="1"/>
  <c r="G170" i="19"/>
  <c r="I170" i="19"/>
  <c r="N170" i="19" s="1"/>
  <c r="T170" i="19" s="1"/>
  <c r="J170" i="19"/>
  <c r="K170" i="19"/>
  <c r="Q170" i="19" s="1"/>
  <c r="W170" i="19" s="1"/>
  <c r="F375" i="19"/>
  <c r="E375" i="19"/>
  <c r="G375" i="19"/>
  <c r="H375" i="19"/>
  <c r="P357" i="19"/>
  <c r="V357" i="19" s="1"/>
  <c r="I329" i="19"/>
  <c r="N329" i="19" s="1"/>
  <c r="T329" i="19" s="1"/>
  <c r="J329" i="19"/>
  <c r="K329" i="19"/>
  <c r="Q329" i="19" s="1"/>
  <c r="W329" i="19" s="1"/>
  <c r="D319" i="19"/>
  <c r="H319" i="19"/>
  <c r="M319" i="19"/>
  <c r="K220" i="19"/>
  <c r="Q220" i="19" s="1"/>
  <c r="W220" i="19" s="1"/>
  <c r="F220" i="19"/>
  <c r="G220" i="19"/>
  <c r="K208" i="19"/>
  <c r="Q208" i="19" s="1"/>
  <c r="W208" i="19" s="1"/>
  <c r="L208" i="19"/>
  <c r="R208" i="19" s="1"/>
  <c r="X208" i="19" s="1"/>
  <c r="D171" i="19"/>
  <c r="C171" i="19"/>
  <c r="E171" i="19"/>
  <c r="S171" i="19" s="1"/>
  <c r="Y171" i="19" s="1"/>
  <c r="J171" i="19"/>
  <c r="K171" i="19"/>
  <c r="Q171" i="19" s="1"/>
  <c r="W171" i="19" s="1"/>
  <c r="M171" i="19"/>
  <c r="C104" i="19"/>
  <c r="F102" i="19"/>
  <c r="P102" i="19" s="1"/>
  <c r="V102" i="19" s="1"/>
  <c r="M147" i="19"/>
  <c r="C136" i="19"/>
  <c r="C121" i="19"/>
  <c r="C113" i="19"/>
  <c r="M392" i="19"/>
  <c r="I385" i="19"/>
  <c r="N385" i="19" s="1"/>
  <c r="T385" i="19" s="1"/>
  <c r="C376" i="19"/>
  <c r="D376" i="19"/>
  <c r="P350" i="19"/>
  <c r="V350" i="19" s="1"/>
  <c r="K347" i="19"/>
  <c r="Q347" i="19" s="1"/>
  <c r="H283" i="19"/>
  <c r="I283" i="19"/>
  <c r="N283" i="19" s="1"/>
  <c r="T283" i="19" s="1"/>
  <c r="F269" i="19"/>
  <c r="P269" i="19" s="1"/>
  <c r="V269" i="19" s="1"/>
  <c r="H243" i="19"/>
  <c r="K243" i="19"/>
  <c r="Q243" i="19" s="1"/>
  <c r="W243" i="19" s="1"/>
  <c r="L243" i="19"/>
  <c r="R243" i="19" s="1"/>
  <c r="X243" i="19" s="1"/>
  <c r="E243" i="19"/>
  <c r="M243" i="19"/>
  <c r="C222" i="19"/>
  <c r="D222" i="19"/>
  <c r="J222" i="19"/>
  <c r="K222" i="19"/>
  <c r="Q222" i="19" s="1"/>
  <c r="W222" i="19" s="1"/>
  <c r="L222" i="19"/>
  <c r="R222" i="19" s="1"/>
  <c r="X222" i="19" s="1"/>
  <c r="J217" i="19"/>
  <c r="H217" i="19"/>
  <c r="P217" i="19" s="1"/>
  <c r="V217" i="19" s="1"/>
  <c r="I217" i="19"/>
  <c r="N217" i="19" s="1"/>
  <c r="T217" i="19" s="1"/>
  <c r="K217" i="19"/>
  <c r="Q217" i="19" s="1"/>
  <c r="W217" i="19" s="1"/>
  <c r="M217" i="19"/>
  <c r="F164" i="19"/>
  <c r="J164" i="19"/>
  <c r="M164" i="19"/>
  <c r="I161" i="19"/>
  <c r="N161" i="19" s="1"/>
  <c r="T161" i="19" s="1"/>
  <c r="C161" i="19"/>
  <c r="D161" i="19"/>
  <c r="E161" i="19"/>
  <c r="J251" i="19"/>
  <c r="K251" i="19"/>
  <c r="Q251" i="19" s="1"/>
  <c r="W251" i="19" s="1"/>
  <c r="M251" i="19"/>
  <c r="E251" i="19"/>
  <c r="S251" i="19" s="1"/>
  <c r="Y251" i="19" s="1"/>
  <c r="F251" i="19"/>
  <c r="P251" i="19" s="1"/>
  <c r="V251" i="19" s="1"/>
  <c r="G251" i="19"/>
  <c r="O251" i="19" s="1"/>
  <c r="U251" i="19" s="1"/>
  <c r="P214" i="19"/>
  <c r="V214" i="19" s="1"/>
  <c r="C287" i="19"/>
  <c r="F287" i="19"/>
  <c r="G287" i="19"/>
  <c r="I287" i="19"/>
  <c r="N287" i="19" s="1"/>
  <c r="T287" i="19" s="1"/>
  <c r="M287" i="19"/>
  <c r="L147" i="19"/>
  <c r="R147" i="19" s="1"/>
  <c r="X147" i="19" s="1"/>
  <c r="M146" i="19"/>
  <c r="M119" i="19"/>
  <c r="M118" i="19"/>
  <c r="O118" i="19" s="1"/>
  <c r="U118" i="19" s="1"/>
  <c r="L109" i="19"/>
  <c r="R109" i="19" s="1"/>
  <c r="X109" i="19" s="1"/>
  <c r="M105" i="19"/>
  <c r="O105" i="19" s="1"/>
  <c r="U105" i="19" s="1"/>
  <c r="L392" i="19"/>
  <c r="R392" i="19" s="1"/>
  <c r="X392" i="19" s="1"/>
  <c r="G366" i="19"/>
  <c r="O366" i="19" s="1"/>
  <c r="U366" i="19" s="1"/>
  <c r="E366" i="19"/>
  <c r="F366" i="19"/>
  <c r="H366" i="19"/>
  <c r="H357" i="19"/>
  <c r="D357" i="19"/>
  <c r="E357" i="19"/>
  <c r="G334" i="19"/>
  <c r="L334" i="19"/>
  <c r="R334" i="19" s="1"/>
  <c r="X334" i="19" s="1"/>
  <c r="M334" i="19"/>
  <c r="I297" i="19"/>
  <c r="N297" i="19" s="1"/>
  <c r="T297" i="19" s="1"/>
  <c r="K297" i="19"/>
  <c r="Q297" i="19" s="1"/>
  <c r="W297" i="19" s="1"/>
  <c r="L297" i="19"/>
  <c r="R297" i="19" s="1"/>
  <c r="X297" i="19" s="1"/>
  <c r="E277" i="19"/>
  <c r="F277" i="19"/>
  <c r="G277" i="19"/>
  <c r="D277" i="19"/>
  <c r="H277" i="19"/>
  <c r="K275" i="19"/>
  <c r="Q275" i="19" s="1"/>
  <c r="W275" i="19" s="1"/>
  <c r="L275" i="19"/>
  <c r="R275" i="19" s="1"/>
  <c r="F275" i="19"/>
  <c r="G275" i="19"/>
  <c r="I275" i="19"/>
  <c r="N275" i="19" s="1"/>
  <c r="T275" i="19" s="1"/>
  <c r="D273" i="19"/>
  <c r="J273" i="19"/>
  <c r="K273" i="19"/>
  <c r="Q273" i="19" s="1"/>
  <c r="W273" i="19" s="1"/>
  <c r="L260" i="19"/>
  <c r="R260" i="19" s="1"/>
  <c r="X260" i="19" s="1"/>
  <c r="M260" i="19"/>
  <c r="C260" i="19"/>
  <c r="D260" i="19"/>
  <c r="J193" i="19"/>
  <c r="C193" i="19"/>
  <c r="D193" i="19"/>
  <c r="F193" i="19"/>
  <c r="G193" i="19"/>
  <c r="H193" i="19"/>
  <c r="P193" i="19" s="1"/>
  <c r="V193" i="19" s="1"/>
  <c r="G178" i="19"/>
  <c r="I178" i="19"/>
  <c r="N178" i="19" s="1"/>
  <c r="T178" i="19" s="1"/>
  <c r="C178" i="19"/>
  <c r="E178" i="19"/>
  <c r="E176" i="19"/>
  <c r="M176" i="19"/>
  <c r="F176" i="19"/>
  <c r="H176" i="19"/>
  <c r="I176" i="19"/>
  <c r="N176" i="19" s="1"/>
  <c r="C232" i="19"/>
  <c r="D232" i="19"/>
  <c r="E232" i="19"/>
  <c r="K232" i="19"/>
  <c r="Q232" i="19" s="1"/>
  <c r="W232" i="19" s="1"/>
  <c r="L232" i="19"/>
  <c r="R232" i="19" s="1"/>
  <c r="X232" i="19" s="1"/>
  <c r="M232" i="19"/>
  <c r="D331" i="19"/>
  <c r="E331" i="19"/>
  <c r="D313" i="19"/>
  <c r="K313" i="19"/>
  <c r="Q313" i="19" s="1"/>
  <c r="W313" i="19" s="1"/>
  <c r="L313" i="19"/>
  <c r="R313" i="19" s="1"/>
  <c r="X313" i="19" s="1"/>
  <c r="M313" i="19"/>
  <c r="K204" i="19"/>
  <c r="Q204" i="19" s="1"/>
  <c r="W204" i="19" s="1"/>
  <c r="L204" i="19"/>
  <c r="R204" i="19" s="1"/>
  <c r="M204" i="19"/>
  <c r="C204" i="19"/>
  <c r="E204" i="19"/>
  <c r="F204" i="19"/>
  <c r="K146" i="19"/>
  <c r="Q146" i="19" s="1"/>
  <c r="W146" i="19" s="1"/>
  <c r="K118" i="19"/>
  <c r="Q118" i="19" s="1"/>
  <c r="W118" i="19" s="1"/>
  <c r="K109" i="19"/>
  <c r="Q109" i="19" s="1"/>
  <c r="W109" i="19" s="1"/>
  <c r="W414" i="19"/>
  <c r="C369" i="19"/>
  <c r="D369" i="19"/>
  <c r="E369" i="19"/>
  <c r="S369" i="19" s="1"/>
  <c r="Y369" i="19" s="1"/>
  <c r="E344" i="19"/>
  <c r="S344" i="19" s="1"/>
  <c r="Y344" i="19" s="1"/>
  <c r="D344" i="19"/>
  <c r="F344" i="19"/>
  <c r="P344" i="19" s="1"/>
  <c r="V344" i="19" s="1"/>
  <c r="G344" i="19"/>
  <c r="E326" i="19"/>
  <c r="I326" i="19"/>
  <c r="N326" i="19" s="1"/>
  <c r="T326" i="19" s="1"/>
  <c r="L326" i="19"/>
  <c r="R326" i="19" s="1"/>
  <c r="X326" i="19" s="1"/>
  <c r="L292" i="19"/>
  <c r="R292" i="19" s="1"/>
  <c r="X292" i="19" s="1"/>
  <c r="I292" i="19"/>
  <c r="N292" i="19" s="1"/>
  <c r="T292" i="19" s="1"/>
  <c r="J292" i="19"/>
  <c r="K292" i="19"/>
  <c r="Q292" i="19" s="1"/>
  <c r="W292" i="19" s="1"/>
  <c r="D292" i="19"/>
  <c r="E292" i="19"/>
  <c r="F292" i="19"/>
  <c r="G207" i="19"/>
  <c r="I207" i="19"/>
  <c r="N207" i="19" s="1"/>
  <c r="T207" i="19" s="1"/>
  <c r="K207" i="19"/>
  <c r="Q207" i="19" s="1"/>
  <c r="W207" i="19" s="1"/>
  <c r="D207" i="19"/>
  <c r="L207" i="19"/>
  <c r="R207" i="19" s="1"/>
  <c r="X207" i="19" s="1"/>
  <c r="M207" i="19"/>
  <c r="M166" i="19"/>
  <c r="E166" i="19"/>
  <c r="J166" i="19"/>
  <c r="K166" i="19"/>
  <c r="Q166" i="19" s="1"/>
  <c r="W166" i="19" s="1"/>
  <c r="C379" i="19"/>
  <c r="Y332" i="19"/>
  <c r="C263" i="19"/>
  <c r="F263" i="19"/>
  <c r="H263" i="19"/>
  <c r="I263" i="19"/>
  <c r="N263" i="19" s="1"/>
  <c r="D332" i="19"/>
  <c r="O332" i="19" s="1"/>
  <c r="U332" i="19" s="1"/>
  <c r="E332" i="19"/>
  <c r="S332" i="19" s="1"/>
  <c r="F332" i="19"/>
  <c r="P332" i="19" s="1"/>
  <c r="V332" i="19" s="1"/>
  <c r="I321" i="19"/>
  <c r="N321" i="19" s="1"/>
  <c r="T321" i="19" s="1"/>
  <c r="J321" i="19"/>
  <c r="K321" i="19"/>
  <c r="Q321" i="19" s="1"/>
  <c r="W321" i="19" s="1"/>
  <c r="I309" i="19"/>
  <c r="N309" i="19" s="1"/>
  <c r="T309" i="19" s="1"/>
  <c r="K309" i="19"/>
  <c r="Q309" i="19" s="1"/>
  <c r="L309" i="19"/>
  <c r="R309" i="19" s="1"/>
  <c r="X309" i="19" s="1"/>
  <c r="K288" i="19"/>
  <c r="Q288" i="19" s="1"/>
  <c r="W288" i="19" s="1"/>
  <c r="L288" i="19"/>
  <c r="R288" i="19" s="1"/>
  <c r="X288" i="19" s="1"/>
  <c r="M288" i="19"/>
  <c r="D286" i="19"/>
  <c r="E286" i="19"/>
  <c r="S286" i="19" s="1"/>
  <c r="Y286" i="19" s="1"/>
  <c r="C261" i="19"/>
  <c r="K261" i="19"/>
  <c r="Q261" i="19" s="1"/>
  <c r="W261" i="19" s="1"/>
  <c r="L261" i="19"/>
  <c r="R261" i="19" s="1"/>
  <c r="X261" i="19" s="1"/>
  <c r="M261" i="19"/>
  <c r="E180" i="19"/>
  <c r="H180" i="19"/>
  <c r="X342" i="19"/>
  <c r="C333" i="19"/>
  <c r="G333" i="19"/>
  <c r="H322" i="19"/>
  <c r="P322" i="19" s="1"/>
  <c r="V322" i="19" s="1"/>
  <c r="I322" i="19"/>
  <c r="N322" i="19" s="1"/>
  <c r="T322" i="19" s="1"/>
  <c r="J322" i="19"/>
  <c r="C316" i="19"/>
  <c r="D316" i="19"/>
  <c r="E303" i="19"/>
  <c r="S303" i="19" s="1"/>
  <c r="F303" i="19"/>
  <c r="P303" i="19" s="1"/>
  <c r="V303" i="19" s="1"/>
  <c r="G303" i="19"/>
  <c r="T260" i="19"/>
  <c r="C216" i="19"/>
  <c r="D216" i="19"/>
  <c r="F216" i="19"/>
  <c r="E190" i="19"/>
  <c r="C190" i="19"/>
  <c r="D190" i="19"/>
  <c r="F190" i="19"/>
  <c r="F302" i="19"/>
  <c r="P302" i="19" s="1"/>
  <c r="V302" i="19" s="1"/>
  <c r="C238" i="19"/>
  <c r="D236" i="19"/>
  <c r="C233" i="19"/>
  <c r="C189" i="19"/>
  <c r="S238" i="19"/>
  <c r="Y238" i="19" s="1"/>
  <c r="S425" i="19"/>
  <c r="Y425" i="19" s="1"/>
  <c r="T388" i="19"/>
  <c r="I423" i="19"/>
  <c r="N423" i="19" s="1"/>
  <c r="T423" i="19" s="1"/>
  <c r="L422" i="19"/>
  <c r="R422" i="19" s="1"/>
  <c r="X422" i="19" s="1"/>
  <c r="J383" i="19"/>
  <c r="L383" i="19"/>
  <c r="R383" i="19" s="1"/>
  <c r="X383" i="19" s="1"/>
  <c r="I383" i="19"/>
  <c r="N383" i="19" s="1"/>
  <c r="T383" i="19" s="1"/>
  <c r="E383" i="19"/>
  <c r="M383" i="19"/>
  <c r="G383" i="19"/>
  <c r="K383" i="19"/>
  <c r="Q383" i="19" s="1"/>
  <c r="W383" i="19" s="1"/>
  <c r="M368" i="19"/>
  <c r="K368" i="19"/>
  <c r="Q368" i="19" s="1"/>
  <c r="W368" i="19" s="1"/>
  <c r="G368" i="19"/>
  <c r="H368" i="19"/>
  <c r="I368" i="19"/>
  <c r="N368" i="19" s="1"/>
  <c r="T368" i="19" s="1"/>
  <c r="L368" i="19"/>
  <c r="R368" i="19" s="1"/>
  <c r="X368" i="19" s="1"/>
  <c r="C368" i="19"/>
  <c r="E368" i="19"/>
  <c r="J368" i="19"/>
  <c r="K359" i="19"/>
  <c r="Q359" i="19" s="1"/>
  <c r="W359" i="19" s="1"/>
  <c r="M359" i="19"/>
  <c r="J359" i="19"/>
  <c r="L359" i="19"/>
  <c r="R359" i="19" s="1"/>
  <c r="X359" i="19" s="1"/>
  <c r="H359" i="19"/>
  <c r="D359" i="19"/>
  <c r="C359" i="19"/>
  <c r="E359" i="19"/>
  <c r="G359" i="19"/>
  <c r="T256" i="19"/>
  <c r="H423" i="19"/>
  <c r="S423" i="19" s="1"/>
  <c r="Y423" i="19" s="1"/>
  <c r="G423" i="19"/>
  <c r="H422" i="19"/>
  <c r="L407" i="19"/>
  <c r="R407" i="19" s="1"/>
  <c r="X407" i="19" s="1"/>
  <c r="M401" i="19"/>
  <c r="J400" i="19"/>
  <c r="P334" i="19"/>
  <c r="V334" i="19" s="1"/>
  <c r="H253" i="19"/>
  <c r="D253" i="19"/>
  <c r="C253" i="19"/>
  <c r="F253" i="19"/>
  <c r="G253" i="19"/>
  <c r="I253" i="19"/>
  <c r="N253" i="19" s="1"/>
  <c r="T253" i="19" s="1"/>
  <c r="J253" i="19"/>
  <c r="E253" i="19"/>
  <c r="K253" i="19"/>
  <c r="Q253" i="19" s="1"/>
  <c r="W253" i="19" s="1"/>
  <c r="L253" i="19"/>
  <c r="R253" i="19" s="1"/>
  <c r="X253" i="19" s="1"/>
  <c r="M253" i="19"/>
  <c r="L400" i="19"/>
  <c r="R400" i="19" s="1"/>
  <c r="X400" i="19" s="1"/>
  <c r="H267" i="19"/>
  <c r="D267" i="19"/>
  <c r="J267" i="19"/>
  <c r="M267" i="19"/>
  <c r="K267" i="19"/>
  <c r="Q267" i="19" s="1"/>
  <c r="W267" i="19" s="1"/>
  <c r="C267" i="19"/>
  <c r="E267" i="19"/>
  <c r="L267" i="19"/>
  <c r="R267" i="19" s="1"/>
  <c r="X267" i="19" s="1"/>
  <c r="F267" i="19"/>
  <c r="I267" i="19"/>
  <c r="N267" i="19" s="1"/>
  <c r="T267" i="19" s="1"/>
  <c r="G267" i="19"/>
  <c r="I401" i="19"/>
  <c r="N401" i="19" s="1"/>
  <c r="T401" i="19" s="1"/>
  <c r="F377" i="19"/>
  <c r="I367" i="19"/>
  <c r="N367" i="19" s="1"/>
  <c r="T367" i="19" s="1"/>
  <c r="G341" i="19"/>
  <c r="Y309" i="19"/>
  <c r="W309" i="19"/>
  <c r="I422" i="19"/>
  <c r="N422" i="19" s="1"/>
  <c r="T422" i="19" s="1"/>
  <c r="C374" i="19"/>
  <c r="K374" i="19"/>
  <c r="Q374" i="19" s="1"/>
  <c r="W374" i="19" s="1"/>
  <c r="M374" i="19"/>
  <c r="D374" i="19"/>
  <c r="G374" i="19"/>
  <c r="H374" i="19"/>
  <c r="I374" i="19"/>
  <c r="N374" i="19" s="1"/>
  <c r="T374" i="19" s="1"/>
  <c r="L374" i="19"/>
  <c r="R374" i="19" s="1"/>
  <c r="X374" i="19" s="1"/>
  <c r="F374" i="19"/>
  <c r="X424" i="19"/>
  <c r="F423" i="19"/>
  <c r="G422" i="19"/>
  <c r="X414" i="19"/>
  <c r="D400" i="19"/>
  <c r="I426" i="19"/>
  <c r="N426" i="19" s="1"/>
  <c r="T426" i="19" s="1"/>
  <c r="K426" i="19"/>
  <c r="Q426" i="19" s="1"/>
  <c r="J426" i="19"/>
  <c r="G426" i="19"/>
  <c r="H426" i="19"/>
  <c r="F426" i="19"/>
  <c r="C424" i="19"/>
  <c r="E424" i="19"/>
  <c r="K424" i="19"/>
  <c r="Q424" i="19" s="1"/>
  <c r="W424" i="19" s="1"/>
  <c r="G424" i="19"/>
  <c r="H424" i="19"/>
  <c r="M424" i="19"/>
  <c r="F424" i="19"/>
  <c r="M419" i="19"/>
  <c r="W417" i="19"/>
  <c r="L413" i="19"/>
  <c r="R413" i="19" s="1"/>
  <c r="X413" i="19" s="1"/>
  <c r="D413" i="19"/>
  <c r="I413" i="19"/>
  <c r="N413" i="19" s="1"/>
  <c r="T413" i="19" s="1"/>
  <c r="G413" i="19"/>
  <c r="H413" i="19"/>
  <c r="S413" i="19" s="1"/>
  <c r="Y413" i="19" s="1"/>
  <c r="F413" i="19"/>
  <c r="T411" i="19"/>
  <c r="C410" i="19"/>
  <c r="E410" i="19"/>
  <c r="M410" i="19"/>
  <c r="G410" i="19"/>
  <c r="H410" i="19"/>
  <c r="L410" i="19"/>
  <c r="R410" i="19" s="1"/>
  <c r="X410" i="19" s="1"/>
  <c r="F410" i="19"/>
  <c r="D407" i="19"/>
  <c r="H401" i="19"/>
  <c r="P401" i="19" s="1"/>
  <c r="V401" i="19" s="1"/>
  <c r="E384" i="19"/>
  <c r="I384" i="19"/>
  <c r="N384" i="19" s="1"/>
  <c r="T384" i="19" s="1"/>
  <c r="J384" i="19"/>
  <c r="K384" i="19"/>
  <c r="Q384" i="19" s="1"/>
  <c r="W384" i="19" s="1"/>
  <c r="C384" i="19"/>
  <c r="F384" i="19"/>
  <c r="H384" i="19"/>
  <c r="J363" i="19"/>
  <c r="X361" i="19"/>
  <c r="F335" i="19"/>
  <c r="I305" i="19"/>
  <c r="N305" i="19" s="1"/>
  <c r="T305" i="19" s="1"/>
  <c r="E305" i="19"/>
  <c r="S305" i="19" s="1"/>
  <c r="Y305" i="19" s="1"/>
  <c r="K305" i="19"/>
  <c r="Q305" i="19" s="1"/>
  <c r="M305" i="19"/>
  <c r="D305" i="19"/>
  <c r="F305" i="19"/>
  <c r="P305" i="19" s="1"/>
  <c r="V305" i="19" s="1"/>
  <c r="L305" i="19"/>
  <c r="R305" i="19" s="1"/>
  <c r="X305" i="19" s="1"/>
  <c r="C305" i="19"/>
  <c r="J305" i="19"/>
  <c r="L259" i="19"/>
  <c r="R259" i="19" s="1"/>
  <c r="X259" i="19" s="1"/>
  <c r="J259" i="19"/>
  <c r="G259" i="19"/>
  <c r="D259" i="19"/>
  <c r="F259" i="19"/>
  <c r="H259" i="19"/>
  <c r="I259" i="19"/>
  <c r="N259" i="19" s="1"/>
  <c r="T259" i="19" s="1"/>
  <c r="C259" i="19"/>
  <c r="E259" i="19"/>
  <c r="K259" i="19"/>
  <c r="Q259" i="19" s="1"/>
  <c r="W259" i="19" s="1"/>
  <c r="M259" i="19"/>
  <c r="M354" i="19"/>
  <c r="D354" i="19"/>
  <c r="H354" i="19"/>
  <c r="C354" i="19"/>
  <c r="E354" i="19"/>
  <c r="I354" i="19"/>
  <c r="N354" i="19" s="1"/>
  <c r="T354" i="19" s="1"/>
  <c r="J354" i="19"/>
  <c r="F354" i="19"/>
  <c r="W426" i="19"/>
  <c r="K407" i="19"/>
  <c r="Q407" i="19" s="1"/>
  <c r="W407" i="19" s="1"/>
  <c r="F425" i="19"/>
  <c r="H425" i="19"/>
  <c r="D425" i="19"/>
  <c r="L419" i="19"/>
  <c r="R419" i="19" s="1"/>
  <c r="X419" i="19" s="1"/>
  <c r="I412" i="19"/>
  <c r="N412" i="19" s="1"/>
  <c r="T412" i="19" s="1"/>
  <c r="K412" i="19"/>
  <c r="Q412" i="19" s="1"/>
  <c r="W412" i="19" s="1"/>
  <c r="M412" i="19"/>
  <c r="L412" i="19"/>
  <c r="R412" i="19" s="1"/>
  <c r="X412" i="19" s="1"/>
  <c r="L404" i="19"/>
  <c r="R404" i="19" s="1"/>
  <c r="X404" i="19" s="1"/>
  <c r="X380" i="19"/>
  <c r="S352" i="19"/>
  <c r="Y352" i="19" s="1"/>
  <c r="M226" i="19"/>
  <c r="D226" i="19"/>
  <c r="J226" i="19"/>
  <c r="F226" i="19"/>
  <c r="C226" i="19"/>
  <c r="K226" i="19"/>
  <c r="Q226" i="19" s="1"/>
  <c r="L226" i="19"/>
  <c r="R226" i="19" s="1"/>
  <c r="X226" i="19" s="1"/>
  <c r="G226" i="19"/>
  <c r="E226" i="19"/>
  <c r="H226" i="19"/>
  <c r="I226" i="19"/>
  <c r="N226" i="19" s="1"/>
  <c r="T226" i="19" s="1"/>
  <c r="L377" i="19"/>
  <c r="R377" i="19" s="1"/>
  <c r="X377" i="19" s="1"/>
  <c r="K377" i="19"/>
  <c r="Q377" i="19" s="1"/>
  <c r="W377" i="19" s="1"/>
  <c r="G377" i="19"/>
  <c r="I377" i="19"/>
  <c r="N377" i="19" s="1"/>
  <c r="T377" i="19" s="1"/>
  <c r="M377" i="19"/>
  <c r="J377" i="19"/>
  <c r="C377" i="19"/>
  <c r="E377" i="19"/>
  <c r="H377" i="19"/>
  <c r="H407" i="19"/>
  <c r="J407" i="19"/>
  <c r="G407" i="19"/>
  <c r="F407" i="19"/>
  <c r="I407" i="19"/>
  <c r="N407" i="19" s="1"/>
  <c r="T407" i="19" s="1"/>
  <c r="E407" i="19"/>
  <c r="D404" i="19"/>
  <c r="J401" i="19"/>
  <c r="L401" i="19"/>
  <c r="R401" i="19" s="1"/>
  <c r="X401" i="19" s="1"/>
  <c r="E401" i="19"/>
  <c r="S401" i="19" s="1"/>
  <c r="Y401" i="19" s="1"/>
  <c r="G401" i="19"/>
  <c r="C401" i="19"/>
  <c r="D401" i="19"/>
  <c r="K401" i="19"/>
  <c r="Q401" i="19" s="1"/>
  <c r="W401" i="19" s="1"/>
  <c r="L363" i="19"/>
  <c r="R363" i="19" s="1"/>
  <c r="X363" i="19" s="1"/>
  <c r="D363" i="19"/>
  <c r="G363" i="19"/>
  <c r="M363" i="19"/>
  <c r="F363" i="19"/>
  <c r="H363" i="19"/>
  <c r="K363" i="19"/>
  <c r="Q363" i="19" s="1"/>
  <c r="W363" i="19" s="1"/>
  <c r="E363" i="19"/>
  <c r="I363" i="19"/>
  <c r="N363" i="19" s="1"/>
  <c r="T363" i="19" s="1"/>
  <c r="T278" i="19"/>
  <c r="E419" i="19"/>
  <c r="S419" i="19" s="1"/>
  <c r="Y419" i="19" s="1"/>
  <c r="E406" i="19"/>
  <c r="S406" i="19" s="1"/>
  <c r="Y406" i="19" s="1"/>
  <c r="G406" i="19"/>
  <c r="J406" i="19"/>
  <c r="M406" i="19"/>
  <c r="F403" i="19"/>
  <c r="E403" i="19"/>
  <c r="H403" i="19"/>
  <c r="G403" i="19"/>
  <c r="M403" i="19"/>
  <c r="L403" i="19"/>
  <c r="R403" i="19" s="1"/>
  <c r="X403" i="19" s="1"/>
  <c r="K403" i="19"/>
  <c r="Q403" i="19" s="1"/>
  <c r="W403" i="19" s="1"/>
  <c r="T398" i="19"/>
  <c r="M391" i="19"/>
  <c r="H385" i="19"/>
  <c r="E385" i="19"/>
  <c r="G385" i="19"/>
  <c r="L385" i="19"/>
  <c r="R385" i="19" s="1"/>
  <c r="X385" i="19" s="1"/>
  <c r="J385" i="19"/>
  <c r="C385" i="19"/>
  <c r="D385" i="19"/>
  <c r="F385" i="19"/>
  <c r="M385" i="19"/>
  <c r="L365" i="19"/>
  <c r="R365" i="19" s="1"/>
  <c r="X365" i="19" s="1"/>
  <c r="W350" i="19"/>
  <c r="W346" i="19"/>
  <c r="P419" i="19"/>
  <c r="V419" i="19" s="1"/>
  <c r="T403" i="19"/>
  <c r="J335" i="19"/>
  <c r="G335" i="19"/>
  <c r="H335" i="19"/>
  <c r="K335" i="19"/>
  <c r="Q335" i="19" s="1"/>
  <c r="W335" i="19" s="1"/>
  <c r="L335" i="19"/>
  <c r="R335" i="19" s="1"/>
  <c r="X335" i="19" s="1"/>
  <c r="E335" i="19"/>
  <c r="C335" i="19"/>
  <c r="I335" i="19"/>
  <c r="N335" i="19" s="1"/>
  <c r="T335" i="19" s="1"/>
  <c r="M335" i="19"/>
  <c r="H383" i="19"/>
  <c r="P383" i="19" s="1"/>
  <c r="V383" i="19" s="1"/>
  <c r="J367" i="19"/>
  <c r="F367" i="19"/>
  <c r="H367" i="19"/>
  <c r="E367" i="19"/>
  <c r="M367" i="19"/>
  <c r="L367" i="19"/>
  <c r="R367" i="19" s="1"/>
  <c r="X367" i="19" s="1"/>
  <c r="C367" i="19"/>
  <c r="G367" i="19"/>
  <c r="K367" i="19"/>
  <c r="Q367" i="19" s="1"/>
  <c r="W367" i="19" s="1"/>
  <c r="M426" i="19"/>
  <c r="W415" i="19"/>
  <c r="C383" i="19"/>
  <c r="J374" i="19"/>
  <c r="D368" i="19"/>
  <c r="D365" i="19"/>
  <c r="K365" i="19"/>
  <c r="Q365" i="19" s="1"/>
  <c r="W365" i="19" s="1"/>
  <c r="M365" i="19"/>
  <c r="J365" i="19"/>
  <c r="F365" i="19"/>
  <c r="C365" i="19"/>
  <c r="H365" i="19"/>
  <c r="I365" i="19"/>
  <c r="N365" i="19" s="1"/>
  <c r="T365" i="19" s="1"/>
  <c r="F359" i="19"/>
  <c r="K354" i="19"/>
  <c r="Q354" i="19" s="1"/>
  <c r="W354" i="19" s="1"/>
  <c r="D423" i="19"/>
  <c r="M423" i="19"/>
  <c r="C423" i="19"/>
  <c r="L423" i="19"/>
  <c r="R423" i="19" s="1"/>
  <c r="X423" i="19" s="1"/>
  <c r="K422" i="19"/>
  <c r="Q422" i="19" s="1"/>
  <c r="W422" i="19" s="1"/>
  <c r="M422" i="19"/>
  <c r="E422" i="19"/>
  <c r="F422" i="19"/>
  <c r="J422" i="19"/>
  <c r="D422" i="19"/>
  <c r="K400" i="19"/>
  <c r="Q400" i="19" s="1"/>
  <c r="W400" i="19" s="1"/>
  <c r="E400" i="19"/>
  <c r="G400" i="19"/>
  <c r="M400" i="19"/>
  <c r="H400" i="19"/>
  <c r="I400" i="19"/>
  <c r="N400" i="19" s="1"/>
  <c r="T400" i="19" s="1"/>
  <c r="F400" i="19"/>
  <c r="P400" i="19" s="1"/>
  <c r="V400" i="19" s="1"/>
  <c r="K341" i="19"/>
  <c r="Q341" i="19" s="1"/>
  <c r="W341" i="19" s="1"/>
  <c r="M341" i="19"/>
  <c r="D341" i="19"/>
  <c r="I341" i="19"/>
  <c r="N341" i="19" s="1"/>
  <c r="T341" i="19" s="1"/>
  <c r="J341" i="19"/>
  <c r="L341" i="19"/>
  <c r="R341" i="19" s="1"/>
  <c r="X341" i="19" s="1"/>
  <c r="C341" i="19"/>
  <c r="F341" i="19"/>
  <c r="H341" i="19"/>
  <c r="S341" i="19" s="1"/>
  <c r="Y341" i="19" s="1"/>
  <c r="I291" i="19"/>
  <c r="N291" i="19" s="1"/>
  <c r="T291" i="19" s="1"/>
  <c r="K291" i="19"/>
  <c r="Q291" i="19" s="1"/>
  <c r="W291" i="19" s="1"/>
  <c r="G291" i="19"/>
  <c r="D291" i="19"/>
  <c r="E291" i="19"/>
  <c r="F291" i="19"/>
  <c r="H291" i="19"/>
  <c r="J291" i="19"/>
  <c r="L291" i="19"/>
  <c r="R291" i="19" s="1"/>
  <c r="X291" i="19" s="1"/>
  <c r="C291" i="19"/>
  <c r="M291" i="19"/>
  <c r="I258" i="19"/>
  <c r="N258" i="19" s="1"/>
  <c r="T258" i="19" s="1"/>
  <c r="E258" i="19"/>
  <c r="D258" i="19"/>
  <c r="J258" i="19"/>
  <c r="L258" i="19"/>
  <c r="R258" i="19" s="1"/>
  <c r="X258" i="19" s="1"/>
  <c r="M258" i="19"/>
  <c r="C258" i="19"/>
  <c r="G258" i="19"/>
  <c r="H258" i="19"/>
  <c r="F258" i="19"/>
  <c r="K258" i="19"/>
  <c r="Q258" i="19" s="1"/>
  <c r="W258" i="19" s="1"/>
  <c r="I404" i="19"/>
  <c r="N404" i="19" s="1"/>
  <c r="T404" i="19" s="1"/>
  <c r="K404" i="19"/>
  <c r="Q404" i="19" s="1"/>
  <c r="W404" i="19" s="1"/>
  <c r="M404" i="19"/>
  <c r="F404" i="19"/>
  <c r="G404" i="19"/>
  <c r="H404" i="19"/>
  <c r="E404" i="19"/>
  <c r="D419" i="19"/>
  <c r="G419" i="19"/>
  <c r="J419" i="19"/>
  <c r="K419" i="19"/>
  <c r="Q419" i="19" s="1"/>
  <c r="W419" i="19" s="1"/>
  <c r="I419" i="19"/>
  <c r="N419" i="19" s="1"/>
  <c r="T419" i="19" s="1"/>
  <c r="L391" i="19"/>
  <c r="R391" i="19" s="1"/>
  <c r="X391" i="19" s="1"/>
  <c r="F391" i="19"/>
  <c r="H391" i="19"/>
  <c r="E391" i="19"/>
  <c r="I391" i="19"/>
  <c r="N391" i="19" s="1"/>
  <c r="T391" i="19" s="1"/>
  <c r="J391" i="19"/>
  <c r="K391" i="19"/>
  <c r="Q391" i="19" s="1"/>
  <c r="W391" i="19" s="1"/>
  <c r="C391" i="19"/>
  <c r="G391" i="19"/>
  <c r="D383" i="19"/>
  <c r="W378" i="19"/>
  <c r="X378" i="19"/>
  <c r="F368" i="19"/>
  <c r="I359" i="19"/>
  <c r="N359" i="19" s="1"/>
  <c r="T359" i="19" s="1"/>
  <c r="L354" i="19"/>
  <c r="R354" i="19" s="1"/>
  <c r="X354" i="19" s="1"/>
  <c r="K425" i="19"/>
  <c r="Q425" i="19" s="1"/>
  <c r="W425" i="19" s="1"/>
  <c r="K423" i="19"/>
  <c r="Q423" i="19" s="1"/>
  <c r="W423" i="19" s="1"/>
  <c r="M413" i="19"/>
  <c r="H412" i="19"/>
  <c r="P412" i="19" s="1"/>
  <c r="V412" i="19" s="1"/>
  <c r="L426" i="19"/>
  <c r="R426" i="19" s="1"/>
  <c r="X426" i="19" s="1"/>
  <c r="J425" i="19"/>
  <c r="L424" i="19"/>
  <c r="R424" i="19" s="1"/>
  <c r="J423" i="19"/>
  <c r="K413" i="19"/>
  <c r="Q413" i="19" s="1"/>
  <c r="W413" i="19" s="1"/>
  <c r="G412" i="19"/>
  <c r="K410" i="19"/>
  <c r="Q410" i="19" s="1"/>
  <c r="W410" i="19" s="1"/>
  <c r="G394" i="19"/>
  <c r="E394" i="19"/>
  <c r="H394" i="19"/>
  <c r="I394" i="19"/>
  <c r="N394" i="19" s="1"/>
  <c r="T394" i="19" s="1"/>
  <c r="J394" i="19"/>
  <c r="L394" i="19"/>
  <c r="R394" i="19" s="1"/>
  <c r="X394" i="19" s="1"/>
  <c r="K394" i="19"/>
  <c r="Q394" i="19" s="1"/>
  <c r="W394" i="19" s="1"/>
  <c r="C394" i="19"/>
  <c r="F394" i="19"/>
  <c r="M384" i="19"/>
  <c r="E374" i="19"/>
  <c r="S374" i="19" s="1"/>
  <c r="Y374" i="19" s="1"/>
  <c r="I362" i="19"/>
  <c r="N362" i="19" s="1"/>
  <c r="T362" i="19" s="1"/>
  <c r="L362" i="19"/>
  <c r="R362" i="19" s="1"/>
  <c r="X362" i="19" s="1"/>
  <c r="E362" i="19"/>
  <c r="F362" i="19"/>
  <c r="M362" i="19"/>
  <c r="G362" i="19"/>
  <c r="H362" i="19"/>
  <c r="K362" i="19"/>
  <c r="Q362" i="19" s="1"/>
  <c r="W362" i="19" s="1"/>
  <c r="J362" i="19"/>
  <c r="D362" i="19"/>
  <c r="G354" i="19"/>
  <c r="E420" i="19"/>
  <c r="G420" i="19"/>
  <c r="K408" i="19"/>
  <c r="Q408" i="19" s="1"/>
  <c r="W408" i="19" s="1"/>
  <c r="M408" i="19"/>
  <c r="L408" i="19"/>
  <c r="R408" i="19" s="1"/>
  <c r="X408" i="19" s="1"/>
  <c r="W392" i="19"/>
  <c r="F389" i="19"/>
  <c r="P389" i="19" s="1"/>
  <c r="V389" i="19" s="1"/>
  <c r="K389" i="19"/>
  <c r="Q389" i="19" s="1"/>
  <c r="W389" i="19" s="1"/>
  <c r="M389" i="19"/>
  <c r="O389" i="19" s="1"/>
  <c r="U389" i="19" s="1"/>
  <c r="W385" i="19"/>
  <c r="I373" i="19"/>
  <c r="N373" i="19" s="1"/>
  <c r="T373" i="19" s="1"/>
  <c r="E370" i="19"/>
  <c r="F370" i="19"/>
  <c r="H370" i="19"/>
  <c r="I370" i="19"/>
  <c r="N370" i="19" s="1"/>
  <c r="T370" i="19" s="1"/>
  <c r="J370" i="19"/>
  <c r="L370" i="19"/>
  <c r="R370" i="19" s="1"/>
  <c r="X370" i="19" s="1"/>
  <c r="W364" i="19"/>
  <c r="X356" i="19"/>
  <c r="F355" i="19"/>
  <c r="H355" i="19"/>
  <c r="S355" i="19" s="1"/>
  <c r="Y355" i="19" s="1"/>
  <c r="G355" i="19"/>
  <c r="I355" i="19"/>
  <c r="N355" i="19" s="1"/>
  <c r="T355" i="19" s="1"/>
  <c r="K355" i="19"/>
  <c r="Q355" i="19" s="1"/>
  <c r="W355" i="19" s="1"/>
  <c r="G352" i="19"/>
  <c r="F352" i="19"/>
  <c r="P352" i="19" s="1"/>
  <c r="V352" i="19" s="1"/>
  <c r="I352" i="19"/>
  <c r="N352" i="19" s="1"/>
  <c r="T352" i="19" s="1"/>
  <c r="K352" i="19"/>
  <c r="Q352" i="19" s="1"/>
  <c r="W352" i="19" s="1"/>
  <c r="L352" i="19"/>
  <c r="R352" i="19" s="1"/>
  <c r="X352" i="19" s="1"/>
  <c r="D352" i="19"/>
  <c r="X351" i="19"/>
  <c r="K349" i="19"/>
  <c r="Q349" i="19" s="1"/>
  <c r="W349" i="19" s="1"/>
  <c r="G348" i="19"/>
  <c r="E338" i="19"/>
  <c r="S338" i="19" s="1"/>
  <c r="Y338" i="19" s="1"/>
  <c r="G338" i="19"/>
  <c r="L338" i="19"/>
  <c r="R338" i="19" s="1"/>
  <c r="X338" i="19" s="1"/>
  <c r="D338" i="19"/>
  <c r="F338" i="19"/>
  <c r="K338" i="19"/>
  <c r="Q338" i="19" s="1"/>
  <c r="W338" i="19" s="1"/>
  <c r="K325" i="19"/>
  <c r="Q325" i="19" s="1"/>
  <c r="W325" i="19" s="1"/>
  <c r="T313" i="19"/>
  <c r="H310" i="19"/>
  <c r="D294" i="19"/>
  <c r="J294" i="19"/>
  <c r="K294" i="19"/>
  <c r="Q294" i="19" s="1"/>
  <c r="W294" i="19" s="1"/>
  <c r="M294" i="19"/>
  <c r="H294" i="19"/>
  <c r="L294" i="19"/>
  <c r="R294" i="19" s="1"/>
  <c r="X294" i="19" s="1"/>
  <c r="I294" i="19"/>
  <c r="N294" i="19" s="1"/>
  <c r="T294" i="19" s="1"/>
  <c r="S279" i="19"/>
  <c r="Y279" i="19" s="1"/>
  <c r="F271" i="19"/>
  <c r="J271" i="19"/>
  <c r="H271" i="19"/>
  <c r="S271" i="19" s="1"/>
  <c r="Y271" i="19" s="1"/>
  <c r="I271" i="19"/>
  <c r="N271" i="19" s="1"/>
  <c r="T271" i="19" s="1"/>
  <c r="K271" i="19"/>
  <c r="Q271" i="19" s="1"/>
  <c r="W271" i="19" s="1"/>
  <c r="G271" i="19"/>
  <c r="L271" i="19"/>
  <c r="R271" i="19" s="1"/>
  <c r="X271" i="19" s="1"/>
  <c r="M271" i="19"/>
  <c r="D271" i="19"/>
  <c r="C388" i="19"/>
  <c r="F388" i="19"/>
  <c r="H388" i="19"/>
  <c r="E388" i="19"/>
  <c r="I388" i="19"/>
  <c r="N388" i="19" s="1"/>
  <c r="F361" i="19"/>
  <c r="G361" i="19"/>
  <c r="I361" i="19"/>
  <c r="N361" i="19" s="1"/>
  <c r="T361" i="19" s="1"/>
  <c r="M361" i="19"/>
  <c r="C361" i="19"/>
  <c r="K361" i="19"/>
  <c r="Q361" i="19" s="1"/>
  <c r="W361" i="19" s="1"/>
  <c r="F347" i="19"/>
  <c r="L347" i="19"/>
  <c r="R347" i="19" s="1"/>
  <c r="X347" i="19" s="1"/>
  <c r="D347" i="19"/>
  <c r="E347" i="19"/>
  <c r="C347" i="19"/>
  <c r="J347" i="19"/>
  <c r="D345" i="19"/>
  <c r="C345" i="19"/>
  <c r="K345" i="19"/>
  <c r="Q345" i="19" s="1"/>
  <c r="W345" i="19" s="1"/>
  <c r="L345" i="19"/>
  <c r="R345" i="19" s="1"/>
  <c r="X345" i="19" s="1"/>
  <c r="G345" i="19"/>
  <c r="X343" i="19"/>
  <c r="M340" i="19"/>
  <c r="G340" i="19"/>
  <c r="I340" i="19"/>
  <c r="N340" i="19" s="1"/>
  <c r="T340" i="19" s="1"/>
  <c r="J340" i="19"/>
  <c r="C340" i="19"/>
  <c r="D340" i="19"/>
  <c r="F340" i="19"/>
  <c r="E324" i="19"/>
  <c r="L324" i="19"/>
  <c r="R324" i="19" s="1"/>
  <c r="X324" i="19" s="1"/>
  <c r="M324" i="19"/>
  <c r="H324" i="19"/>
  <c r="L320" i="19"/>
  <c r="R320" i="19" s="1"/>
  <c r="X320" i="19" s="1"/>
  <c r="E320" i="19"/>
  <c r="G320" i="19"/>
  <c r="C320" i="19"/>
  <c r="D320" i="19"/>
  <c r="J320" i="19"/>
  <c r="K320" i="19"/>
  <c r="Q320" i="19" s="1"/>
  <c r="W320" i="19" s="1"/>
  <c r="K315" i="19"/>
  <c r="Q315" i="19" s="1"/>
  <c r="W315" i="19" s="1"/>
  <c r="I315" i="19"/>
  <c r="N315" i="19" s="1"/>
  <c r="T315" i="19" s="1"/>
  <c r="C315" i="19"/>
  <c r="E315" i="19"/>
  <c r="S315" i="19" s="1"/>
  <c r="F315" i="19"/>
  <c r="P315" i="19" s="1"/>
  <c r="V315" i="19" s="1"/>
  <c r="D315" i="19"/>
  <c r="G315" i="19"/>
  <c r="M315" i="19"/>
  <c r="K301" i="19"/>
  <c r="Q301" i="19" s="1"/>
  <c r="W301" i="19" s="1"/>
  <c r="M301" i="19"/>
  <c r="H301" i="19"/>
  <c r="J301" i="19"/>
  <c r="L301" i="19"/>
  <c r="R301" i="19" s="1"/>
  <c r="X301" i="19" s="1"/>
  <c r="E301" i="19"/>
  <c r="G301" i="19"/>
  <c r="I301" i="19"/>
  <c r="N301" i="19" s="1"/>
  <c r="T301" i="19" s="1"/>
  <c r="C301" i="19"/>
  <c r="I348" i="19"/>
  <c r="N348" i="19" s="1"/>
  <c r="T348" i="19" s="1"/>
  <c r="D348" i="19"/>
  <c r="M348" i="19"/>
  <c r="E348" i="19"/>
  <c r="K348" i="19"/>
  <c r="Q348" i="19" s="1"/>
  <c r="H325" i="19"/>
  <c r="C325" i="19"/>
  <c r="E325" i="19"/>
  <c r="S325" i="19" s="1"/>
  <c r="Y325" i="19" s="1"/>
  <c r="F325" i="19"/>
  <c r="J325" i="19"/>
  <c r="L325" i="19"/>
  <c r="R325" i="19" s="1"/>
  <c r="X325" i="19" s="1"/>
  <c r="M325" i="19"/>
  <c r="I325" i="19"/>
  <c r="N325" i="19" s="1"/>
  <c r="T325" i="19" s="1"/>
  <c r="S316" i="19"/>
  <c r="Y316" i="19" s="1"/>
  <c r="J310" i="19"/>
  <c r="G310" i="19"/>
  <c r="I310" i="19"/>
  <c r="N310" i="19" s="1"/>
  <c r="T310" i="19" s="1"/>
  <c r="K310" i="19"/>
  <c r="Q310" i="19" s="1"/>
  <c r="W310" i="19" s="1"/>
  <c r="D310" i="19"/>
  <c r="E310" i="19"/>
  <c r="M310" i="19"/>
  <c r="T257" i="19"/>
  <c r="F219" i="19"/>
  <c r="D219" i="19"/>
  <c r="C219" i="19"/>
  <c r="J219" i="19"/>
  <c r="I219" i="19"/>
  <c r="N219" i="19" s="1"/>
  <c r="M219" i="19"/>
  <c r="E219" i="19"/>
  <c r="G219" i="19"/>
  <c r="K219" i="19"/>
  <c r="Q219" i="19" s="1"/>
  <c r="W219" i="19" s="1"/>
  <c r="L219" i="19"/>
  <c r="R219" i="19" s="1"/>
  <c r="X219" i="19" s="1"/>
  <c r="H219" i="19"/>
  <c r="F373" i="19"/>
  <c r="H373" i="19"/>
  <c r="C373" i="19"/>
  <c r="J373" i="19"/>
  <c r="L349" i="19"/>
  <c r="R349" i="19" s="1"/>
  <c r="X349" i="19" s="1"/>
  <c r="G349" i="19"/>
  <c r="I349" i="19"/>
  <c r="N349" i="19" s="1"/>
  <c r="T349" i="19" s="1"/>
  <c r="E349" i="19"/>
  <c r="F349" i="19"/>
  <c r="H349" i="19"/>
  <c r="W342" i="19"/>
  <c r="X321" i="19"/>
  <c r="G295" i="19"/>
  <c r="D295" i="19"/>
  <c r="E295" i="19"/>
  <c r="F295" i="19"/>
  <c r="H295" i="19"/>
  <c r="J295" i="19"/>
  <c r="L295" i="19"/>
  <c r="R295" i="19" s="1"/>
  <c r="X295" i="19" s="1"/>
  <c r="M295" i="19"/>
  <c r="I295" i="19"/>
  <c r="N295" i="19" s="1"/>
  <c r="T295" i="19" s="1"/>
  <c r="W290" i="19"/>
  <c r="E266" i="19"/>
  <c r="I266" i="19"/>
  <c r="N266" i="19" s="1"/>
  <c r="T266" i="19" s="1"/>
  <c r="C266" i="19"/>
  <c r="D266" i="19"/>
  <c r="F266" i="19"/>
  <c r="G266" i="19"/>
  <c r="J266" i="19"/>
  <c r="K266" i="19"/>
  <c r="Q266" i="19" s="1"/>
  <c r="W266" i="19" s="1"/>
  <c r="L266" i="19"/>
  <c r="R266" i="19" s="1"/>
  <c r="X266" i="19" s="1"/>
  <c r="F257" i="19"/>
  <c r="M257" i="19"/>
  <c r="G257" i="19"/>
  <c r="J257" i="19"/>
  <c r="K257" i="19"/>
  <c r="Q257" i="19" s="1"/>
  <c r="W257" i="19" s="1"/>
  <c r="L257" i="19"/>
  <c r="R257" i="19" s="1"/>
  <c r="X257" i="19" s="1"/>
  <c r="C257" i="19"/>
  <c r="D257" i="19"/>
  <c r="E257" i="19"/>
  <c r="H257" i="19"/>
  <c r="X252" i="19"/>
  <c r="T252" i="19"/>
  <c r="H421" i="19"/>
  <c r="J421" i="19"/>
  <c r="E421" i="19"/>
  <c r="F409" i="19"/>
  <c r="P409" i="19" s="1"/>
  <c r="V409" i="19" s="1"/>
  <c r="D409" i="19"/>
  <c r="D393" i="19"/>
  <c r="G393" i="19"/>
  <c r="G380" i="19"/>
  <c r="K380" i="19"/>
  <c r="Q380" i="19" s="1"/>
  <c r="W380" i="19" s="1"/>
  <c r="M380" i="19"/>
  <c r="I380" i="19"/>
  <c r="N380" i="19" s="1"/>
  <c r="T380" i="19" s="1"/>
  <c r="W376" i="19"/>
  <c r="X376" i="19"/>
  <c r="W366" i="19"/>
  <c r="X366" i="19"/>
  <c r="D333" i="19"/>
  <c r="L333" i="19"/>
  <c r="R333" i="19" s="1"/>
  <c r="X333" i="19" s="1"/>
  <c r="J333" i="19"/>
  <c r="M333" i="19"/>
  <c r="E333" i="19"/>
  <c r="S333" i="19" s="1"/>
  <c r="Y333" i="19" s="1"/>
  <c r="F333" i="19"/>
  <c r="P333" i="19" s="1"/>
  <c r="V333" i="19" s="1"/>
  <c r="K333" i="19"/>
  <c r="Q333" i="19" s="1"/>
  <c r="W333" i="19" s="1"/>
  <c r="P327" i="19"/>
  <c r="V327" i="19" s="1"/>
  <c r="K324" i="19"/>
  <c r="Q324" i="19" s="1"/>
  <c r="W324" i="19" s="1"/>
  <c r="I316" i="19"/>
  <c r="N316" i="19" s="1"/>
  <c r="T316" i="19" s="1"/>
  <c r="L316" i="19"/>
  <c r="R316" i="19" s="1"/>
  <c r="X316" i="19" s="1"/>
  <c r="K316" i="19"/>
  <c r="Q316" i="19" s="1"/>
  <c r="W316" i="19" s="1"/>
  <c r="F316" i="19"/>
  <c r="P316" i="19" s="1"/>
  <c r="V316" i="19" s="1"/>
  <c r="G316" i="19"/>
  <c r="M311" i="19"/>
  <c r="E311" i="19"/>
  <c r="F311" i="19"/>
  <c r="C311" i="19"/>
  <c r="J311" i="19"/>
  <c r="L311" i="19"/>
  <c r="R311" i="19" s="1"/>
  <c r="X311" i="19" s="1"/>
  <c r="G311" i="19"/>
  <c r="H311" i="19"/>
  <c r="S293" i="19"/>
  <c r="Y293" i="19" s="1"/>
  <c r="P293" i="19"/>
  <c r="V293" i="19" s="1"/>
  <c r="D379" i="19"/>
  <c r="F379" i="19"/>
  <c r="H379" i="19"/>
  <c r="S379" i="19" s="1"/>
  <c r="Y379" i="19" s="1"/>
  <c r="G379" i="19"/>
  <c r="M345" i="19"/>
  <c r="J324" i="19"/>
  <c r="K268" i="19"/>
  <c r="Q268" i="19" s="1"/>
  <c r="W268" i="19" s="1"/>
  <c r="I268" i="19"/>
  <c r="N268" i="19" s="1"/>
  <c r="T268" i="19" s="1"/>
  <c r="G268" i="19"/>
  <c r="H268" i="19"/>
  <c r="J268" i="19"/>
  <c r="L268" i="19"/>
  <c r="R268" i="19" s="1"/>
  <c r="X268" i="19" s="1"/>
  <c r="D268" i="19"/>
  <c r="S256" i="19"/>
  <c r="Y256" i="19" s="1"/>
  <c r="G234" i="19"/>
  <c r="C234" i="19"/>
  <c r="J234" i="19"/>
  <c r="I234" i="19"/>
  <c r="N234" i="19" s="1"/>
  <c r="T234" i="19" s="1"/>
  <c r="K234" i="19"/>
  <c r="Q234" i="19" s="1"/>
  <c r="W234" i="19" s="1"/>
  <c r="E234" i="19"/>
  <c r="D234" i="19"/>
  <c r="M234" i="19"/>
  <c r="F234" i="19"/>
  <c r="H234" i="19"/>
  <c r="L234" i="19"/>
  <c r="R234" i="19" s="1"/>
  <c r="X234" i="19" s="1"/>
  <c r="F411" i="19"/>
  <c r="H411" i="19"/>
  <c r="S411" i="19" s="1"/>
  <c r="Y411" i="19" s="1"/>
  <c r="D411" i="19"/>
  <c r="G411" i="19"/>
  <c r="C408" i="19"/>
  <c r="E398" i="19"/>
  <c r="S398" i="19" s="1"/>
  <c r="Y398" i="19" s="1"/>
  <c r="J398" i="19"/>
  <c r="L398" i="19"/>
  <c r="R398" i="19" s="1"/>
  <c r="X398" i="19" s="1"/>
  <c r="K398" i="19"/>
  <c r="Q398" i="19" s="1"/>
  <c r="W398" i="19" s="1"/>
  <c r="G398" i="19"/>
  <c r="M393" i="19"/>
  <c r="T392" i="19"/>
  <c r="C389" i="19"/>
  <c r="T386" i="19"/>
  <c r="L373" i="19"/>
  <c r="R373" i="19" s="1"/>
  <c r="X373" i="19" s="1"/>
  <c r="C370" i="19"/>
  <c r="J348" i="19"/>
  <c r="I347" i="19"/>
  <c r="N347" i="19" s="1"/>
  <c r="T347" i="19" s="1"/>
  <c r="H345" i="19"/>
  <c r="S345" i="19" s="1"/>
  <c r="Y345" i="19" s="1"/>
  <c r="K340" i="19"/>
  <c r="Q340" i="19" s="1"/>
  <c r="W340" i="19" s="1"/>
  <c r="F324" i="19"/>
  <c r="I320" i="19"/>
  <c r="N320" i="19" s="1"/>
  <c r="T320" i="19" s="1"/>
  <c r="L315" i="19"/>
  <c r="R315" i="19" s="1"/>
  <c r="X315" i="19" s="1"/>
  <c r="J296" i="19"/>
  <c r="E296" i="19"/>
  <c r="S296" i="19" s="1"/>
  <c r="Y296" i="19" s="1"/>
  <c r="I296" i="19"/>
  <c r="N296" i="19" s="1"/>
  <c r="T296" i="19" s="1"/>
  <c r="G296" i="19"/>
  <c r="K296" i="19"/>
  <c r="Q296" i="19" s="1"/>
  <c r="W296" i="19" s="1"/>
  <c r="L296" i="19"/>
  <c r="R296" i="19" s="1"/>
  <c r="X296" i="19" s="1"/>
  <c r="D296" i="19"/>
  <c r="F296" i="19"/>
  <c r="P296" i="19" s="1"/>
  <c r="V296" i="19" s="1"/>
  <c r="C294" i="19"/>
  <c r="C271" i="19"/>
  <c r="M373" i="19"/>
  <c r="T332" i="19"/>
  <c r="C420" i="19"/>
  <c r="M409" i="19"/>
  <c r="O392" i="19"/>
  <c r="U392" i="19" s="1"/>
  <c r="J388" i="19"/>
  <c r="K386" i="19"/>
  <c r="Q386" i="19" s="1"/>
  <c r="W386" i="19" s="1"/>
  <c r="J386" i="19"/>
  <c r="M386" i="19"/>
  <c r="D386" i="19"/>
  <c r="C386" i="19"/>
  <c r="H361" i="19"/>
  <c r="T357" i="19"/>
  <c r="M421" i="19"/>
  <c r="L409" i="19"/>
  <c r="R409" i="19" s="1"/>
  <c r="X409" i="19" s="1"/>
  <c r="L393" i="19"/>
  <c r="R393" i="19" s="1"/>
  <c r="X393" i="19" s="1"/>
  <c r="G388" i="19"/>
  <c r="T375" i="19"/>
  <c r="K373" i="19"/>
  <c r="Q373" i="19" s="1"/>
  <c r="W373" i="19" s="1"/>
  <c r="E361" i="19"/>
  <c r="M349" i="19"/>
  <c r="H348" i="19"/>
  <c r="P348" i="19" s="1"/>
  <c r="V348" i="19" s="1"/>
  <c r="H347" i="19"/>
  <c r="F345" i="19"/>
  <c r="H340" i="19"/>
  <c r="M336" i="19"/>
  <c r="L336" i="19"/>
  <c r="R336" i="19" s="1"/>
  <c r="X336" i="19" s="1"/>
  <c r="C336" i="19"/>
  <c r="G336" i="19"/>
  <c r="H336" i="19"/>
  <c r="P336" i="19" s="1"/>
  <c r="V336" i="19" s="1"/>
  <c r="K336" i="19"/>
  <c r="Q336" i="19" s="1"/>
  <c r="W336" i="19" s="1"/>
  <c r="E336" i="19"/>
  <c r="D324" i="19"/>
  <c r="H320" i="19"/>
  <c r="J315" i="19"/>
  <c r="L310" i="19"/>
  <c r="R310" i="19" s="1"/>
  <c r="X310" i="19" s="1"/>
  <c r="F301" i="19"/>
  <c r="J353" i="19"/>
  <c r="L353" i="19"/>
  <c r="R353" i="19" s="1"/>
  <c r="X353" i="19" s="1"/>
  <c r="F353" i="19"/>
  <c r="G353" i="19"/>
  <c r="C346" i="19"/>
  <c r="G346" i="19"/>
  <c r="I346" i="19"/>
  <c r="N346" i="19" s="1"/>
  <c r="T346" i="19" s="1"/>
  <c r="L346" i="19"/>
  <c r="R346" i="19" s="1"/>
  <c r="X346" i="19" s="1"/>
  <c r="M346" i="19"/>
  <c r="I330" i="19"/>
  <c r="N330" i="19" s="1"/>
  <c r="T330" i="19" s="1"/>
  <c r="M330" i="19"/>
  <c r="F330" i="19"/>
  <c r="H330" i="19"/>
  <c r="J330" i="19"/>
  <c r="D330" i="19"/>
  <c r="E330" i="19"/>
  <c r="I319" i="19"/>
  <c r="N319" i="19" s="1"/>
  <c r="T319" i="19" s="1"/>
  <c r="G319" i="19"/>
  <c r="J319" i="19"/>
  <c r="K319" i="19"/>
  <c r="Q319" i="19" s="1"/>
  <c r="W319" i="19" s="1"/>
  <c r="C319" i="19"/>
  <c r="E319" i="19"/>
  <c r="F319" i="19"/>
  <c r="C317" i="19"/>
  <c r="E317" i="19"/>
  <c r="F317" i="19"/>
  <c r="H317" i="19"/>
  <c r="I317" i="19"/>
  <c r="N317" i="19" s="1"/>
  <c r="T317" i="19" s="1"/>
  <c r="K317" i="19"/>
  <c r="Q317" i="19" s="1"/>
  <c r="W317" i="19" s="1"/>
  <c r="M317" i="19"/>
  <c r="I312" i="19"/>
  <c r="N312" i="19" s="1"/>
  <c r="T312" i="19" s="1"/>
  <c r="L312" i="19"/>
  <c r="R312" i="19" s="1"/>
  <c r="X312" i="19" s="1"/>
  <c r="H312" i="19"/>
  <c r="K312" i="19"/>
  <c r="Q312" i="19" s="1"/>
  <c r="W312" i="19" s="1"/>
  <c r="M312" i="19"/>
  <c r="E312" i="19"/>
  <c r="G312" i="19"/>
  <c r="J312" i="19"/>
  <c r="L306" i="19"/>
  <c r="R306" i="19" s="1"/>
  <c r="X306" i="19" s="1"/>
  <c r="J306" i="19"/>
  <c r="E306" i="19"/>
  <c r="G306" i="19"/>
  <c r="H306" i="19"/>
  <c r="K306" i="19"/>
  <c r="Q306" i="19" s="1"/>
  <c r="W306" i="19" s="1"/>
  <c r="D289" i="19"/>
  <c r="I289" i="19"/>
  <c r="N289" i="19" s="1"/>
  <c r="T289" i="19" s="1"/>
  <c r="C289" i="19"/>
  <c r="E289" i="19"/>
  <c r="S289" i="19" s="1"/>
  <c r="Y289" i="19" s="1"/>
  <c r="F289" i="19"/>
  <c r="P289" i="19" s="1"/>
  <c r="V289" i="19" s="1"/>
  <c r="G289" i="19"/>
  <c r="J289" i="19"/>
  <c r="K289" i="19"/>
  <c r="Q289" i="19" s="1"/>
  <c r="W289" i="19" s="1"/>
  <c r="X275" i="19"/>
  <c r="L197" i="19"/>
  <c r="R197" i="19" s="1"/>
  <c r="X197" i="19" s="1"/>
  <c r="G197" i="19"/>
  <c r="K197" i="19"/>
  <c r="Q197" i="19" s="1"/>
  <c r="W197" i="19" s="1"/>
  <c r="F197" i="19"/>
  <c r="J197" i="19"/>
  <c r="I197" i="19"/>
  <c r="N197" i="19" s="1"/>
  <c r="T197" i="19" s="1"/>
  <c r="C197" i="19"/>
  <c r="M197" i="19"/>
  <c r="E197" i="19"/>
  <c r="H197" i="19"/>
  <c r="D197" i="19"/>
  <c r="M212" i="19"/>
  <c r="I212" i="19"/>
  <c r="N212" i="19" s="1"/>
  <c r="T212" i="19" s="1"/>
  <c r="C212" i="19"/>
  <c r="K212" i="19"/>
  <c r="Q212" i="19" s="1"/>
  <c r="W212" i="19" s="1"/>
  <c r="D212" i="19"/>
  <c r="J212" i="19"/>
  <c r="H212" i="19"/>
  <c r="G212" i="19"/>
  <c r="E212" i="19"/>
  <c r="L212" i="19"/>
  <c r="R212" i="19" s="1"/>
  <c r="X212" i="19" s="1"/>
  <c r="F212" i="19"/>
  <c r="W379" i="19"/>
  <c r="C328" i="19"/>
  <c r="H328" i="19"/>
  <c r="S328" i="19" s="1"/>
  <c r="Y328" i="19" s="1"/>
  <c r="J328" i="19"/>
  <c r="K328" i="19"/>
  <c r="Q328" i="19" s="1"/>
  <c r="W328" i="19" s="1"/>
  <c r="L327" i="19"/>
  <c r="R327" i="19" s="1"/>
  <c r="X327" i="19" s="1"/>
  <c r="D327" i="19"/>
  <c r="E327" i="19"/>
  <c r="S327" i="19" s="1"/>
  <c r="Y327" i="19" s="1"/>
  <c r="C327" i="19"/>
  <c r="K326" i="19"/>
  <c r="Q326" i="19" s="1"/>
  <c r="W326" i="19" s="1"/>
  <c r="G326" i="19"/>
  <c r="J326" i="19"/>
  <c r="M326" i="19"/>
  <c r="D326" i="19"/>
  <c r="F326" i="19"/>
  <c r="H326" i="19"/>
  <c r="F290" i="19"/>
  <c r="E290" i="19"/>
  <c r="L290" i="19"/>
  <c r="R290" i="19" s="1"/>
  <c r="X290" i="19" s="1"/>
  <c r="M290" i="19"/>
  <c r="D290" i="19"/>
  <c r="H290" i="19"/>
  <c r="I290" i="19"/>
  <c r="N290" i="19" s="1"/>
  <c r="T290" i="19" s="1"/>
  <c r="W201" i="19"/>
  <c r="K192" i="19"/>
  <c r="Q192" i="19" s="1"/>
  <c r="W192" i="19" s="1"/>
  <c r="L192" i="19"/>
  <c r="R192" i="19" s="1"/>
  <c r="X192" i="19" s="1"/>
  <c r="H192" i="19"/>
  <c r="D192" i="19"/>
  <c r="F192" i="19"/>
  <c r="J192" i="19"/>
  <c r="C192" i="19"/>
  <c r="E192" i="19"/>
  <c r="G192" i="19"/>
  <c r="M192" i="19"/>
  <c r="I192" i="19"/>
  <c r="N192" i="19" s="1"/>
  <c r="K344" i="19"/>
  <c r="Q344" i="19" s="1"/>
  <c r="W344" i="19" s="1"/>
  <c r="L344" i="19"/>
  <c r="R344" i="19" s="1"/>
  <c r="X344" i="19" s="1"/>
  <c r="I344" i="19"/>
  <c r="N344" i="19" s="1"/>
  <c r="T344" i="19" s="1"/>
  <c r="J344" i="19"/>
  <c r="I272" i="19"/>
  <c r="N272" i="19" s="1"/>
  <c r="T272" i="19" s="1"/>
  <c r="E272" i="19"/>
  <c r="G272" i="19"/>
  <c r="C272" i="19"/>
  <c r="D272" i="19"/>
  <c r="H272" i="19"/>
  <c r="P272" i="19" s="1"/>
  <c r="V272" i="19" s="1"/>
  <c r="J272" i="19"/>
  <c r="K272" i="19"/>
  <c r="Q272" i="19" s="1"/>
  <c r="W272" i="19" s="1"/>
  <c r="L272" i="19"/>
  <c r="R272" i="19" s="1"/>
  <c r="X272" i="19" s="1"/>
  <c r="G416" i="19"/>
  <c r="I416" i="19"/>
  <c r="N416" i="19" s="1"/>
  <c r="T416" i="19" s="1"/>
  <c r="J416" i="19"/>
  <c r="C402" i="19"/>
  <c r="M402" i="19"/>
  <c r="O402" i="19" s="1"/>
  <c r="U402" i="19" s="1"/>
  <c r="H399" i="19"/>
  <c r="P399" i="19" s="1"/>
  <c r="C399" i="19"/>
  <c r="T389" i="19"/>
  <c r="I376" i="19"/>
  <c r="N376" i="19" s="1"/>
  <c r="T376" i="19" s="1"/>
  <c r="F376" i="19"/>
  <c r="H376" i="19"/>
  <c r="W370" i="19"/>
  <c r="E353" i="19"/>
  <c r="W347" i="19"/>
  <c r="F346" i="19"/>
  <c r="P346" i="19" s="1"/>
  <c r="V346" i="19" s="1"/>
  <c r="J339" i="19"/>
  <c r="D339" i="19"/>
  <c r="E339" i="19"/>
  <c r="S339" i="19" s="1"/>
  <c r="Y339" i="19" s="1"/>
  <c r="I339" i="19"/>
  <c r="N339" i="19" s="1"/>
  <c r="T339" i="19" s="1"/>
  <c r="K339" i="19"/>
  <c r="Q339" i="19" s="1"/>
  <c r="W339" i="19" s="1"/>
  <c r="K330" i="19"/>
  <c r="Q330" i="19" s="1"/>
  <c r="W330" i="19" s="1"/>
  <c r="L319" i="19"/>
  <c r="R319" i="19" s="1"/>
  <c r="X319" i="19" s="1"/>
  <c r="J317" i="19"/>
  <c r="F312" i="19"/>
  <c r="F306" i="19"/>
  <c r="F304" i="19"/>
  <c r="C304" i="19"/>
  <c r="D304" i="19"/>
  <c r="G304" i="19"/>
  <c r="H304" i="19"/>
  <c r="S304" i="19" s="1"/>
  <c r="Y304" i="19" s="1"/>
  <c r="T302" i="19"/>
  <c r="W302" i="19"/>
  <c r="X302" i="19"/>
  <c r="M289" i="19"/>
  <c r="C270" i="19"/>
  <c r="E270" i="19"/>
  <c r="G270" i="19"/>
  <c r="D270" i="19"/>
  <c r="J270" i="19"/>
  <c r="K270" i="19"/>
  <c r="Q270" i="19" s="1"/>
  <c r="W270" i="19" s="1"/>
  <c r="L270" i="19"/>
  <c r="R270" i="19" s="1"/>
  <c r="X270" i="19" s="1"/>
  <c r="M270" i="19"/>
  <c r="H270" i="19"/>
  <c r="P270" i="19" s="1"/>
  <c r="V270" i="19" s="1"/>
  <c r="I270" i="19"/>
  <c r="N270" i="19" s="1"/>
  <c r="T270" i="19" s="1"/>
  <c r="J225" i="19"/>
  <c r="C225" i="19"/>
  <c r="I225" i="19"/>
  <c r="N225" i="19" s="1"/>
  <c r="T225" i="19" s="1"/>
  <c r="H225" i="19"/>
  <c r="K225" i="19"/>
  <c r="Q225" i="19" s="1"/>
  <c r="W225" i="19" s="1"/>
  <c r="M225" i="19"/>
  <c r="L225" i="19"/>
  <c r="R225" i="19" s="1"/>
  <c r="E225" i="19"/>
  <c r="F225" i="19"/>
  <c r="G225" i="19"/>
  <c r="D225" i="19"/>
  <c r="W305" i="19"/>
  <c r="T304" i="19"/>
  <c r="E299" i="19"/>
  <c r="S299" i="19" s="1"/>
  <c r="Y299" i="19" s="1"/>
  <c r="D299" i="19"/>
  <c r="G299" i="19"/>
  <c r="I299" i="19"/>
  <c r="N299" i="19" s="1"/>
  <c r="T299" i="19" s="1"/>
  <c r="J299" i="19"/>
  <c r="K282" i="19"/>
  <c r="Q282" i="19" s="1"/>
  <c r="W282" i="19" s="1"/>
  <c r="M282" i="19"/>
  <c r="J282" i="19"/>
  <c r="L282" i="19"/>
  <c r="R282" i="19" s="1"/>
  <c r="X282" i="19" s="1"/>
  <c r="C282" i="19"/>
  <c r="D282" i="19"/>
  <c r="E282" i="19"/>
  <c r="S282" i="19" s="1"/>
  <c r="Y282" i="19" s="1"/>
  <c r="F282" i="19"/>
  <c r="P282" i="19" s="1"/>
  <c r="V282" i="19" s="1"/>
  <c r="G248" i="19"/>
  <c r="C248" i="19"/>
  <c r="M248" i="19"/>
  <c r="L248" i="19"/>
  <c r="R248" i="19" s="1"/>
  <c r="X248" i="19" s="1"/>
  <c r="D248" i="19"/>
  <c r="E248" i="19"/>
  <c r="S248" i="19" s="1"/>
  <c r="Y248" i="19" s="1"/>
  <c r="I248" i="19"/>
  <c r="N248" i="19" s="1"/>
  <c r="T248" i="19" s="1"/>
  <c r="J248" i="19"/>
  <c r="K248" i="19"/>
  <c r="Q248" i="19" s="1"/>
  <c r="W248" i="19" s="1"/>
  <c r="T243" i="19"/>
  <c r="M205" i="19"/>
  <c r="I205" i="19"/>
  <c r="N205" i="19" s="1"/>
  <c r="T205" i="19" s="1"/>
  <c r="G205" i="19"/>
  <c r="K205" i="19"/>
  <c r="Q205" i="19" s="1"/>
  <c r="W205" i="19" s="1"/>
  <c r="E205" i="19"/>
  <c r="L205" i="19"/>
  <c r="R205" i="19" s="1"/>
  <c r="X205" i="19" s="1"/>
  <c r="J205" i="19"/>
  <c r="D205" i="19"/>
  <c r="F205" i="19"/>
  <c r="H205" i="19"/>
  <c r="C205" i="19"/>
  <c r="J417" i="19"/>
  <c r="L417" i="19"/>
  <c r="R417" i="19" s="1"/>
  <c r="X417" i="19" s="1"/>
  <c r="D415" i="19"/>
  <c r="F415" i="19"/>
  <c r="P415" i="19" s="1"/>
  <c r="V415" i="19" s="1"/>
  <c r="E397" i="19"/>
  <c r="S397" i="19" s="1"/>
  <c r="Y397" i="19" s="1"/>
  <c r="G397" i="19"/>
  <c r="J395" i="19"/>
  <c r="K395" i="19"/>
  <c r="Q395" i="19" s="1"/>
  <c r="W395" i="19" s="1"/>
  <c r="M395" i="19"/>
  <c r="M382" i="19"/>
  <c r="F382" i="19"/>
  <c r="H382" i="19"/>
  <c r="E356" i="19"/>
  <c r="S356" i="19" s="1"/>
  <c r="Y356" i="19" s="1"/>
  <c r="K356" i="19"/>
  <c r="Q356" i="19" s="1"/>
  <c r="W356" i="19" s="1"/>
  <c r="M356" i="19"/>
  <c r="O356" i="19" s="1"/>
  <c r="U356" i="19" s="1"/>
  <c r="P351" i="19"/>
  <c r="V351" i="19" s="1"/>
  <c r="H343" i="19"/>
  <c r="F343" i="19"/>
  <c r="I343" i="19"/>
  <c r="N343" i="19" s="1"/>
  <c r="T343" i="19" s="1"/>
  <c r="T308" i="19"/>
  <c r="W308" i="19"/>
  <c r="Y303" i="19"/>
  <c r="T284" i="19"/>
  <c r="P279" i="19"/>
  <c r="V279" i="19" s="1"/>
  <c r="M278" i="19"/>
  <c r="H278" i="19"/>
  <c r="D278" i="19"/>
  <c r="J278" i="19"/>
  <c r="K278" i="19"/>
  <c r="Q278" i="19" s="1"/>
  <c r="W278" i="19" s="1"/>
  <c r="L278" i="19"/>
  <c r="R278" i="19" s="1"/>
  <c r="X278" i="19" s="1"/>
  <c r="C278" i="19"/>
  <c r="E278" i="19"/>
  <c r="F278" i="19"/>
  <c r="G278" i="19"/>
  <c r="D275" i="19"/>
  <c r="H275" i="19"/>
  <c r="M275" i="19"/>
  <c r="D265" i="19"/>
  <c r="K254" i="19"/>
  <c r="Q254" i="19" s="1"/>
  <c r="W254" i="19" s="1"/>
  <c r="G254" i="19"/>
  <c r="H254" i="19"/>
  <c r="P254" i="19" s="1"/>
  <c r="V254" i="19" s="1"/>
  <c r="M254" i="19"/>
  <c r="C254" i="19"/>
  <c r="D254" i="19"/>
  <c r="E254" i="19"/>
  <c r="I254" i="19"/>
  <c r="N254" i="19" s="1"/>
  <c r="T254" i="19" s="1"/>
  <c r="J254" i="19"/>
  <c r="L254" i="19"/>
  <c r="R254" i="19" s="1"/>
  <c r="X254" i="19" s="1"/>
  <c r="P185" i="19"/>
  <c r="V185" i="19" s="1"/>
  <c r="T160" i="19"/>
  <c r="W160" i="19"/>
  <c r="Y160" i="19"/>
  <c r="H371" i="19"/>
  <c r="K371" i="19"/>
  <c r="Q371" i="19" s="1"/>
  <c r="W371" i="19" s="1"/>
  <c r="M371" i="19"/>
  <c r="K358" i="19"/>
  <c r="Q358" i="19" s="1"/>
  <c r="W358" i="19" s="1"/>
  <c r="F358" i="19"/>
  <c r="H358" i="19"/>
  <c r="S358" i="19" s="1"/>
  <c r="Y358" i="19" s="1"/>
  <c r="E337" i="19"/>
  <c r="G337" i="19"/>
  <c r="H337" i="19"/>
  <c r="G323" i="19"/>
  <c r="E323" i="19"/>
  <c r="H323" i="19"/>
  <c r="P323" i="19" s="1"/>
  <c r="V323" i="19" s="1"/>
  <c r="I323" i="19"/>
  <c r="N323" i="19" s="1"/>
  <c r="T323" i="19" s="1"/>
  <c r="H314" i="19"/>
  <c r="P314" i="19" s="1"/>
  <c r="V314" i="19" s="1"/>
  <c r="D314" i="19"/>
  <c r="K314" i="19"/>
  <c r="Q314" i="19" s="1"/>
  <c r="W314" i="19" s="1"/>
  <c r="L314" i="19"/>
  <c r="R314" i="19" s="1"/>
  <c r="X314" i="19" s="1"/>
  <c r="D308" i="19"/>
  <c r="E308" i="19"/>
  <c r="F308" i="19"/>
  <c r="H308" i="19"/>
  <c r="I308" i="19"/>
  <c r="N308" i="19" s="1"/>
  <c r="C303" i="19"/>
  <c r="J303" i="19"/>
  <c r="L303" i="19"/>
  <c r="R303" i="19" s="1"/>
  <c r="X303" i="19" s="1"/>
  <c r="K303" i="19"/>
  <c r="Q303" i="19" s="1"/>
  <c r="W303" i="19" s="1"/>
  <c r="W286" i="19"/>
  <c r="F285" i="19"/>
  <c r="M285" i="19"/>
  <c r="E285" i="19"/>
  <c r="H285" i="19"/>
  <c r="I285" i="19"/>
  <c r="N285" i="19" s="1"/>
  <c r="T285" i="19" s="1"/>
  <c r="L285" i="19"/>
  <c r="R285" i="19" s="1"/>
  <c r="X285" i="19" s="1"/>
  <c r="G276" i="19"/>
  <c r="M276" i="19"/>
  <c r="E276" i="19"/>
  <c r="H276" i="19"/>
  <c r="I276" i="19"/>
  <c r="N276" i="19" s="1"/>
  <c r="T276" i="19" s="1"/>
  <c r="J276" i="19"/>
  <c r="T274" i="19"/>
  <c r="L273" i="19"/>
  <c r="R273" i="19" s="1"/>
  <c r="X273" i="19" s="1"/>
  <c r="E273" i="19"/>
  <c r="M273" i="19"/>
  <c r="F273" i="19"/>
  <c r="G273" i="19"/>
  <c r="H273" i="19"/>
  <c r="I273" i="19"/>
  <c r="N273" i="19" s="1"/>
  <c r="T273" i="19" s="1"/>
  <c r="K269" i="19"/>
  <c r="Q269" i="19" s="1"/>
  <c r="W269" i="19" s="1"/>
  <c r="C269" i="19"/>
  <c r="D269" i="19"/>
  <c r="E269" i="19"/>
  <c r="S269" i="19" s="1"/>
  <c r="Y269" i="19" s="1"/>
  <c r="J269" i="19"/>
  <c r="L269" i="19"/>
  <c r="R269" i="19" s="1"/>
  <c r="X269" i="19" s="1"/>
  <c r="M269" i="19"/>
  <c r="L245" i="19"/>
  <c r="R245" i="19" s="1"/>
  <c r="X245" i="19" s="1"/>
  <c r="H245" i="19"/>
  <c r="P245" i="19" s="1"/>
  <c r="V245" i="19" s="1"/>
  <c r="I245" i="19"/>
  <c r="N245" i="19" s="1"/>
  <c r="T245" i="19" s="1"/>
  <c r="G245" i="19"/>
  <c r="M245" i="19"/>
  <c r="J245" i="19"/>
  <c r="K245" i="19"/>
  <c r="Q245" i="19" s="1"/>
  <c r="W245" i="19" s="1"/>
  <c r="J241" i="19"/>
  <c r="L241" i="19"/>
  <c r="R241" i="19" s="1"/>
  <c r="X241" i="19" s="1"/>
  <c r="K241" i="19"/>
  <c r="Q241" i="19" s="1"/>
  <c r="W241" i="19" s="1"/>
  <c r="I241" i="19"/>
  <c r="N241" i="19" s="1"/>
  <c r="T241" i="19" s="1"/>
  <c r="C241" i="19"/>
  <c r="D241" i="19"/>
  <c r="E241" i="19"/>
  <c r="F241" i="19"/>
  <c r="G241" i="19"/>
  <c r="H241" i="19"/>
  <c r="M241" i="19"/>
  <c r="I265" i="19"/>
  <c r="N265" i="19" s="1"/>
  <c r="T265" i="19" s="1"/>
  <c r="G265" i="19"/>
  <c r="J265" i="19"/>
  <c r="K265" i="19"/>
  <c r="Q265" i="19" s="1"/>
  <c r="W265" i="19" s="1"/>
  <c r="L265" i="19"/>
  <c r="R265" i="19" s="1"/>
  <c r="X265" i="19" s="1"/>
  <c r="D247" i="19"/>
  <c r="F247" i="19"/>
  <c r="E247" i="19"/>
  <c r="G247" i="19"/>
  <c r="C247" i="19"/>
  <c r="H247" i="19"/>
  <c r="I247" i="19"/>
  <c r="N247" i="19" s="1"/>
  <c r="T247" i="19" s="1"/>
  <c r="J247" i="19"/>
  <c r="K247" i="19"/>
  <c r="Q247" i="19" s="1"/>
  <c r="W247" i="19" s="1"/>
  <c r="L247" i="19"/>
  <c r="R247" i="19" s="1"/>
  <c r="X247" i="19" s="1"/>
  <c r="M247" i="19"/>
  <c r="X225" i="19"/>
  <c r="V238" i="19"/>
  <c r="C256" i="19"/>
  <c r="M256" i="19"/>
  <c r="G256" i="19"/>
  <c r="D256" i="19"/>
  <c r="F256" i="19"/>
  <c r="P256" i="19" s="1"/>
  <c r="V256" i="19" s="1"/>
  <c r="X215" i="19"/>
  <c r="X214" i="19"/>
  <c r="W190" i="19"/>
  <c r="X188" i="19"/>
  <c r="M202" i="19"/>
  <c r="K202" i="19"/>
  <c r="Q202" i="19" s="1"/>
  <c r="W202" i="19" s="1"/>
  <c r="G202" i="19"/>
  <c r="L202" i="19"/>
  <c r="R202" i="19" s="1"/>
  <c r="X202" i="19" s="1"/>
  <c r="E202" i="19"/>
  <c r="J202" i="19"/>
  <c r="D202" i="19"/>
  <c r="C202" i="19"/>
  <c r="H202" i="19"/>
  <c r="P202" i="19" s="1"/>
  <c r="V202" i="19" s="1"/>
  <c r="W239" i="19"/>
  <c r="M236" i="19"/>
  <c r="I236" i="19"/>
  <c r="N236" i="19" s="1"/>
  <c r="T236" i="19" s="1"/>
  <c r="H236" i="19"/>
  <c r="G236" i="19"/>
  <c r="C236" i="19"/>
  <c r="L236" i="19"/>
  <c r="R236" i="19" s="1"/>
  <c r="X236" i="19" s="1"/>
  <c r="X235" i="19"/>
  <c r="W235" i="19"/>
  <c r="I220" i="19"/>
  <c r="N220" i="19" s="1"/>
  <c r="T220" i="19" s="1"/>
  <c r="J220" i="19"/>
  <c r="D220" i="19"/>
  <c r="H220" i="19"/>
  <c r="E220" i="19"/>
  <c r="M220" i="19"/>
  <c r="C220" i="19"/>
  <c r="L220" i="19"/>
  <c r="R220" i="19" s="1"/>
  <c r="X220" i="19" s="1"/>
  <c r="S194" i="19"/>
  <c r="Y194" i="19" s="1"/>
  <c r="H239" i="19"/>
  <c r="D239" i="19"/>
  <c r="M239" i="19"/>
  <c r="L239" i="19"/>
  <c r="R239" i="19" s="1"/>
  <c r="X239" i="19" s="1"/>
  <c r="C239" i="19"/>
  <c r="E239" i="19"/>
  <c r="G239" i="19"/>
  <c r="F239" i="19"/>
  <c r="I239" i="19"/>
  <c r="N239" i="19" s="1"/>
  <c r="T239" i="19" s="1"/>
  <c r="J239" i="19"/>
  <c r="P237" i="19"/>
  <c r="V237" i="19" s="1"/>
  <c r="K231" i="19"/>
  <c r="Q231" i="19" s="1"/>
  <c r="W231" i="19" s="1"/>
  <c r="G231" i="19"/>
  <c r="D231" i="19"/>
  <c r="J231" i="19"/>
  <c r="C231" i="19"/>
  <c r="H231" i="19"/>
  <c r="S231" i="19" s="1"/>
  <c r="Y231" i="19" s="1"/>
  <c r="I231" i="19"/>
  <c r="N231" i="19" s="1"/>
  <c r="T231" i="19" s="1"/>
  <c r="L231" i="19"/>
  <c r="R231" i="19" s="1"/>
  <c r="X231" i="19" s="1"/>
  <c r="G224" i="19"/>
  <c r="I224" i="19"/>
  <c r="N224" i="19" s="1"/>
  <c r="T224" i="19" s="1"/>
  <c r="L224" i="19"/>
  <c r="R224" i="19" s="1"/>
  <c r="X224" i="19" s="1"/>
  <c r="F224" i="19"/>
  <c r="C224" i="19"/>
  <c r="H224" i="19"/>
  <c r="K224" i="19"/>
  <c r="Q224" i="19" s="1"/>
  <c r="W224" i="19" s="1"/>
  <c r="D224" i="19"/>
  <c r="E224" i="19"/>
  <c r="J224" i="19"/>
  <c r="X217" i="19"/>
  <c r="G186" i="19"/>
  <c r="L186" i="19"/>
  <c r="R186" i="19" s="1"/>
  <c r="X186" i="19" s="1"/>
  <c r="K186" i="19"/>
  <c r="Q186" i="19" s="1"/>
  <c r="W186" i="19" s="1"/>
  <c r="C186" i="19"/>
  <c r="E186" i="19"/>
  <c r="H186" i="19"/>
  <c r="D186" i="19"/>
  <c r="F186" i="19"/>
  <c r="M186" i="19"/>
  <c r="J186" i="19"/>
  <c r="F318" i="19"/>
  <c r="J318" i="19"/>
  <c r="H318" i="19"/>
  <c r="S318" i="19" s="1"/>
  <c r="Y318" i="19" s="1"/>
  <c r="G309" i="19"/>
  <c r="J309" i="19"/>
  <c r="F309" i="19"/>
  <c r="P309" i="19" s="1"/>
  <c r="V309" i="19" s="1"/>
  <c r="C284" i="19"/>
  <c r="H284" i="19"/>
  <c r="S284" i="19" s="1"/>
  <c r="Y284" i="19" s="1"/>
  <c r="W283" i="19"/>
  <c r="X283" i="19"/>
  <c r="T229" i="19"/>
  <c r="J159" i="19"/>
  <c r="M159" i="19"/>
  <c r="G159" i="19"/>
  <c r="F159" i="19"/>
  <c r="C159" i="19"/>
  <c r="D159" i="19"/>
  <c r="K159" i="19"/>
  <c r="Q159" i="19" s="1"/>
  <c r="W159" i="19" s="1"/>
  <c r="L159" i="19"/>
  <c r="R159" i="19" s="1"/>
  <c r="X159" i="19" s="1"/>
  <c r="E159" i="19"/>
  <c r="H159" i="19"/>
  <c r="I159" i="19"/>
  <c r="N159" i="19" s="1"/>
  <c r="T159" i="19" s="1"/>
  <c r="S152" i="19"/>
  <c r="Y152" i="19" s="1"/>
  <c r="L331" i="19"/>
  <c r="R331" i="19" s="1"/>
  <c r="X331" i="19" s="1"/>
  <c r="C331" i="19"/>
  <c r="C405" i="19"/>
  <c r="V399" i="19"/>
  <c r="C396" i="19"/>
  <c r="C390" i="19"/>
  <c r="C381" i="19"/>
  <c r="C375" i="19"/>
  <c r="C372" i="19"/>
  <c r="C366" i="19"/>
  <c r="D360" i="19"/>
  <c r="C357" i="19"/>
  <c r="C351" i="19"/>
  <c r="C342" i="19"/>
  <c r="C334" i="19"/>
  <c r="F329" i="19"/>
  <c r="H329" i="19"/>
  <c r="S329" i="19" s="1"/>
  <c r="Y329" i="19" s="1"/>
  <c r="M322" i="19"/>
  <c r="O322" i="19" s="1"/>
  <c r="U322" i="19" s="1"/>
  <c r="C322" i="19"/>
  <c r="T311" i="19"/>
  <c r="H300" i="19"/>
  <c r="P300" i="19" s="1"/>
  <c r="V300" i="19" s="1"/>
  <c r="J300" i="19"/>
  <c r="E300" i="19"/>
  <c r="C283" i="19"/>
  <c r="G283" i="19"/>
  <c r="D283" i="19"/>
  <c r="E283" i="19"/>
  <c r="F283" i="19"/>
  <c r="O274" i="19"/>
  <c r="U274" i="19" s="1"/>
  <c r="G262" i="19"/>
  <c r="J262" i="19"/>
  <c r="M262" i="19"/>
  <c r="L262" i="19"/>
  <c r="R262" i="19" s="1"/>
  <c r="X262" i="19" s="1"/>
  <c r="E262" i="19"/>
  <c r="F262" i="19"/>
  <c r="H262" i="19"/>
  <c r="L256" i="19"/>
  <c r="R256" i="19" s="1"/>
  <c r="X256" i="19" s="1"/>
  <c r="X238" i="19"/>
  <c r="X229" i="19"/>
  <c r="P222" i="19"/>
  <c r="V222" i="19" s="1"/>
  <c r="C218" i="19"/>
  <c r="M218" i="19"/>
  <c r="H218" i="19"/>
  <c r="P218" i="19" s="1"/>
  <c r="V218" i="19" s="1"/>
  <c r="J218" i="19"/>
  <c r="E218" i="19"/>
  <c r="L218" i="19"/>
  <c r="R218" i="19" s="1"/>
  <c r="X218" i="19" s="1"/>
  <c r="K218" i="19"/>
  <c r="Q218" i="19" s="1"/>
  <c r="W218" i="19" s="1"/>
  <c r="I218" i="19"/>
  <c r="N218" i="19" s="1"/>
  <c r="T218" i="19" s="1"/>
  <c r="W194" i="19"/>
  <c r="L279" i="19"/>
  <c r="R279" i="19" s="1"/>
  <c r="X279" i="19" s="1"/>
  <c r="J279" i="19"/>
  <c r="C279" i="19"/>
  <c r="D279" i="19"/>
  <c r="K256" i="19"/>
  <c r="Q256" i="19" s="1"/>
  <c r="W256" i="19" s="1"/>
  <c r="K240" i="19"/>
  <c r="Q240" i="19" s="1"/>
  <c r="W240" i="19" s="1"/>
  <c r="G240" i="19"/>
  <c r="D240" i="19"/>
  <c r="C240" i="19"/>
  <c r="E240" i="19"/>
  <c r="F240" i="19"/>
  <c r="H240" i="19"/>
  <c r="W238" i="19"/>
  <c r="M174" i="19"/>
  <c r="L174" i="19"/>
  <c r="R174" i="19" s="1"/>
  <c r="X174" i="19" s="1"/>
  <c r="G174" i="19"/>
  <c r="K174" i="19"/>
  <c r="Q174" i="19" s="1"/>
  <c r="W174" i="19" s="1"/>
  <c r="F174" i="19"/>
  <c r="H174" i="19"/>
  <c r="D174" i="19"/>
  <c r="C174" i="19"/>
  <c r="E174" i="19"/>
  <c r="I174" i="19"/>
  <c r="N174" i="19" s="1"/>
  <c r="T174" i="19" s="1"/>
  <c r="J174" i="19"/>
  <c r="W348" i="19"/>
  <c r="E313" i="19"/>
  <c r="S313" i="19" s="1"/>
  <c r="Y313" i="19" s="1"/>
  <c r="C313" i="19"/>
  <c r="E302" i="19"/>
  <c r="S302" i="19" s="1"/>
  <c r="Y302" i="19" s="1"/>
  <c r="D302" i="19"/>
  <c r="O302" i="19" s="1"/>
  <c r="U302" i="19" s="1"/>
  <c r="M298" i="19"/>
  <c r="L287" i="19"/>
  <c r="R287" i="19" s="1"/>
  <c r="X287" i="19" s="1"/>
  <c r="H287" i="19"/>
  <c r="S287" i="19" s="1"/>
  <c r="Y287" i="19" s="1"/>
  <c r="D287" i="19"/>
  <c r="J287" i="19"/>
  <c r="K287" i="19"/>
  <c r="Q287" i="19" s="1"/>
  <c r="W287" i="19" s="1"/>
  <c r="S281" i="19"/>
  <c r="Y281" i="19" s="1"/>
  <c r="V274" i="19"/>
  <c r="J256" i="19"/>
  <c r="T238" i="19"/>
  <c r="L237" i="19"/>
  <c r="R237" i="19" s="1"/>
  <c r="X237" i="19" s="1"/>
  <c r="E237" i="19"/>
  <c r="M237" i="19"/>
  <c r="K237" i="19"/>
  <c r="Q237" i="19" s="1"/>
  <c r="W237" i="19" s="1"/>
  <c r="L213" i="19"/>
  <c r="R213" i="19" s="1"/>
  <c r="X213" i="19" s="1"/>
  <c r="I213" i="19"/>
  <c r="N213" i="19" s="1"/>
  <c r="T213" i="19" s="1"/>
  <c r="D213" i="19"/>
  <c r="J213" i="19"/>
  <c r="E213" i="19"/>
  <c r="S213" i="19" s="1"/>
  <c r="Y213" i="19" s="1"/>
  <c r="G213" i="19"/>
  <c r="M213" i="19"/>
  <c r="C213" i="19"/>
  <c r="K213" i="19"/>
  <c r="Q213" i="19" s="1"/>
  <c r="W213" i="19" s="1"/>
  <c r="Y315" i="19"/>
  <c r="M297" i="19"/>
  <c r="J297" i="19"/>
  <c r="I286" i="19"/>
  <c r="N286" i="19" s="1"/>
  <c r="T286" i="19" s="1"/>
  <c r="C286" i="19"/>
  <c r="M286" i="19"/>
  <c r="M264" i="19"/>
  <c r="E264" i="19"/>
  <c r="S264" i="19" s="1"/>
  <c r="Y264" i="19" s="1"/>
  <c r="K264" i="19"/>
  <c r="Q264" i="19" s="1"/>
  <c r="W264" i="19" s="1"/>
  <c r="L251" i="19"/>
  <c r="R251" i="19" s="1"/>
  <c r="X251" i="19" s="1"/>
  <c r="C251" i="19"/>
  <c r="F243" i="19"/>
  <c r="J243" i="19"/>
  <c r="I243" i="19"/>
  <c r="N243" i="19" s="1"/>
  <c r="D243" i="19"/>
  <c r="G243" i="19"/>
  <c r="W211" i="19"/>
  <c r="F195" i="19"/>
  <c r="L195" i="19"/>
  <c r="R195" i="19" s="1"/>
  <c r="X195" i="19" s="1"/>
  <c r="I195" i="19"/>
  <c r="N195" i="19" s="1"/>
  <c r="K195" i="19"/>
  <c r="Q195" i="19" s="1"/>
  <c r="D195" i="19"/>
  <c r="J195" i="19"/>
  <c r="M195" i="19"/>
  <c r="H195" i="19"/>
  <c r="S195" i="19" s="1"/>
  <c r="Y195" i="19" s="1"/>
  <c r="C195" i="19"/>
  <c r="W281" i="19"/>
  <c r="J277" i="19"/>
  <c r="C277" i="19"/>
  <c r="M277" i="19"/>
  <c r="X263" i="19"/>
  <c r="T263" i="19"/>
  <c r="M250" i="19"/>
  <c r="I250" i="19"/>
  <c r="N250" i="19" s="1"/>
  <c r="T250" i="19" s="1"/>
  <c r="L250" i="19"/>
  <c r="R250" i="19" s="1"/>
  <c r="X250" i="19" s="1"/>
  <c r="K250" i="19"/>
  <c r="Q250" i="19" s="1"/>
  <c r="W250" i="19" s="1"/>
  <c r="F250" i="19"/>
  <c r="D250" i="19"/>
  <c r="G250" i="19"/>
  <c r="J249" i="19"/>
  <c r="F249" i="19"/>
  <c r="D249" i="19"/>
  <c r="C249" i="19"/>
  <c r="M249" i="19"/>
  <c r="I249" i="19"/>
  <c r="N249" i="19" s="1"/>
  <c r="T249" i="19" s="1"/>
  <c r="L249" i="19"/>
  <c r="R249" i="19" s="1"/>
  <c r="X249" i="19" s="1"/>
  <c r="C242" i="19"/>
  <c r="M242" i="19"/>
  <c r="D242" i="19"/>
  <c r="E242" i="19"/>
  <c r="J242" i="19"/>
  <c r="L242" i="19"/>
  <c r="R242" i="19" s="1"/>
  <c r="X242" i="19" s="1"/>
  <c r="W214" i="19"/>
  <c r="F181" i="19"/>
  <c r="L181" i="19"/>
  <c r="R181" i="19" s="1"/>
  <c r="X181" i="19" s="1"/>
  <c r="I181" i="19"/>
  <c r="N181" i="19" s="1"/>
  <c r="T181" i="19" s="1"/>
  <c r="D181" i="19"/>
  <c r="K181" i="19"/>
  <c r="Q181" i="19" s="1"/>
  <c r="W181" i="19" s="1"/>
  <c r="J181" i="19"/>
  <c r="C181" i="19"/>
  <c r="H181" i="19"/>
  <c r="S181" i="19" s="1"/>
  <c r="Y181" i="19" s="1"/>
  <c r="M181" i="19"/>
  <c r="H281" i="19"/>
  <c r="G281" i="19"/>
  <c r="I281" i="19"/>
  <c r="N281" i="19" s="1"/>
  <c r="T281" i="19" s="1"/>
  <c r="J263" i="19"/>
  <c r="D263" i="19"/>
  <c r="E263" i="19"/>
  <c r="G263" i="19"/>
  <c r="J255" i="19"/>
  <c r="E255" i="19"/>
  <c r="I255" i="19"/>
  <c r="N255" i="19" s="1"/>
  <c r="T255" i="19" s="1"/>
  <c r="L255" i="19"/>
  <c r="R255" i="19" s="1"/>
  <c r="X255" i="19" s="1"/>
  <c r="T219" i="19"/>
  <c r="F175" i="19"/>
  <c r="K175" i="19"/>
  <c r="Q175" i="19" s="1"/>
  <c r="W175" i="19" s="1"/>
  <c r="D175" i="19"/>
  <c r="J175" i="19"/>
  <c r="C175" i="19"/>
  <c r="E175" i="19"/>
  <c r="G175" i="19"/>
  <c r="H175" i="19"/>
  <c r="M175" i="19"/>
  <c r="W162" i="19"/>
  <c r="T240" i="19"/>
  <c r="J211" i="19"/>
  <c r="F211" i="19"/>
  <c r="L211" i="19"/>
  <c r="R211" i="19" s="1"/>
  <c r="X211" i="19" s="1"/>
  <c r="E211" i="19"/>
  <c r="C211" i="19"/>
  <c r="G211" i="19"/>
  <c r="D211" i="19"/>
  <c r="I211" i="19"/>
  <c r="N211" i="19" s="1"/>
  <c r="T211" i="19" s="1"/>
  <c r="H211" i="19"/>
  <c r="D261" i="19"/>
  <c r="E261" i="19"/>
  <c r="S261" i="19" s="1"/>
  <c r="Y261" i="19" s="1"/>
  <c r="F261" i="19"/>
  <c r="P261" i="19" s="1"/>
  <c r="V261" i="19" s="1"/>
  <c r="X228" i="19"/>
  <c r="C206" i="19"/>
  <c r="M206" i="19"/>
  <c r="J206" i="19"/>
  <c r="K206" i="19"/>
  <c r="Q206" i="19" s="1"/>
  <c r="W206" i="19" s="1"/>
  <c r="F206" i="19"/>
  <c r="D206" i="19"/>
  <c r="G210" i="19"/>
  <c r="C210" i="19"/>
  <c r="D210" i="19"/>
  <c r="J210" i="19"/>
  <c r="E210" i="19"/>
  <c r="I210" i="19"/>
  <c r="N210" i="19" s="1"/>
  <c r="T210" i="19" s="1"/>
  <c r="H210" i="19"/>
  <c r="P210" i="19" s="1"/>
  <c r="V210" i="19" s="1"/>
  <c r="T195" i="19"/>
  <c r="W195" i="19"/>
  <c r="T192" i="19"/>
  <c r="H177" i="19"/>
  <c r="L177" i="19"/>
  <c r="R177" i="19" s="1"/>
  <c r="X177" i="19" s="1"/>
  <c r="F177" i="19"/>
  <c r="G177" i="19"/>
  <c r="M177" i="19"/>
  <c r="C177" i="19"/>
  <c r="X176" i="19"/>
  <c r="T176" i="19"/>
  <c r="K169" i="19"/>
  <c r="Q169" i="19" s="1"/>
  <c r="W169" i="19" s="1"/>
  <c r="D157" i="19"/>
  <c r="G157" i="19"/>
  <c r="L157" i="19"/>
  <c r="R157" i="19" s="1"/>
  <c r="X157" i="19" s="1"/>
  <c r="K157" i="19"/>
  <c r="Q157" i="19" s="1"/>
  <c r="W157" i="19" s="1"/>
  <c r="E157" i="19"/>
  <c r="H157" i="19"/>
  <c r="M157" i="19"/>
  <c r="C157" i="19"/>
  <c r="E228" i="19"/>
  <c r="M228" i="19"/>
  <c r="H228" i="19"/>
  <c r="C228" i="19"/>
  <c r="G228" i="19"/>
  <c r="F228" i="19"/>
  <c r="G172" i="19"/>
  <c r="F172" i="19"/>
  <c r="L172" i="19"/>
  <c r="R172" i="19" s="1"/>
  <c r="X172" i="19" s="1"/>
  <c r="H172" i="19"/>
  <c r="O172" i="19" s="1"/>
  <c r="U172" i="19" s="1"/>
  <c r="C172" i="19"/>
  <c r="J172" i="19"/>
  <c r="I196" i="19"/>
  <c r="N196" i="19" s="1"/>
  <c r="T196" i="19" s="1"/>
  <c r="D196" i="19"/>
  <c r="E196" i="19"/>
  <c r="L196" i="19"/>
  <c r="R196" i="19" s="1"/>
  <c r="X196" i="19" s="1"/>
  <c r="G196" i="19"/>
  <c r="K196" i="19"/>
  <c r="Q196" i="19" s="1"/>
  <c r="J196" i="19"/>
  <c r="K178" i="19"/>
  <c r="Q178" i="19" s="1"/>
  <c r="W178" i="19" s="1"/>
  <c r="L178" i="19"/>
  <c r="R178" i="19" s="1"/>
  <c r="X178" i="19" s="1"/>
  <c r="J178" i="19"/>
  <c r="F178" i="19"/>
  <c r="M178" i="19"/>
  <c r="D178" i="19"/>
  <c r="T186" i="19"/>
  <c r="T180" i="19"/>
  <c r="L169" i="19"/>
  <c r="R169" i="19" s="1"/>
  <c r="X169" i="19" s="1"/>
  <c r="C169" i="19"/>
  <c r="G169" i="19"/>
  <c r="M169" i="19"/>
  <c r="H169" i="19"/>
  <c r="O169" i="19" s="1"/>
  <c r="U169" i="19" s="1"/>
  <c r="F169" i="19"/>
  <c r="E169" i="19"/>
  <c r="W154" i="19"/>
  <c r="T154" i="19"/>
  <c r="Y154" i="19"/>
  <c r="X154" i="19"/>
  <c r="V183" i="19"/>
  <c r="W183" i="19"/>
  <c r="T162" i="19"/>
  <c r="W152" i="19"/>
  <c r="X152" i="19"/>
  <c r="K209" i="19"/>
  <c r="Q209" i="19" s="1"/>
  <c r="W209" i="19" s="1"/>
  <c r="C209" i="19"/>
  <c r="L209" i="19"/>
  <c r="R209" i="19" s="1"/>
  <c r="X209" i="19" s="1"/>
  <c r="F209" i="19"/>
  <c r="I209" i="19"/>
  <c r="N209" i="19" s="1"/>
  <c r="T209" i="19" s="1"/>
  <c r="J209" i="19"/>
  <c r="H209" i="19"/>
  <c r="S209" i="19" s="1"/>
  <c r="Y209" i="19" s="1"/>
  <c r="M196" i="19"/>
  <c r="T183" i="19"/>
  <c r="H178" i="19"/>
  <c r="I172" i="19"/>
  <c r="N172" i="19" s="1"/>
  <c r="T172" i="19" s="1"/>
  <c r="H163" i="19"/>
  <c r="F163" i="19"/>
  <c r="L163" i="19"/>
  <c r="R163" i="19" s="1"/>
  <c r="X163" i="19" s="1"/>
  <c r="K163" i="19"/>
  <c r="Q163" i="19" s="1"/>
  <c r="W163" i="19" s="1"/>
  <c r="E163" i="19"/>
  <c r="S163" i="19" s="1"/>
  <c r="Y163" i="19" s="1"/>
  <c r="J163" i="19"/>
  <c r="C163" i="19"/>
  <c r="M163" i="19"/>
  <c r="I163" i="19"/>
  <c r="N163" i="19" s="1"/>
  <c r="T163" i="19" s="1"/>
  <c r="S156" i="19"/>
  <c r="Y156" i="19" s="1"/>
  <c r="F153" i="19"/>
  <c r="P153" i="19" s="1"/>
  <c r="V153" i="19" s="1"/>
  <c r="L153" i="19"/>
  <c r="R153" i="19" s="1"/>
  <c r="X153" i="19" s="1"/>
  <c r="I153" i="19"/>
  <c r="N153" i="19" s="1"/>
  <c r="T153" i="19" s="1"/>
  <c r="C153" i="19"/>
  <c r="H153" i="19"/>
  <c r="S153" i="19" s="1"/>
  <c r="Y153" i="19" s="1"/>
  <c r="J153" i="19"/>
  <c r="D153" i="19"/>
  <c r="K153" i="19"/>
  <c r="Q153" i="19" s="1"/>
  <c r="W153" i="19" s="1"/>
  <c r="M153" i="19"/>
  <c r="G153" i="19"/>
  <c r="O238" i="19"/>
  <c r="U238" i="19" s="1"/>
  <c r="D223" i="19"/>
  <c r="C223" i="19"/>
  <c r="E223" i="19"/>
  <c r="W155" i="19"/>
  <c r="T155" i="19"/>
  <c r="K230" i="19"/>
  <c r="Q230" i="19" s="1"/>
  <c r="W230" i="19" s="1"/>
  <c r="F230" i="19"/>
  <c r="P230" i="19" s="1"/>
  <c r="V230" i="19" s="1"/>
  <c r="E207" i="19"/>
  <c r="H207" i="19"/>
  <c r="C207" i="19"/>
  <c r="J207" i="19"/>
  <c r="F207" i="19"/>
  <c r="P207" i="19" s="1"/>
  <c r="V207" i="19" s="1"/>
  <c r="C180" i="19"/>
  <c r="L180" i="19"/>
  <c r="R180" i="19" s="1"/>
  <c r="X180" i="19" s="1"/>
  <c r="G180" i="19"/>
  <c r="M180" i="19"/>
  <c r="D180" i="19"/>
  <c r="K180" i="19"/>
  <c r="Q180" i="19" s="1"/>
  <c r="W180" i="19" s="1"/>
  <c r="F180" i="19"/>
  <c r="I244" i="19"/>
  <c r="N244" i="19" s="1"/>
  <c r="T244" i="19" s="1"/>
  <c r="E244" i="19"/>
  <c r="J235" i="19"/>
  <c r="F235" i="19"/>
  <c r="L230" i="19"/>
  <c r="R230" i="19" s="1"/>
  <c r="X230" i="19" s="1"/>
  <c r="H229" i="19"/>
  <c r="P229" i="19" s="1"/>
  <c r="V229" i="19" s="1"/>
  <c r="C229" i="19"/>
  <c r="K229" i="19"/>
  <c r="Q229" i="19" s="1"/>
  <c r="W229" i="19" s="1"/>
  <c r="W226" i="19"/>
  <c r="L221" i="19"/>
  <c r="R221" i="19" s="1"/>
  <c r="X221" i="19" s="1"/>
  <c r="I221" i="19"/>
  <c r="N221" i="19" s="1"/>
  <c r="T221" i="19" s="1"/>
  <c r="F221" i="19"/>
  <c r="P221" i="19" s="1"/>
  <c r="V221" i="19" s="1"/>
  <c r="J204" i="19"/>
  <c r="H204" i="19"/>
  <c r="D204" i="19"/>
  <c r="I204" i="19"/>
  <c r="N204" i="19" s="1"/>
  <c r="T204" i="19" s="1"/>
  <c r="F167" i="19"/>
  <c r="H167" i="19"/>
  <c r="L167" i="19"/>
  <c r="R167" i="19" s="1"/>
  <c r="X167" i="19" s="1"/>
  <c r="G167" i="19"/>
  <c r="K167" i="19"/>
  <c r="Q167" i="19" s="1"/>
  <c r="W167" i="19" s="1"/>
  <c r="C167" i="19"/>
  <c r="E167" i="19"/>
  <c r="Y230" i="19"/>
  <c r="K216" i="19"/>
  <c r="Q216" i="19" s="1"/>
  <c r="W216" i="19" s="1"/>
  <c r="G216" i="19"/>
  <c r="I216" i="19"/>
  <c r="N216" i="19" s="1"/>
  <c r="T216" i="19" s="1"/>
  <c r="F203" i="19"/>
  <c r="M203" i="19"/>
  <c r="D203" i="19"/>
  <c r="P171" i="19"/>
  <c r="C166" i="19"/>
  <c r="G166" i="19"/>
  <c r="L166" i="19"/>
  <c r="R166" i="19" s="1"/>
  <c r="X166" i="19" s="1"/>
  <c r="I166" i="19"/>
  <c r="N166" i="19" s="1"/>
  <c r="T166" i="19" s="1"/>
  <c r="H166" i="19"/>
  <c r="L165" i="19"/>
  <c r="R165" i="19" s="1"/>
  <c r="X165" i="19" s="1"/>
  <c r="G165" i="19"/>
  <c r="C165" i="19"/>
  <c r="K165" i="19"/>
  <c r="Q165" i="19" s="1"/>
  <c r="W165" i="19" s="1"/>
  <c r="K164" i="19"/>
  <c r="Q164" i="19" s="1"/>
  <c r="W164" i="19" s="1"/>
  <c r="G164" i="19"/>
  <c r="L164" i="19"/>
  <c r="R164" i="19" s="1"/>
  <c r="X164" i="19" s="1"/>
  <c r="I164" i="19"/>
  <c r="N164" i="19" s="1"/>
  <c r="T164" i="19" s="1"/>
  <c r="D164" i="19"/>
  <c r="G161" i="19"/>
  <c r="K161" i="19"/>
  <c r="Q161" i="19" s="1"/>
  <c r="W161" i="19" s="1"/>
  <c r="L161" i="19"/>
  <c r="R161" i="19" s="1"/>
  <c r="X161" i="19" s="1"/>
  <c r="F161" i="19"/>
  <c r="H161" i="19"/>
  <c r="S161" i="19" s="1"/>
  <c r="Y161" i="19" s="1"/>
  <c r="W221" i="19"/>
  <c r="E216" i="19"/>
  <c r="H208" i="19"/>
  <c r="M208" i="19"/>
  <c r="I208" i="19"/>
  <c r="N208" i="19" s="1"/>
  <c r="T208" i="19" s="1"/>
  <c r="X204" i="19"/>
  <c r="G203" i="19"/>
  <c r="J187" i="19"/>
  <c r="F187" i="19"/>
  <c r="M187" i="19"/>
  <c r="G187" i="19"/>
  <c r="L183" i="19"/>
  <c r="R183" i="19" s="1"/>
  <c r="X183" i="19" s="1"/>
  <c r="M183" i="19"/>
  <c r="G183" i="19"/>
  <c r="J183" i="19"/>
  <c r="E183" i="19"/>
  <c r="S183" i="19" s="1"/>
  <c r="Y183" i="19" s="1"/>
  <c r="D183" i="19"/>
  <c r="F166" i="19"/>
  <c r="H165" i="19"/>
  <c r="H164" i="19"/>
  <c r="H215" i="19"/>
  <c r="D215" i="19"/>
  <c r="G200" i="19"/>
  <c r="F200" i="19"/>
  <c r="J200" i="19"/>
  <c r="M188" i="19"/>
  <c r="G188" i="19"/>
  <c r="I188" i="19"/>
  <c r="N188" i="19" s="1"/>
  <c r="T188" i="19" s="1"/>
  <c r="D185" i="19"/>
  <c r="G185" i="19"/>
  <c r="I185" i="19"/>
  <c r="N185" i="19" s="1"/>
  <c r="T185" i="19" s="1"/>
  <c r="C185" i="19"/>
  <c r="G179" i="19"/>
  <c r="H179" i="19"/>
  <c r="C179" i="19"/>
  <c r="V171" i="19"/>
  <c r="G158" i="19"/>
  <c r="H158" i="19"/>
  <c r="S158" i="19" s="1"/>
  <c r="Y158" i="19" s="1"/>
  <c r="L158" i="19"/>
  <c r="R158" i="19" s="1"/>
  <c r="X158" i="19" s="1"/>
  <c r="I158" i="19"/>
  <c r="N158" i="19" s="1"/>
  <c r="T158" i="19" s="1"/>
  <c r="K189" i="19"/>
  <c r="Q189" i="19" s="1"/>
  <c r="W189" i="19" s="1"/>
  <c r="D189" i="19"/>
  <c r="F158" i="19"/>
  <c r="J201" i="19"/>
  <c r="L201" i="19"/>
  <c r="R201" i="19" s="1"/>
  <c r="X201" i="19" s="1"/>
  <c r="C194" i="19"/>
  <c r="G194" i="19"/>
  <c r="E201" i="19"/>
  <c r="F194" i="19"/>
  <c r="P194" i="19" s="1"/>
  <c r="V194" i="19" s="1"/>
  <c r="H191" i="19"/>
  <c r="F191" i="19"/>
  <c r="I182" i="19"/>
  <c r="N182" i="19" s="1"/>
  <c r="T182" i="19" s="1"/>
  <c r="G182" i="19"/>
  <c r="J173" i="19"/>
  <c r="G173" i="19"/>
  <c r="L173" i="19"/>
  <c r="R173" i="19" s="1"/>
  <c r="X173" i="19" s="1"/>
  <c r="I168" i="19"/>
  <c r="N168" i="19" s="1"/>
  <c r="T168" i="19" s="1"/>
  <c r="M168" i="19"/>
  <c r="G168" i="19"/>
  <c r="M160" i="19"/>
  <c r="C160" i="19"/>
  <c r="G160" i="19"/>
  <c r="L160" i="19"/>
  <c r="R160" i="19" s="1"/>
  <c r="X160" i="19" s="1"/>
  <c r="W182" i="19"/>
  <c r="G171" i="19"/>
  <c r="T167" i="19"/>
  <c r="G162" i="19"/>
  <c r="L155" i="19"/>
  <c r="R155" i="19" s="1"/>
  <c r="X155" i="19" s="1"/>
  <c r="D155" i="19"/>
  <c r="W168" i="19"/>
  <c r="W196" i="19"/>
  <c r="G176" i="19"/>
  <c r="L171" i="19"/>
  <c r="R171" i="19" s="1"/>
  <c r="X171" i="19" s="1"/>
  <c r="L162" i="19"/>
  <c r="R162" i="19" s="1"/>
  <c r="X162" i="19" s="1"/>
  <c r="G155" i="19"/>
  <c r="C152" i="19"/>
  <c r="I152" i="19"/>
  <c r="N152" i="19" s="1"/>
  <c r="T152" i="19" s="1"/>
  <c r="F144" i="19"/>
  <c r="H144" i="19"/>
  <c r="I144" i="19"/>
  <c r="N144" i="19" s="1"/>
  <c r="T144" i="19" s="1"/>
  <c r="K144" i="19"/>
  <c r="Q144" i="19" s="1"/>
  <c r="W144" i="19" s="1"/>
  <c r="C144" i="19"/>
  <c r="D144" i="19"/>
  <c r="E144" i="19"/>
  <c r="J144" i="19"/>
  <c r="G144" i="19"/>
  <c r="L144" i="19"/>
  <c r="R144" i="19" s="1"/>
  <c r="X144" i="19" s="1"/>
  <c r="M144" i="19"/>
  <c r="E111" i="19"/>
  <c r="G111" i="19"/>
  <c r="H111" i="19"/>
  <c r="I111" i="19"/>
  <c r="N111" i="19" s="1"/>
  <c r="T111" i="19" s="1"/>
  <c r="J111" i="19"/>
  <c r="M111" i="19"/>
  <c r="C111" i="19"/>
  <c r="D111" i="19"/>
  <c r="K111" i="19"/>
  <c r="Q111" i="19" s="1"/>
  <c r="W111" i="19" s="1"/>
  <c r="F111" i="19"/>
  <c r="L111" i="19"/>
  <c r="R111" i="19" s="1"/>
  <c r="X111" i="19" s="1"/>
  <c r="K127" i="19"/>
  <c r="Q127" i="19" s="1"/>
  <c r="W127" i="19" s="1"/>
  <c r="M127" i="19"/>
  <c r="E127" i="19"/>
  <c r="C127" i="19"/>
  <c r="D127" i="19"/>
  <c r="F127" i="19"/>
  <c r="I127" i="19"/>
  <c r="N127" i="19" s="1"/>
  <c r="T127" i="19" s="1"/>
  <c r="G127" i="19"/>
  <c r="H127" i="19"/>
  <c r="L127" i="19"/>
  <c r="R127" i="19" s="1"/>
  <c r="X127" i="19" s="1"/>
  <c r="J127" i="19"/>
  <c r="D138" i="19"/>
  <c r="E138" i="19"/>
  <c r="G138" i="19"/>
  <c r="J138" i="19"/>
  <c r="F138" i="19"/>
  <c r="H138" i="19"/>
  <c r="I138" i="19"/>
  <c r="N138" i="19" s="1"/>
  <c r="T138" i="19" s="1"/>
  <c r="M138" i="19"/>
  <c r="K138" i="19"/>
  <c r="Q138" i="19" s="1"/>
  <c r="W138" i="19" s="1"/>
  <c r="L138" i="19"/>
  <c r="R138" i="19" s="1"/>
  <c r="X138" i="19" s="1"/>
  <c r="C143" i="19"/>
  <c r="E143" i="19"/>
  <c r="F143" i="19"/>
  <c r="H143" i="19"/>
  <c r="K143" i="19"/>
  <c r="Q143" i="19" s="1"/>
  <c r="W143" i="19" s="1"/>
  <c r="G143" i="19"/>
  <c r="I143" i="19"/>
  <c r="N143" i="19" s="1"/>
  <c r="T143" i="19" s="1"/>
  <c r="J143" i="19"/>
  <c r="M143" i="19"/>
  <c r="L143" i="19"/>
  <c r="R143" i="19" s="1"/>
  <c r="X143" i="19" s="1"/>
  <c r="O135" i="19"/>
  <c r="U135" i="19" s="1"/>
  <c r="P121" i="19"/>
  <c r="V121" i="19" s="1"/>
  <c r="D110" i="19"/>
  <c r="F110" i="19"/>
  <c r="E110" i="19"/>
  <c r="G110" i="19"/>
  <c r="J110" i="19"/>
  <c r="C110" i="19"/>
  <c r="H110" i="19"/>
  <c r="K110" i="19"/>
  <c r="Q110" i="19" s="1"/>
  <c r="W110" i="19" s="1"/>
  <c r="I110" i="19"/>
  <c r="N110" i="19" s="1"/>
  <c r="T110" i="19" s="1"/>
  <c r="L110" i="19"/>
  <c r="R110" i="19" s="1"/>
  <c r="X110" i="19" s="1"/>
  <c r="M110" i="19"/>
  <c r="W135" i="19"/>
  <c r="S150" i="19"/>
  <c r="Y150" i="19" s="1"/>
  <c r="Y135" i="19"/>
  <c r="V135" i="19"/>
  <c r="T150" i="19"/>
  <c r="H112" i="19"/>
  <c r="J112" i="19"/>
  <c r="L112" i="19"/>
  <c r="R112" i="19" s="1"/>
  <c r="K112" i="19"/>
  <c r="Q112" i="19" s="1"/>
  <c r="W112" i="19" s="1"/>
  <c r="M112" i="19"/>
  <c r="C112" i="19"/>
  <c r="D112" i="19"/>
  <c r="F112" i="19"/>
  <c r="E112" i="19"/>
  <c r="S112" i="19" s="1"/>
  <c r="Y112" i="19" s="1"/>
  <c r="G112" i="19"/>
  <c r="I112" i="19"/>
  <c r="N112" i="19" s="1"/>
  <c r="T112" i="19" s="1"/>
  <c r="X132" i="19"/>
  <c r="E139" i="19"/>
  <c r="G139" i="19"/>
  <c r="H139" i="19"/>
  <c r="J139" i="19"/>
  <c r="M139" i="19"/>
  <c r="K139" i="19"/>
  <c r="Q139" i="19" s="1"/>
  <c r="W139" i="19" s="1"/>
  <c r="C139" i="19"/>
  <c r="D139" i="19"/>
  <c r="F139" i="19"/>
  <c r="I139" i="19"/>
  <c r="N139" i="19" s="1"/>
  <c r="T139" i="19" s="1"/>
  <c r="L139" i="19"/>
  <c r="R139" i="19" s="1"/>
  <c r="X139" i="19" s="1"/>
  <c r="X105" i="19"/>
  <c r="W147" i="19"/>
  <c r="H126" i="19"/>
  <c r="J126" i="19"/>
  <c r="K126" i="19"/>
  <c r="Q126" i="19" s="1"/>
  <c r="W126" i="19" s="1"/>
  <c r="M126" i="19"/>
  <c r="C142" i="19"/>
  <c r="E142" i="19"/>
  <c r="H142" i="19"/>
  <c r="P142" i="19" s="1"/>
  <c r="V142" i="19" s="1"/>
  <c r="P141" i="19"/>
  <c r="V141" i="19" s="1"/>
  <c r="D134" i="19"/>
  <c r="F134" i="19"/>
  <c r="G134" i="19"/>
  <c r="I134" i="19"/>
  <c r="N134" i="19" s="1"/>
  <c r="T134" i="19" s="1"/>
  <c r="L134" i="19"/>
  <c r="R134" i="19" s="1"/>
  <c r="X134" i="19" s="1"/>
  <c r="I131" i="19"/>
  <c r="N131" i="19" s="1"/>
  <c r="T131" i="19" s="1"/>
  <c r="K131" i="19"/>
  <c r="Q131" i="19" s="1"/>
  <c r="W131" i="19" s="1"/>
  <c r="L131" i="19"/>
  <c r="R131" i="19" s="1"/>
  <c r="X131" i="19" s="1"/>
  <c r="C131" i="19"/>
  <c r="F130" i="19"/>
  <c r="H130" i="19"/>
  <c r="I130" i="19"/>
  <c r="N130" i="19" s="1"/>
  <c r="T130" i="19" s="1"/>
  <c r="K130" i="19"/>
  <c r="Q130" i="19" s="1"/>
  <c r="W130" i="19" s="1"/>
  <c r="T125" i="19"/>
  <c r="X116" i="19"/>
  <c r="C115" i="19"/>
  <c r="E115" i="19"/>
  <c r="G115" i="19"/>
  <c r="F115" i="19"/>
  <c r="H115" i="19"/>
  <c r="K115" i="19"/>
  <c r="Q115" i="19" s="1"/>
  <c r="W115" i="19" s="1"/>
  <c r="P113" i="19"/>
  <c r="V113" i="19" s="1"/>
  <c r="O107" i="19"/>
  <c r="U107" i="19" s="1"/>
  <c r="W106" i="19"/>
  <c r="E125" i="19"/>
  <c r="G125" i="19"/>
  <c r="H125" i="19"/>
  <c r="J125" i="19"/>
  <c r="M125" i="19"/>
  <c r="D124" i="19"/>
  <c r="E124" i="19"/>
  <c r="G124" i="19"/>
  <c r="J124" i="19"/>
  <c r="F116" i="19"/>
  <c r="H116" i="19"/>
  <c r="I116" i="19"/>
  <c r="N116" i="19" s="1"/>
  <c r="T116" i="19" s="1"/>
  <c r="J116" i="19"/>
  <c r="K116" i="19"/>
  <c r="Q116" i="19" s="1"/>
  <c r="W116" i="19" s="1"/>
  <c r="D114" i="19"/>
  <c r="C114" i="19"/>
  <c r="E114" i="19"/>
  <c r="H114" i="19"/>
  <c r="D106" i="19"/>
  <c r="F106" i="19"/>
  <c r="G106" i="19"/>
  <c r="H106" i="19"/>
  <c r="I106" i="19"/>
  <c r="N106" i="19" s="1"/>
  <c r="T106" i="19" s="1"/>
  <c r="J106" i="19"/>
  <c r="L106" i="19"/>
  <c r="R106" i="19" s="1"/>
  <c r="X106" i="19" s="1"/>
  <c r="M142" i="19"/>
  <c r="T133" i="19"/>
  <c r="W133" i="19"/>
  <c r="L126" i="19"/>
  <c r="R126" i="19" s="1"/>
  <c r="X126" i="19" s="1"/>
  <c r="W107" i="19"/>
  <c r="T118" i="19"/>
  <c r="C129" i="19"/>
  <c r="E129" i="19"/>
  <c r="F129" i="19"/>
  <c r="H129" i="19"/>
  <c r="K129" i="19"/>
  <c r="Q129" i="19" s="1"/>
  <c r="W129" i="19" s="1"/>
  <c r="W121" i="19"/>
  <c r="K141" i="19"/>
  <c r="Q141" i="19" s="1"/>
  <c r="W141" i="19" s="1"/>
  <c r="M141" i="19"/>
  <c r="O141" i="19" s="1"/>
  <c r="U141" i="19" s="1"/>
  <c r="E141" i="19"/>
  <c r="S141" i="19" s="1"/>
  <c r="Y141" i="19" s="1"/>
  <c r="P151" i="19"/>
  <c r="V151" i="19" s="1"/>
  <c r="L142" i="19"/>
  <c r="R142" i="19" s="1"/>
  <c r="X142" i="19" s="1"/>
  <c r="M131" i="19"/>
  <c r="C128" i="19"/>
  <c r="E128" i="19"/>
  <c r="H128" i="19"/>
  <c r="I126" i="19"/>
  <c r="N126" i="19" s="1"/>
  <c r="T126" i="19" s="1"/>
  <c r="D120" i="19"/>
  <c r="F120" i="19"/>
  <c r="P120" i="19" s="1"/>
  <c r="V120" i="19" s="1"/>
  <c r="G120" i="19"/>
  <c r="I120" i="19"/>
  <c r="N120" i="19" s="1"/>
  <c r="T120" i="19" s="1"/>
  <c r="L120" i="19"/>
  <c r="R120" i="19" s="1"/>
  <c r="X120" i="19" s="1"/>
  <c r="Y113" i="19"/>
  <c r="W148" i="19"/>
  <c r="K142" i="19"/>
  <c r="Q142" i="19" s="1"/>
  <c r="W142" i="19" s="1"/>
  <c r="H140" i="19"/>
  <c r="P140" i="19" s="1"/>
  <c r="V140" i="19" s="1"/>
  <c r="J140" i="19"/>
  <c r="K140" i="19"/>
  <c r="Q140" i="19" s="1"/>
  <c r="W140" i="19" s="1"/>
  <c r="M140" i="19"/>
  <c r="M134" i="19"/>
  <c r="J131" i="19"/>
  <c r="G126" i="19"/>
  <c r="T105" i="19"/>
  <c r="W105" i="19"/>
  <c r="I117" i="19"/>
  <c r="N117" i="19" s="1"/>
  <c r="T117" i="19" s="1"/>
  <c r="K117" i="19"/>
  <c r="Q117" i="19" s="1"/>
  <c r="W117" i="19" s="1"/>
  <c r="L117" i="19"/>
  <c r="R117" i="19" s="1"/>
  <c r="X117" i="19" s="1"/>
  <c r="M117" i="19"/>
  <c r="C117" i="19"/>
  <c r="D148" i="19"/>
  <c r="F148" i="19"/>
  <c r="G148" i="19"/>
  <c r="I148" i="19"/>
  <c r="N148" i="19" s="1"/>
  <c r="T148" i="19" s="1"/>
  <c r="L148" i="19"/>
  <c r="R148" i="19" s="1"/>
  <c r="X148" i="19" s="1"/>
  <c r="I145" i="19"/>
  <c r="N145" i="19" s="1"/>
  <c r="T145" i="19" s="1"/>
  <c r="K145" i="19"/>
  <c r="Q145" i="19" s="1"/>
  <c r="W145" i="19" s="1"/>
  <c r="L145" i="19"/>
  <c r="R145" i="19" s="1"/>
  <c r="X145" i="19" s="1"/>
  <c r="C145" i="19"/>
  <c r="J142" i="19"/>
  <c r="K134" i="19"/>
  <c r="Q134" i="19" s="1"/>
  <c r="W134" i="19" s="1"/>
  <c r="H131" i="19"/>
  <c r="M130" i="19"/>
  <c r="F126" i="19"/>
  <c r="L125" i="19"/>
  <c r="R125" i="19" s="1"/>
  <c r="X125" i="19" s="1"/>
  <c r="E113" i="19"/>
  <c r="S113" i="19" s="1"/>
  <c r="L149" i="19"/>
  <c r="R149" i="19" s="1"/>
  <c r="X149" i="19" s="1"/>
  <c r="C146" i="19"/>
  <c r="L135" i="19"/>
  <c r="R135" i="19" s="1"/>
  <c r="X135" i="19" s="1"/>
  <c r="C132" i="19"/>
  <c r="L121" i="19"/>
  <c r="R121" i="19" s="1"/>
  <c r="X121" i="19" s="1"/>
  <c r="C118" i="19"/>
  <c r="L107" i="19"/>
  <c r="R107" i="19" s="1"/>
  <c r="X107" i="19" s="1"/>
  <c r="J149" i="19"/>
  <c r="J135" i="19"/>
  <c r="J121" i="19"/>
  <c r="J107" i="19"/>
  <c r="L150" i="19"/>
  <c r="R150" i="19" s="1"/>
  <c r="X150" i="19" s="1"/>
  <c r="I149" i="19"/>
  <c r="N149" i="19" s="1"/>
  <c r="T149" i="19" s="1"/>
  <c r="L136" i="19"/>
  <c r="R136" i="19" s="1"/>
  <c r="X136" i="19" s="1"/>
  <c r="I135" i="19"/>
  <c r="N135" i="19" s="1"/>
  <c r="T135" i="19" s="1"/>
  <c r="L122" i="19"/>
  <c r="R122" i="19" s="1"/>
  <c r="X122" i="19" s="1"/>
  <c r="I121" i="19"/>
  <c r="N121" i="19" s="1"/>
  <c r="T121" i="19" s="1"/>
  <c r="M113" i="19"/>
  <c r="X112" i="19"/>
  <c r="L108" i="19"/>
  <c r="R108" i="19" s="1"/>
  <c r="X108" i="19" s="1"/>
  <c r="I107" i="19"/>
  <c r="N107" i="19" s="1"/>
  <c r="T107" i="19" s="1"/>
  <c r="L104" i="19"/>
  <c r="R104" i="19" s="1"/>
  <c r="X104" i="19" s="1"/>
  <c r="I103" i="19"/>
  <c r="N103" i="19" s="1"/>
  <c r="T103" i="19" s="1"/>
  <c r="L103" i="19"/>
  <c r="R103" i="19" s="1"/>
  <c r="X103" i="19" s="1"/>
  <c r="K104" i="19"/>
  <c r="Q104" i="19" s="1"/>
  <c r="W104" i="19" s="1"/>
  <c r="H103" i="19"/>
  <c r="E102" i="19"/>
  <c r="S102" i="19" s="1"/>
  <c r="Y102" i="19" s="1"/>
  <c r="J104" i="19"/>
  <c r="G103" i="19"/>
  <c r="D102" i="19"/>
  <c r="M104" i="19"/>
  <c r="I104" i="19"/>
  <c r="N104" i="19" s="1"/>
  <c r="T104" i="19" s="1"/>
  <c r="F103" i="19"/>
  <c r="M103" i="19"/>
  <c r="K103" i="19"/>
  <c r="Q103" i="19" s="1"/>
  <c r="W103" i="19" s="1"/>
  <c r="H104" i="19"/>
  <c r="E103" i="19"/>
  <c r="J103" i="19"/>
  <c r="D81" i="19"/>
  <c r="G76" i="19"/>
  <c r="F64" i="19"/>
  <c r="D67" i="19"/>
  <c r="C100" i="19"/>
  <c r="E100" i="19"/>
  <c r="H58" i="19"/>
  <c r="D100" i="19"/>
  <c r="T100" i="19"/>
  <c r="G81" i="19"/>
  <c r="E81" i="19"/>
  <c r="T84" i="19"/>
  <c r="D84" i="19"/>
  <c r="C84" i="19"/>
  <c r="F66" i="19"/>
  <c r="M100" i="19"/>
  <c r="X12" i="19"/>
  <c r="M72" i="19"/>
  <c r="C98" i="19"/>
  <c r="L72" i="19"/>
  <c r="R72" i="19" s="1"/>
  <c r="X72" i="19" s="1"/>
  <c r="K72" i="19"/>
  <c r="Q72" i="19" s="1"/>
  <c r="W72" i="19" s="1"/>
  <c r="J64" i="19"/>
  <c r="G58" i="19"/>
  <c r="G99" i="19"/>
  <c r="M58" i="19"/>
  <c r="L58" i="19"/>
  <c r="R58" i="19" s="1"/>
  <c r="X58" i="19" s="1"/>
  <c r="C99" i="19"/>
  <c r="D98" i="19"/>
  <c r="D58" i="19"/>
  <c r="C43" i="19"/>
  <c r="K58" i="19"/>
  <c r="Q58" i="19" s="1"/>
  <c r="W58" i="19" s="1"/>
  <c r="M86" i="19"/>
  <c r="H99" i="19"/>
  <c r="L86" i="19"/>
  <c r="R86" i="19" s="1"/>
  <c r="X86" i="19" s="1"/>
  <c r="F58" i="19"/>
  <c r="K86" i="19"/>
  <c r="Q86" i="19" s="1"/>
  <c r="W86" i="19" s="1"/>
  <c r="E58" i="19"/>
  <c r="F96" i="19"/>
  <c r="H74" i="19"/>
  <c r="S74" i="19" s="1"/>
  <c r="Y74" i="19" s="1"/>
  <c r="E43" i="19"/>
  <c r="E96" i="19"/>
  <c r="C73" i="19"/>
  <c r="E72" i="19"/>
  <c r="S72" i="19" s="1"/>
  <c r="Y72" i="19" s="1"/>
  <c r="H100" i="19"/>
  <c r="D72" i="19"/>
  <c r="G100" i="19"/>
  <c r="D88" i="19"/>
  <c r="C72" i="19"/>
  <c r="F100" i="19"/>
  <c r="M101" i="19"/>
  <c r="L92" i="19"/>
  <c r="R92" i="19" s="1"/>
  <c r="X92" i="19" s="1"/>
  <c r="I92" i="19"/>
  <c r="N92" i="19" s="1"/>
  <c r="T92" i="19" s="1"/>
  <c r="K92" i="19"/>
  <c r="Q92" i="19" s="1"/>
  <c r="W92" i="19" s="1"/>
  <c r="F93" i="19"/>
  <c r="L93" i="19"/>
  <c r="R93" i="19" s="1"/>
  <c r="X93" i="19" s="1"/>
  <c r="M93" i="19"/>
  <c r="G51" i="19"/>
  <c r="K51" i="19"/>
  <c r="Q51" i="19" s="1"/>
  <c r="W51" i="19" s="1"/>
  <c r="C51" i="19"/>
  <c r="H51" i="19"/>
  <c r="L51" i="19"/>
  <c r="R51" i="19" s="1"/>
  <c r="X51" i="19" s="1"/>
  <c r="M51" i="19"/>
  <c r="G74" i="19"/>
  <c r="G78" i="19"/>
  <c r="K78" i="19"/>
  <c r="Q78" i="19" s="1"/>
  <c r="W78" i="19" s="1"/>
  <c r="F74" i="19"/>
  <c r="D64" i="19"/>
  <c r="I91" i="19"/>
  <c r="N91" i="19" s="1"/>
  <c r="T91" i="19" s="1"/>
  <c r="C91" i="19"/>
  <c r="J91" i="19"/>
  <c r="I49" i="19"/>
  <c r="N49" i="19" s="1"/>
  <c r="T49" i="19" s="1"/>
  <c r="J49" i="19"/>
  <c r="J92" i="19"/>
  <c r="M66" i="19"/>
  <c r="F65" i="19"/>
  <c r="D65" i="19"/>
  <c r="E65" i="19"/>
  <c r="K65" i="19"/>
  <c r="Q65" i="19" s="1"/>
  <c r="W65" i="19" s="1"/>
  <c r="L65" i="19"/>
  <c r="R65" i="19" s="1"/>
  <c r="X65" i="19" s="1"/>
  <c r="M50" i="19"/>
  <c r="K50" i="19"/>
  <c r="Q50" i="19" s="1"/>
  <c r="W50" i="19" s="1"/>
  <c r="H50" i="19"/>
  <c r="I50" i="19"/>
  <c r="N50" i="19" s="1"/>
  <c r="T50" i="19" s="1"/>
  <c r="J50" i="19"/>
  <c r="C90" i="19"/>
  <c r="D90" i="19"/>
  <c r="L90" i="19"/>
  <c r="R90" i="19" s="1"/>
  <c r="X90" i="19" s="1"/>
  <c r="J80" i="19"/>
  <c r="F80" i="19"/>
  <c r="G80" i="19"/>
  <c r="H80" i="19"/>
  <c r="I80" i="19"/>
  <c r="N80" i="19" s="1"/>
  <c r="T80" i="19" s="1"/>
  <c r="M80" i="19"/>
  <c r="F79" i="19"/>
  <c r="K79" i="19"/>
  <c r="Q79" i="19" s="1"/>
  <c r="W79" i="19" s="1"/>
  <c r="L79" i="19"/>
  <c r="R79" i="19" s="1"/>
  <c r="X79" i="19" s="1"/>
  <c r="M79" i="19"/>
  <c r="K93" i="19"/>
  <c r="Q93" i="19" s="1"/>
  <c r="W93" i="19" s="1"/>
  <c r="L64" i="19"/>
  <c r="R64" i="19" s="1"/>
  <c r="X64" i="19" s="1"/>
  <c r="K64" i="19"/>
  <c r="Q64" i="19" s="1"/>
  <c r="W64" i="19" s="1"/>
  <c r="C83" i="19"/>
  <c r="M65" i="19"/>
  <c r="C60" i="19"/>
  <c r="I60" i="19"/>
  <c r="N60" i="19" s="1"/>
  <c r="T60" i="19" s="1"/>
  <c r="J60" i="19"/>
  <c r="K60" i="19"/>
  <c r="Q60" i="19" s="1"/>
  <c r="W60" i="19" s="1"/>
  <c r="I64" i="19"/>
  <c r="N64" i="19" s="1"/>
  <c r="T64" i="19" s="1"/>
  <c r="F92" i="19"/>
  <c r="P92" i="19" s="1"/>
  <c r="V92" i="19" s="1"/>
  <c r="E92" i="19"/>
  <c r="E80" i="19"/>
  <c r="J81" i="19"/>
  <c r="D92" i="19"/>
  <c r="D80" i="19"/>
  <c r="F52" i="19"/>
  <c r="I52" i="19"/>
  <c r="N52" i="19" s="1"/>
  <c r="T52" i="19" s="1"/>
  <c r="M52" i="19"/>
  <c r="I94" i="19"/>
  <c r="N94" i="19" s="1"/>
  <c r="T94" i="19" s="1"/>
  <c r="L74" i="19"/>
  <c r="R74" i="19" s="1"/>
  <c r="X74" i="19" s="1"/>
  <c r="C74" i="19"/>
  <c r="D74" i="19"/>
  <c r="I74" i="19"/>
  <c r="N74" i="19" s="1"/>
  <c r="T74" i="19" s="1"/>
  <c r="J74" i="19"/>
  <c r="G46" i="19"/>
  <c r="I46" i="19"/>
  <c r="N46" i="19" s="1"/>
  <c r="T46" i="19" s="1"/>
  <c r="J46" i="19"/>
  <c r="K46" i="19"/>
  <c r="Q46" i="19" s="1"/>
  <c r="W46" i="19" s="1"/>
  <c r="C92" i="19"/>
  <c r="D55" i="19"/>
  <c r="M55" i="19"/>
  <c r="J78" i="19"/>
  <c r="D66" i="19"/>
  <c r="C66" i="19"/>
  <c r="E66" i="19"/>
  <c r="I88" i="19"/>
  <c r="N88" i="19" s="1"/>
  <c r="T88" i="19" s="1"/>
  <c r="H88" i="19"/>
  <c r="J88" i="19"/>
  <c r="K88" i="19"/>
  <c r="Q88" i="19" s="1"/>
  <c r="W88" i="19" s="1"/>
  <c r="C80" i="19"/>
  <c r="G50" i="19"/>
  <c r="F50" i="19"/>
  <c r="C68" i="19"/>
  <c r="J68" i="19"/>
  <c r="L68" i="19"/>
  <c r="R68" i="19" s="1"/>
  <c r="X68" i="19" s="1"/>
  <c r="M68" i="19"/>
  <c r="J54" i="19"/>
  <c r="M54" i="19"/>
  <c r="I78" i="19"/>
  <c r="N78" i="19" s="1"/>
  <c r="T78" i="19" s="1"/>
  <c r="J53" i="19"/>
  <c r="G92" i="19"/>
  <c r="H66" i="19"/>
  <c r="E88" i="19"/>
  <c r="F76" i="19"/>
  <c r="G66" i="19"/>
  <c r="C50" i="19"/>
  <c r="H95" i="19"/>
  <c r="J95" i="19"/>
  <c r="F81" i="19"/>
  <c r="C81" i="19"/>
  <c r="C67" i="19"/>
  <c r="I67" i="19"/>
  <c r="N67" i="19" s="1"/>
  <c r="T67" i="19" s="1"/>
  <c r="J67" i="19"/>
  <c r="M94" i="19"/>
  <c r="K74" i="19"/>
  <c r="Q74" i="19" s="1"/>
  <c r="W74" i="19" s="1"/>
  <c r="I53" i="19"/>
  <c r="N53" i="19" s="1"/>
  <c r="T53" i="19" s="1"/>
  <c r="M73" i="19"/>
  <c r="M45" i="19"/>
  <c r="M44" i="19"/>
  <c r="L100" i="19"/>
  <c r="R100" i="19" s="1"/>
  <c r="X100" i="19" s="1"/>
  <c r="L44" i="19"/>
  <c r="R44" i="19" s="1"/>
  <c r="X44" i="19" s="1"/>
  <c r="K100" i="19"/>
  <c r="Q100" i="19" s="1"/>
  <c r="W100" i="19" s="1"/>
  <c r="K44" i="19"/>
  <c r="Q44" i="19" s="1"/>
  <c r="W44" i="19" s="1"/>
  <c r="L99" i="19"/>
  <c r="R99" i="19" s="1"/>
  <c r="X99" i="19" s="1"/>
  <c r="K43" i="19"/>
  <c r="Q43" i="19" s="1"/>
  <c r="W43" i="19" s="1"/>
  <c r="G73" i="19"/>
  <c r="K99" i="19"/>
  <c r="Q99" i="19" s="1"/>
  <c r="W99" i="19" s="1"/>
  <c r="D73" i="19"/>
  <c r="C36" i="19"/>
  <c r="D36" i="19"/>
  <c r="F36" i="19"/>
  <c r="G36" i="19"/>
  <c r="D8" i="19"/>
  <c r="G61" i="19"/>
  <c r="M61" i="19"/>
  <c r="I61" i="19"/>
  <c r="N61" i="19" s="1"/>
  <c r="T61" i="19" s="1"/>
  <c r="J61" i="19"/>
  <c r="D68" i="19"/>
  <c r="K61" i="19"/>
  <c r="Q61" i="19" s="1"/>
  <c r="W61" i="19" s="1"/>
  <c r="L54" i="19"/>
  <c r="R54" i="19" s="1"/>
  <c r="X54" i="19" s="1"/>
  <c r="E75" i="19"/>
  <c r="M75" i="19"/>
  <c r="C75" i="19"/>
  <c r="I75" i="19"/>
  <c r="N75" i="19" s="1"/>
  <c r="T75" i="19" s="1"/>
  <c r="L61" i="19"/>
  <c r="R61" i="19" s="1"/>
  <c r="X61" i="19" s="1"/>
  <c r="J99" i="19"/>
  <c r="M99" i="19"/>
  <c r="D99" i="19"/>
  <c r="E99" i="19"/>
  <c r="F99" i="19"/>
  <c r="E85" i="19"/>
  <c r="J85" i="19"/>
  <c r="M85" i="19"/>
  <c r="E71" i="19"/>
  <c r="J71" i="19"/>
  <c r="M71" i="19"/>
  <c r="G57" i="19"/>
  <c r="J57" i="19"/>
  <c r="M57" i="19"/>
  <c r="D43" i="19"/>
  <c r="J43" i="19"/>
  <c r="M43" i="19"/>
  <c r="H43" i="19"/>
  <c r="L47" i="19"/>
  <c r="R47" i="19" s="1"/>
  <c r="X47" i="19" s="1"/>
  <c r="F89" i="19"/>
  <c r="M89" i="19"/>
  <c r="H89" i="19"/>
  <c r="I89" i="19"/>
  <c r="N89" i="19" s="1"/>
  <c r="T89" i="19" s="1"/>
  <c r="K75" i="19"/>
  <c r="Q75" i="19" s="1"/>
  <c r="W75" i="19" s="1"/>
  <c r="G89" i="19"/>
  <c r="D83" i="19"/>
  <c r="J98" i="19"/>
  <c r="E98" i="19"/>
  <c r="K98" i="19"/>
  <c r="Q98" i="19" s="1"/>
  <c r="W98" i="19" s="1"/>
  <c r="F98" i="19"/>
  <c r="L98" i="19"/>
  <c r="R98" i="19" s="1"/>
  <c r="X98" i="19" s="1"/>
  <c r="G98" i="19"/>
  <c r="M98" i="19"/>
  <c r="H98" i="19"/>
  <c r="E84" i="19"/>
  <c r="J84" i="19"/>
  <c r="K84" i="19"/>
  <c r="Q84" i="19" s="1"/>
  <c r="W84" i="19" s="1"/>
  <c r="L84" i="19"/>
  <c r="R84" i="19" s="1"/>
  <c r="X84" i="19" s="1"/>
  <c r="M84" i="19"/>
  <c r="F84" i="19"/>
  <c r="G84" i="19"/>
  <c r="H84" i="19"/>
  <c r="G70" i="19"/>
  <c r="J70" i="19"/>
  <c r="K70" i="19"/>
  <c r="Q70" i="19" s="1"/>
  <c r="W70" i="19" s="1"/>
  <c r="L70" i="19"/>
  <c r="R70" i="19" s="1"/>
  <c r="X70" i="19" s="1"/>
  <c r="M70" i="19"/>
  <c r="G56" i="19"/>
  <c r="J56" i="19"/>
  <c r="K56" i="19"/>
  <c r="Q56" i="19" s="1"/>
  <c r="W56" i="19" s="1"/>
  <c r="L56" i="19"/>
  <c r="R56" i="19" s="1"/>
  <c r="X56" i="19" s="1"/>
  <c r="M56" i="19"/>
  <c r="N42" i="19"/>
  <c r="T42" i="19" s="1"/>
  <c r="J42" i="19"/>
  <c r="K42" i="19"/>
  <c r="Q42" i="19" s="1"/>
  <c r="W42" i="19" s="1"/>
  <c r="C42" i="19"/>
  <c r="L42" i="19"/>
  <c r="R42" i="19" s="1"/>
  <c r="X42" i="19" s="1"/>
  <c r="F42" i="19"/>
  <c r="M42" i="19"/>
  <c r="G42" i="19"/>
  <c r="M97" i="19"/>
  <c r="L85" i="19"/>
  <c r="R85" i="19" s="1"/>
  <c r="X85" i="19" s="1"/>
  <c r="M96" i="19"/>
  <c r="I85" i="19"/>
  <c r="N85" i="19" s="1"/>
  <c r="T85" i="19" s="1"/>
  <c r="J75" i="19"/>
  <c r="I82" i="19"/>
  <c r="N82" i="19" s="1"/>
  <c r="T82" i="19" s="1"/>
  <c r="C82" i="19"/>
  <c r="K82" i="19"/>
  <c r="Q82" i="19" s="1"/>
  <c r="W82" i="19" s="1"/>
  <c r="H82" i="19"/>
  <c r="I54" i="19"/>
  <c r="N54" i="19" s="1"/>
  <c r="T54" i="19" s="1"/>
  <c r="K54" i="19"/>
  <c r="Q54" i="19" s="1"/>
  <c r="W54" i="19" s="1"/>
  <c r="G82" i="19"/>
  <c r="F82" i="19"/>
  <c r="J96" i="19"/>
  <c r="L89" i="19"/>
  <c r="R89" i="19" s="1"/>
  <c r="X89" i="19" s="1"/>
  <c r="M83" i="19"/>
  <c r="L71" i="19"/>
  <c r="R71" i="19" s="1"/>
  <c r="X71" i="19" s="1"/>
  <c r="G97" i="19"/>
  <c r="I97" i="19"/>
  <c r="N97" i="19" s="1"/>
  <c r="T97" i="19" s="1"/>
  <c r="H97" i="19"/>
  <c r="P97" i="19" s="1"/>
  <c r="V97" i="19" s="1"/>
  <c r="J97" i="19"/>
  <c r="K97" i="19"/>
  <c r="Q97" i="19" s="1"/>
  <c r="W97" i="19" s="1"/>
  <c r="C69" i="19"/>
  <c r="I69" i="19"/>
  <c r="N69" i="19" s="1"/>
  <c r="T69" i="19" s="1"/>
  <c r="J69" i="19"/>
  <c r="K69" i="19"/>
  <c r="Q69" i="19" s="1"/>
  <c r="W69" i="19" s="1"/>
  <c r="L69" i="19"/>
  <c r="R69" i="19" s="1"/>
  <c r="X69" i="19" s="1"/>
  <c r="D41" i="19"/>
  <c r="I41" i="19"/>
  <c r="N41" i="19" s="1"/>
  <c r="T41" i="19" s="1"/>
  <c r="L97" i="19"/>
  <c r="R97" i="19" s="1"/>
  <c r="X97" i="19" s="1"/>
  <c r="E97" i="19"/>
  <c r="E82" i="19"/>
  <c r="E76" i="19"/>
  <c r="H42" i="19"/>
  <c r="K89" i="19"/>
  <c r="Q89" i="19" s="1"/>
  <c r="W89" i="19" s="1"/>
  <c r="J77" i="19"/>
  <c r="K71" i="19"/>
  <c r="Q71" i="19" s="1"/>
  <c r="W71" i="19" s="1"/>
  <c r="D97" i="19"/>
  <c r="D82" i="19"/>
  <c r="J89" i="19"/>
  <c r="M82" i="19"/>
  <c r="I71" i="19"/>
  <c r="N71" i="19" s="1"/>
  <c r="T71" i="19" s="1"/>
  <c r="L57" i="19"/>
  <c r="R57" i="19" s="1"/>
  <c r="X57" i="19" s="1"/>
  <c r="D89" i="19"/>
  <c r="C97" i="19"/>
  <c r="H75" i="19"/>
  <c r="H56" i="19"/>
  <c r="H91" i="19"/>
  <c r="K91" i="19"/>
  <c r="Q91" i="19" s="1"/>
  <c r="W91" i="19" s="1"/>
  <c r="D91" i="19"/>
  <c r="L91" i="19"/>
  <c r="R91" i="19" s="1"/>
  <c r="X91" i="19" s="1"/>
  <c r="E91" i="19"/>
  <c r="M91" i="19"/>
  <c r="F91" i="19"/>
  <c r="C77" i="19"/>
  <c r="K77" i="19"/>
  <c r="Q77" i="19" s="1"/>
  <c r="W77" i="19" s="1"/>
  <c r="L77" i="19"/>
  <c r="R77" i="19" s="1"/>
  <c r="X77" i="19" s="1"/>
  <c r="M77" i="19"/>
  <c r="C63" i="19"/>
  <c r="K63" i="19"/>
  <c r="Q63" i="19" s="1"/>
  <c r="W63" i="19" s="1"/>
  <c r="L63" i="19"/>
  <c r="R63" i="19" s="1"/>
  <c r="X63" i="19" s="1"/>
  <c r="M63" i="19"/>
  <c r="D49" i="19"/>
  <c r="K49" i="19"/>
  <c r="Q49" i="19" s="1"/>
  <c r="W49" i="19" s="1"/>
  <c r="L49" i="19"/>
  <c r="R49" i="19" s="1"/>
  <c r="X49" i="19" s="1"/>
  <c r="M49" i="19"/>
  <c r="L82" i="19"/>
  <c r="R82" i="19" s="1"/>
  <c r="X82" i="19" s="1"/>
  <c r="I70" i="19"/>
  <c r="N70" i="19" s="1"/>
  <c r="T70" i="19" s="1"/>
  <c r="K57" i="19"/>
  <c r="Q57" i="19" s="1"/>
  <c r="W57" i="19" s="1"/>
  <c r="M47" i="19"/>
  <c r="I47" i="19"/>
  <c r="N47" i="19" s="1"/>
  <c r="T47" i="19" s="1"/>
  <c r="J47" i="19"/>
  <c r="E83" i="19"/>
  <c r="F83" i="19"/>
  <c r="H83" i="19"/>
  <c r="I83" i="19"/>
  <c r="N83" i="19" s="1"/>
  <c r="T83" i="19" s="1"/>
  <c r="J83" i="19"/>
  <c r="K83" i="19"/>
  <c r="Q83" i="19" s="1"/>
  <c r="W83" i="19" s="1"/>
  <c r="E55" i="19"/>
  <c r="I55" i="19"/>
  <c r="N55" i="19" s="1"/>
  <c r="T55" i="19" s="1"/>
  <c r="J55" i="19"/>
  <c r="K55" i="19"/>
  <c r="Q55" i="19" s="1"/>
  <c r="W55" i="19" s="1"/>
  <c r="L55" i="19"/>
  <c r="R55" i="19" s="1"/>
  <c r="X55" i="19" s="1"/>
  <c r="C89" i="19"/>
  <c r="H96" i="19"/>
  <c r="I96" i="19"/>
  <c r="N96" i="19" s="1"/>
  <c r="T96" i="19" s="1"/>
  <c r="K96" i="19"/>
  <c r="Q96" i="19" s="1"/>
  <c r="W96" i="19" s="1"/>
  <c r="C96" i="19"/>
  <c r="D96" i="19"/>
  <c r="E68" i="19"/>
  <c r="I68" i="19"/>
  <c r="N68" i="19" s="1"/>
  <c r="T68" i="19" s="1"/>
  <c r="K68" i="19"/>
  <c r="Q68" i="19" s="1"/>
  <c r="W68" i="19" s="1"/>
  <c r="G68" i="19"/>
  <c r="H68" i="19"/>
  <c r="I40" i="19"/>
  <c r="N40" i="19" s="1"/>
  <c r="T40" i="19" s="1"/>
  <c r="F40" i="19"/>
  <c r="D40" i="19"/>
  <c r="C40" i="19"/>
  <c r="M40" i="19"/>
  <c r="G96" i="19"/>
  <c r="F75" i="19"/>
  <c r="F56" i="19"/>
  <c r="E90" i="19"/>
  <c r="I90" i="19"/>
  <c r="N90" i="19" s="1"/>
  <c r="T90" i="19" s="1"/>
  <c r="F90" i="19"/>
  <c r="J90" i="19"/>
  <c r="G90" i="19"/>
  <c r="K90" i="19"/>
  <c r="Q90" i="19" s="1"/>
  <c r="W90" i="19" s="1"/>
  <c r="H90" i="19"/>
  <c r="M90" i="19"/>
  <c r="D76" i="19"/>
  <c r="H76" i="19"/>
  <c r="I76" i="19"/>
  <c r="N76" i="19" s="1"/>
  <c r="T76" i="19" s="1"/>
  <c r="J76" i="19"/>
  <c r="K76" i="19"/>
  <c r="Q76" i="19" s="1"/>
  <c r="W76" i="19" s="1"/>
  <c r="M76" i="19"/>
  <c r="C76" i="19"/>
  <c r="F62" i="19"/>
  <c r="I62" i="19"/>
  <c r="N62" i="19" s="1"/>
  <c r="T62" i="19" s="1"/>
  <c r="J62" i="19"/>
  <c r="K62" i="19"/>
  <c r="Q62" i="19" s="1"/>
  <c r="W62" i="19" s="1"/>
  <c r="M62" i="19"/>
  <c r="E48" i="19"/>
  <c r="I48" i="19"/>
  <c r="N48" i="19" s="1"/>
  <c r="T48" i="19" s="1"/>
  <c r="J48" i="19"/>
  <c r="K48" i="19"/>
  <c r="Q48" i="19" s="1"/>
  <c r="W48" i="19" s="1"/>
  <c r="M48" i="19"/>
  <c r="F48" i="19"/>
  <c r="J82" i="19"/>
  <c r="L75" i="19"/>
  <c r="R75" i="19" s="1"/>
  <c r="X75" i="19" s="1"/>
  <c r="M69" i="19"/>
  <c r="J63" i="19"/>
  <c r="I57" i="19"/>
  <c r="N57" i="19" s="1"/>
  <c r="T57" i="19" s="1"/>
  <c r="L43" i="19"/>
  <c r="R43" i="19" s="1"/>
  <c r="X43" i="19" s="1"/>
  <c r="J100" i="19"/>
  <c r="L94" i="19"/>
  <c r="R94" i="19" s="1"/>
  <c r="X94" i="19" s="1"/>
  <c r="J86" i="19"/>
  <c r="L80" i="19"/>
  <c r="R80" i="19" s="1"/>
  <c r="X80" i="19" s="1"/>
  <c r="J72" i="19"/>
  <c r="L66" i="19"/>
  <c r="R66" i="19" s="1"/>
  <c r="X66" i="19" s="1"/>
  <c r="J58" i="19"/>
  <c r="L52" i="19"/>
  <c r="R52" i="19" s="1"/>
  <c r="X52" i="19" s="1"/>
  <c r="J44" i="19"/>
  <c r="K94" i="19"/>
  <c r="Q94" i="19" s="1"/>
  <c r="W94" i="19" s="1"/>
  <c r="M88" i="19"/>
  <c r="K80" i="19"/>
  <c r="Q80" i="19" s="1"/>
  <c r="W80" i="19" s="1"/>
  <c r="M74" i="19"/>
  <c r="I72" i="19"/>
  <c r="N72" i="19" s="1"/>
  <c r="T72" i="19" s="1"/>
  <c r="K66" i="19"/>
  <c r="Q66" i="19" s="1"/>
  <c r="W66" i="19" s="1"/>
  <c r="M60" i="19"/>
  <c r="I58" i="19"/>
  <c r="N58" i="19" s="1"/>
  <c r="T58" i="19" s="1"/>
  <c r="K52" i="19"/>
  <c r="Q52" i="19" s="1"/>
  <c r="W52" i="19" s="1"/>
  <c r="M46" i="19"/>
  <c r="I44" i="19"/>
  <c r="N44" i="19" s="1"/>
  <c r="T44" i="19" s="1"/>
  <c r="J94" i="19"/>
  <c r="L88" i="19"/>
  <c r="R88" i="19" s="1"/>
  <c r="X88" i="19" s="1"/>
  <c r="J66" i="19"/>
  <c r="L60" i="19"/>
  <c r="R60" i="19" s="1"/>
  <c r="X60" i="19" s="1"/>
  <c r="J52" i="19"/>
  <c r="L46" i="19"/>
  <c r="R46" i="19" s="1"/>
  <c r="X46" i="19" s="1"/>
  <c r="L101" i="19"/>
  <c r="R101" i="19" s="1"/>
  <c r="X101" i="19" s="1"/>
  <c r="J93" i="19"/>
  <c r="L87" i="19"/>
  <c r="R87" i="19" s="1"/>
  <c r="X87" i="19" s="1"/>
  <c r="J79" i="19"/>
  <c r="L73" i="19"/>
  <c r="R73" i="19" s="1"/>
  <c r="X73" i="19" s="1"/>
  <c r="J65" i="19"/>
  <c r="L59" i="19"/>
  <c r="R59" i="19" s="1"/>
  <c r="X59" i="19" s="1"/>
  <c r="J51" i="19"/>
  <c r="L45" i="19"/>
  <c r="R45" i="19" s="1"/>
  <c r="X45" i="19" s="1"/>
  <c r="K101" i="19"/>
  <c r="Q101" i="19" s="1"/>
  <c r="W101" i="19" s="1"/>
  <c r="M95" i="19"/>
  <c r="I93" i="19"/>
  <c r="N93" i="19" s="1"/>
  <c r="T93" i="19" s="1"/>
  <c r="K87" i="19"/>
  <c r="Q87" i="19" s="1"/>
  <c r="W87" i="19" s="1"/>
  <c r="M81" i="19"/>
  <c r="I79" i="19"/>
  <c r="N79" i="19" s="1"/>
  <c r="T79" i="19" s="1"/>
  <c r="K73" i="19"/>
  <c r="Q73" i="19" s="1"/>
  <c r="W73" i="19" s="1"/>
  <c r="M67" i="19"/>
  <c r="I65" i="19"/>
  <c r="N65" i="19" s="1"/>
  <c r="T65" i="19" s="1"/>
  <c r="K59" i="19"/>
  <c r="Q59" i="19" s="1"/>
  <c r="W59" i="19" s="1"/>
  <c r="M53" i="19"/>
  <c r="I51" i="19"/>
  <c r="N51" i="19" s="1"/>
  <c r="T51" i="19" s="1"/>
  <c r="K45" i="19"/>
  <c r="Q45" i="19" s="1"/>
  <c r="W45" i="19" s="1"/>
  <c r="J101" i="19"/>
  <c r="L95" i="19"/>
  <c r="R95" i="19" s="1"/>
  <c r="X95" i="19" s="1"/>
  <c r="M92" i="19"/>
  <c r="J87" i="19"/>
  <c r="L81" i="19"/>
  <c r="R81" i="19" s="1"/>
  <c r="X81" i="19" s="1"/>
  <c r="M78" i="19"/>
  <c r="J73" i="19"/>
  <c r="L67" i="19"/>
  <c r="R67" i="19" s="1"/>
  <c r="X67" i="19" s="1"/>
  <c r="M64" i="19"/>
  <c r="J59" i="19"/>
  <c r="L53" i="19"/>
  <c r="R53" i="19" s="1"/>
  <c r="X53" i="19" s="1"/>
  <c r="J45" i="19"/>
  <c r="I101" i="19"/>
  <c r="N101" i="19" s="1"/>
  <c r="T101" i="19" s="1"/>
  <c r="K95" i="19"/>
  <c r="Q95" i="19" s="1"/>
  <c r="W95" i="19" s="1"/>
  <c r="I87" i="19"/>
  <c r="N87" i="19" s="1"/>
  <c r="T87" i="19" s="1"/>
  <c r="K81" i="19"/>
  <c r="Q81" i="19" s="1"/>
  <c r="W81" i="19" s="1"/>
  <c r="L78" i="19"/>
  <c r="R78" i="19" s="1"/>
  <c r="X78" i="19" s="1"/>
  <c r="I73" i="19"/>
  <c r="N73" i="19" s="1"/>
  <c r="T73" i="19" s="1"/>
  <c r="K67" i="19"/>
  <c r="Q67" i="19" s="1"/>
  <c r="W67" i="19" s="1"/>
  <c r="I59" i="19"/>
  <c r="N59" i="19" s="1"/>
  <c r="T59" i="19" s="1"/>
  <c r="K53" i="19"/>
  <c r="Q53" i="19" s="1"/>
  <c r="W53" i="19" s="1"/>
  <c r="L50" i="19"/>
  <c r="R50" i="19" s="1"/>
  <c r="X50" i="19" s="1"/>
  <c r="C35" i="19"/>
  <c r="J35" i="19"/>
  <c r="E35" i="19"/>
  <c r="F35" i="19"/>
  <c r="L35" i="19"/>
  <c r="R35" i="19" s="1"/>
  <c r="X35" i="19" s="1"/>
  <c r="K35" i="19"/>
  <c r="Q35" i="19" s="1"/>
  <c r="W35" i="19" s="1"/>
  <c r="I35" i="19"/>
  <c r="N35" i="19" s="1"/>
  <c r="T35" i="19" s="1"/>
  <c r="G35" i="19"/>
  <c r="L40" i="19"/>
  <c r="R40" i="19" s="1"/>
  <c r="X40" i="19" s="1"/>
  <c r="H35" i="19"/>
  <c r="K40" i="19"/>
  <c r="Q40" i="19" s="1"/>
  <c r="W40" i="19" s="1"/>
  <c r="I36" i="19"/>
  <c r="N36" i="19" s="1"/>
  <c r="T36" i="19" s="1"/>
  <c r="M35" i="19"/>
  <c r="E10" i="19"/>
  <c r="H24" i="19"/>
  <c r="D10" i="19"/>
  <c r="F10" i="19"/>
  <c r="G10" i="19"/>
  <c r="F16" i="19"/>
  <c r="M38" i="19"/>
  <c r="G16" i="19"/>
  <c r="E40" i="19"/>
  <c r="L38" i="19"/>
  <c r="R38" i="19" s="1"/>
  <c r="X38" i="19" s="1"/>
  <c r="G40" i="19"/>
  <c r="J38" i="19"/>
  <c r="H40" i="19"/>
  <c r="I38" i="19"/>
  <c r="N38" i="19" s="1"/>
  <c r="T38" i="19" s="1"/>
  <c r="M37" i="19"/>
  <c r="L41" i="19"/>
  <c r="R41" i="19" s="1"/>
  <c r="X41" i="19" s="1"/>
  <c r="L37" i="19"/>
  <c r="R37" i="19" s="1"/>
  <c r="X37" i="19" s="1"/>
  <c r="K41" i="19"/>
  <c r="Q41" i="19" s="1"/>
  <c r="W41" i="19" s="1"/>
  <c r="M36" i="19"/>
  <c r="J40" i="19"/>
  <c r="K37" i="19"/>
  <c r="Q37" i="19" s="1"/>
  <c r="W37" i="19" s="1"/>
  <c r="D27" i="19"/>
  <c r="J37" i="19"/>
  <c r="E27" i="19"/>
  <c r="E36" i="19"/>
  <c r="M39" i="19"/>
  <c r="H16" i="19"/>
  <c r="D18" i="19"/>
  <c r="C19" i="19"/>
  <c r="I28" i="19"/>
  <c r="N28" i="19" s="1"/>
  <c r="T28" i="19" s="1"/>
  <c r="D28" i="19"/>
  <c r="C41" i="19"/>
  <c r="N37" i="19"/>
  <c r="T37" i="19" s="1"/>
  <c r="F28" i="19"/>
  <c r="P28" i="19" s="1"/>
  <c r="V28" i="19" s="1"/>
  <c r="K39" i="19"/>
  <c r="Q39" i="19" s="1"/>
  <c r="W39" i="19" s="1"/>
  <c r="L36" i="19"/>
  <c r="R36" i="19" s="1"/>
  <c r="X36" i="19" s="1"/>
  <c r="H36" i="19"/>
  <c r="J39" i="19"/>
  <c r="K36" i="19"/>
  <c r="Q36" i="19" s="1"/>
  <c r="W36" i="19" s="1"/>
  <c r="M41" i="19"/>
  <c r="I39" i="19"/>
  <c r="N39" i="19" s="1"/>
  <c r="T39" i="19" s="1"/>
  <c r="E16" i="19"/>
  <c r="E17" i="19"/>
  <c r="C8" i="19"/>
  <c r="K28" i="19"/>
  <c r="Q28" i="19" s="1"/>
  <c r="W28" i="19" s="1"/>
  <c r="J22" i="19"/>
  <c r="F8" i="19"/>
  <c r="G8" i="19"/>
  <c r="L16" i="19"/>
  <c r="R16" i="19" s="1"/>
  <c r="X16" i="19" s="1"/>
  <c r="I25" i="19"/>
  <c r="N25" i="19" s="1"/>
  <c r="T25" i="19" s="1"/>
  <c r="H10" i="19"/>
  <c r="I24" i="19"/>
  <c r="N24" i="19" s="1"/>
  <c r="T24" i="19" s="1"/>
  <c r="M26" i="19"/>
  <c r="C11" i="19"/>
  <c r="M22" i="19"/>
  <c r="D11" i="19"/>
  <c r="K22" i="19"/>
  <c r="Q22" i="19" s="1"/>
  <c r="W22" i="19" s="1"/>
  <c r="C12" i="19"/>
  <c r="H20" i="19"/>
  <c r="J17" i="19"/>
  <c r="E8" i="19"/>
  <c r="F12" i="19"/>
  <c r="C24" i="19"/>
  <c r="M16" i="19"/>
  <c r="H26" i="19"/>
  <c r="G12" i="19"/>
  <c r="D24" i="19"/>
  <c r="H12" i="19"/>
  <c r="E24" i="19"/>
  <c r="M13" i="19"/>
  <c r="H8" i="19"/>
  <c r="C16" i="19"/>
  <c r="F24" i="19"/>
  <c r="M12" i="19"/>
  <c r="C10" i="19"/>
  <c r="D16" i="19"/>
  <c r="G24" i="19"/>
  <c r="L11" i="19"/>
  <c r="R11" i="19" s="1"/>
  <c r="X11" i="19" s="1"/>
  <c r="J11" i="19"/>
  <c r="T19" i="19"/>
  <c r="T27" i="19"/>
  <c r="D19" i="19"/>
  <c r="H32" i="19"/>
  <c r="I11" i="19"/>
  <c r="N11" i="19" s="1"/>
  <c r="T11" i="19" s="1"/>
  <c r="H11" i="19"/>
  <c r="D20" i="19"/>
  <c r="G26" i="19"/>
  <c r="L30" i="19"/>
  <c r="R30" i="19" s="1"/>
  <c r="X30" i="19" s="1"/>
  <c r="K18" i="19"/>
  <c r="Q18" i="19" s="1"/>
  <c r="W18" i="19" s="1"/>
  <c r="D12" i="19"/>
  <c r="G18" i="19"/>
  <c r="F27" i="19"/>
  <c r="L25" i="19"/>
  <c r="R25" i="19" s="1"/>
  <c r="X25" i="19" s="1"/>
  <c r="K14" i="19"/>
  <c r="Q14" i="19" s="1"/>
  <c r="W14" i="19" s="1"/>
  <c r="E12" i="19"/>
  <c r="H18" i="19"/>
  <c r="C28" i="19"/>
  <c r="J25" i="19"/>
  <c r="I14" i="19"/>
  <c r="N14" i="19" s="1"/>
  <c r="T14" i="19" s="1"/>
  <c r="E19" i="19"/>
  <c r="F19" i="19"/>
  <c r="F32" i="19"/>
  <c r="G19" i="19"/>
  <c r="C26" i="19"/>
  <c r="E11" i="19"/>
  <c r="H19" i="19"/>
  <c r="D26" i="19"/>
  <c r="G33" i="19"/>
  <c r="K32" i="19"/>
  <c r="Q32" i="19" s="1"/>
  <c r="W32" i="19" s="1"/>
  <c r="I20" i="19"/>
  <c r="N20" i="19" s="1"/>
  <c r="T20" i="19" s="1"/>
  <c r="M8" i="19"/>
  <c r="L33" i="19"/>
  <c r="R33" i="19" s="1"/>
  <c r="X33" i="19" s="1"/>
  <c r="K33" i="19"/>
  <c r="Q33" i="19" s="1"/>
  <c r="W33" i="19" s="1"/>
  <c r="F11" i="19"/>
  <c r="E26" i="19"/>
  <c r="D34" i="19"/>
  <c r="J31" i="19"/>
  <c r="L19" i="19"/>
  <c r="R19" i="19" s="1"/>
  <c r="X19" i="19" s="1"/>
  <c r="K8" i="19"/>
  <c r="Q8" i="19" s="1"/>
  <c r="W8" i="19" s="1"/>
  <c r="I34" i="19"/>
  <c r="N34" i="19" s="1"/>
  <c r="T34" i="19" s="1"/>
  <c r="G11" i="19"/>
  <c r="C20" i="19"/>
  <c r="F26" i="19"/>
  <c r="E34" i="19"/>
  <c r="M30" i="19"/>
  <c r="K19" i="19"/>
  <c r="Q19" i="19" s="1"/>
  <c r="W19" i="19" s="1"/>
  <c r="J8" i="19"/>
  <c r="M34" i="19"/>
  <c r="I32" i="19"/>
  <c r="N32" i="19" s="1"/>
  <c r="T32" i="19" s="1"/>
  <c r="J29" i="19"/>
  <c r="K26" i="19"/>
  <c r="Q26" i="19" s="1"/>
  <c r="W26" i="19" s="1"/>
  <c r="L23" i="19"/>
  <c r="R23" i="19" s="1"/>
  <c r="X23" i="19" s="1"/>
  <c r="M20" i="19"/>
  <c r="I18" i="19"/>
  <c r="N18" i="19" s="1"/>
  <c r="T18" i="19" s="1"/>
  <c r="J15" i="19"/>
  <c r="K12" i="19"/>
  <c r="Q12" i="19" s="1"/>
  <c r="W12" i="19" s="1"/>
  <c r="L9" i="19"/>
  <c r="R9" i="19" s="1"/>
  <c r="X9" i="19" s="1"/>
  <c r="F20" i="19"/>
  <c r="F25" i="19"/>
  <c r="G27" i="19"/>
  <c r="C32" i="19"/>
  <c r="G34" i="19"/>
  <c r="L34" i="19"/>
  <c r="R34" i="19" s="1"/>
  <c r="X34" i="19" s="1"/>
  <c r="M31" i="19"/>
  <c r="I29" i="19"/>
  <c r="N29" i="19" s="1"/>
  <c r="T29" i="19" s="1"/>
  <c r="J26" i="19"/>
  <c r="K23" i="19"/>
  <c r="Q23" i="19" s="1"/>
  <c r="W23" i="19" s="1"/>
  <c r="L20" i="19"/>
  <c r="R20" i="19" s="1"/>
  <c r="X20" i="19" s="1"/>
  <c r="M17" i="19"/>
  <c r="I15" i="19"/>
  <c r="N15" i="19" s="1"/>
  <c r="T15" i="19" s="1"/>
  <c r="J12" i="19"/>
  <c r="K9" i="19"/>
  <c r="Q9" i="19" s="1"/>
  <c r="W9" i="19" s="1"/>
  <c r="D9" i="19"/>
  <c r="L29" i="19"/>
  <c r="R29" i="19" s="1"/>
  <c r="X29" i="19" s="1"/>
  <c r="J21" i="19"/>
  <c r="L15" i="19"/>
  <c r="R15" i="19" s="1"/>
  <c r="X15" i="19" s="1"/>
  <c r="E20" i="19"/>
  <c r="F34" i="19"/>
  <c r="G20" i="19"/>
  <c r="H27" i="19"/>
  <c r="D32" i="19"/>
  <c r="H34" i="19"/>
  <c r="K34" i="19"/>
  <c r="Q34" i="19" s="1"/>
  <c r="W34" i="19" s="1"/>
  <c r="L31" i="19"/>
  <c r="R31" i="19" s="1"/>
  <c r="X31" i="19" s="1"/>
  <c r="M28" i="19"/>
  <c r="I26" i="19"/>
  <c r="N26" i="19" s="1"/>
  <c r="T26" i="19" s="1"/>
  <c r="J23" i="19"/>
  <c r="K20" i="19"/>
  <c r="Q20" i="19" s="1"/>
  <c r="W20" i="19" s="1"/>
  <c r="L17" i="19"/>
  <c r="R17" i="19" s="1"/>
  <c r="X17" i="19" s="1"/>
  <c r="M14" i="19"/>
  <c r="I12" i="19"/>
  <c r="N12" i="19" s="1"/>
  <c r="T12" i="19" s="1"/>
  <c r="J9" i="19"/>
  <c r="E32" i="19"/>
  <c r="J34" i="19"/>
  <c r="K31" i="19"/>
  <c r="Q31" i="19" s="1"/>
  <c r="W31" i="19" s="1"/>
  <c r="L28" i="19"/>
  <c r="R28" i="19" s="1"/>
  <c r="X28" i="19" s="1"/>
  <c r="M25" i="19"/>
  <c r="K17" i="19"/>
  <c r="Q17" i="19" s="1"/>
  <c r="W17" i="19" s="1"/>
  <c r="L14" i="19"/>
  <c r="R14" i="19" s="1"/>
  <c r="X14" i="19" s="1"/>
  <c r="M11" i="19"/>
  <c r="I9" i="19"/>
  <c r="N9" i="19" s="1"/>
  <c r="T9" i="19" s="1"/>
  <c r="G32" i="19"/>
  <c r="M33" i="19"/>
  <c r="J28" i="19"/>
  <c r="K25" i="19"/>
  <c r="Q25" i="19" s="1"/>
  <c r="W25" i="19" s="1"/>
  <c r="L22" i="19"/>
  <c r="R22" i="19" s="1"/>
  <c r="X22" i="19" s="1"/>
  <c r="M19" i="19"/>
  <c r="I17" i="19"/>
  <c r="N17" i="19" s="1"/>
  <c r="T17" i="19" s="1"/>
  <c r="L8" i="19"/>
  <c r="R8" i="19" s="1"/>
  <c r="X8" i="19" s="1"/>
  <c r="M27" i="19"/>
  <c r="C18" i="19"/>
  <c r="E28" i="19"/>
  <c r="S28" i="19" s="1"/>
  <c r="Y28" i="19" s="1"/>
  <c r="J33" i="19"/>
  <c r="K30" i="19"/>
  <c r="Q30" i="19" s="1"/>
  <c r="W30" i="19" s="1"/>
  <c r="L27" i="19"/>
  <c r="R27" i="19" s="1"/>
  <c r="X27" i="19" s="1"/>
  <c r="M24" i="19"/>
  <c r="J19" i="19"/>
  <c r="K16" i="19"/>
  <c r="Q16" i="19" s="1"/>
  <c r="W16" i="19" s="1"/>
  <c r="L13" i="19"/>
  <c r="R13" i="19" s="1"/>
  <c r="X13" i="19" s="1"/>
  <c r="M10" i="19"/>
  <c r="I33" i="19"/>
  <c r="N33" i="19" s="1"/>
  <c r="T33" i="19" s="1"/>
  <c r="J30" i="19"/>
  <c r="K27" i="19"/>
  <c r="Q27" i="19" s="1"/>
  <c r="W27" i="19" s="1"/>
  <c r="L24" i="19"/>
  <c r="R24" i="19" s="1"/>
  <c r="X24" i="19" s="1"/>
  <c r="M21" i="19"/>
  <c r="J16" i="19"/>
  <c r="K13" i="19"/>
  <c r="Q13" i="19" s="1"/>
  <c r="W13" i="19" s="1"/>
  <c r="L10" i="19"/>
  <c r="R10" i="19" s="1"/>
  <c r="X10" i="19" s="1"/>
  <c r="M7" i="19"/>
  <c r="M32" i="19"/>
  <c r="J27" i="19"/>
  <c r="K24" i="19"/>
  <c r="Q24" i="19" s="1"/>
  <c r="W24" i="19" s="1"/>
  <c r="L21" i="19"/>
  <c r="R21" i="19" s="1"/>
  <c r="X21" i="19" s="1"/>
  <c r="M18" i="19"/>
  <c r="J13" i="19"/>
  <c r="K10" i="19"/>
  <c r="Q10" i="19" s="1"/>
  <c r="W10" i="19" s="1"/>
  <c r="L7" i="19"/>
  <c r="R7" i="19" s="1"/>
  <c r="X7" i="19" s="1"/>
  <c r="E18" i="19"/>
  <c r="G28" i="19"/>
  <c r="F18" i="19"/>
  <c r="C27" i="19"/>
  <c r="L32" i="19"/>
  <c r="R32" i="19" s="1"/>
  <c r="X32" i="19" s="1"/>
  <c r="M29" i="19"/>
  <c r="K21" i="19"/>
  <c r="Q21" i="19" s="1"/>
  <c r="W21" i="19" s="1"/>
  <c r="L18" i="19"/>
  <c r="R18" i="19" s="1"/>
  <c r="X18" i="19" s="1"/>
  <c r="M15" i="19"/>
  <c r="I13" i="19"/>
  <c r="N13" i="19" s="1"/>
  <c r="T13" i="19" s="1"/>
  <c r="J10" i="19"/>
  <c r="K7" i="19"/>
  <c r="Q7" i="19" s="1"/>
  <c r="W7" i="19" s="1"/>
  <c r="J7" i="19"/>
  <c r="K29" i="19"/>
  <c r="Q29" i="19" s="1"/>
  <c r="W29" i="19" s="1"/>
  <c r="M23" i="19"/>
  <c r="I21" i="19"/>
  <c r="N21" i="19" s="1"/>
  <c r="T21" i="19" s="1"/>
  <c r="C4" i="19"/>
  <c r="D4" i="19"/>
  <c r="I5" i="19"/>
  <c r="N5" i="19" s="1"/>
  <c r="T5" i="19" s="1"/>
  <c r="M4" i="19"/>
  <c r="F4" i="19"/>
  <c r="P4" i="19" s="1"/>
  <c r="V4" i="19" s="1"/>
  <c r="G4" i="19"/>
  <c r="L4" i="19"/>
  <c r="R4" i="19" s="1"/>
  <c r="X4" i="19" s="1"/>
  <c r="I4" i="19"/>
  <c r="N4" i="19" s="1"/>
  <c r="T4" i="19" s="1"/>
  <c r="L5" i="19"/>
  <c r="R5" i="19" s="1"/>
  <c r="X5" i="19" s="1"/>
  <c r="K5" i="19"/>
  <c r="Q5" i="19" s="1"/>
  <c r="W5" i="19" s="1"/>
  <c r="J5" i="19"/>
  <c r="K4" i="19"/>
  <c r="Q4" i="19" s="1"/>
  <c r="W4" i="19" s="1"/>
  <c r="E4" i="19"/>
  <c r="S4" i="19" s="1"/>
  <c r="Y4" i="19" s="1"/>
  <c r="J4" i="19"/>
  <c r="M6" i="19"/>
  <c r="K3" i="19"/>
  <c r="Q3" i="19" s="1"/>
  <c r="W3" i="19" s="1"/>
  <c r="K6" i="19"/>
  <c r="Q6" i="19" s="1"/>
  <c r="W6" i="19" s="1"/>
  <c r="J3" i="19"/>
  <c r="M3" i="19"/>
  <c r="L3" i="19"/>
  <c r="R3" i="19" s="1"/>
  <c r="X3" i="19" s="1"/>
  <c r="M5" i="19"/>
  <c r="I3" i="19"/>
  <c r="N3" i="19" s="1"/>
  <c r="T3" i="19" s="1"/>
  <c r="N86" i="19"/>
  <c r="T86" i="19" s="1"/>
  <c r="I6" i="19"/>
  <c r="N6" i="19" s="1"/>
  <c r="T6" i="19" s="1"/>
  <c r="L6" i="19"/>
  <c r="R6" i="19" s="1"/>
  <c r="X6" i="19" s="1"/>
  <c r="E50" i="19"/>
  <c r="E42" i="19"/>
  <c r="D50" i="19"/>
  <c r="D42" i="19"/>
  <c r="H67" i="19"/>
  <c r="P67" i="19" s="1"/>
  <c r="V67" i="19" s="1"/>
  <c r="G83" i="19"/>
  <c r="G75" i="19"/>
  <c r="E67" i="19"/>
  <c r="H65" i="19"/>
  <c r="C57" i="19"/>
  <c r="E59" i="19"/>
  <c r="G17" i="19"/>
  <c r="H25" i="19"/>
  <c r="G9" i="19"/>
  <c r="H17" i="19"/>
  <c r="H9" i="19"/>
  <c r="C33" i="19"/>
  <c r="F9" i="19"/>
  <c r="C25" i="19"/>
  <c r="D33" i="19"/>
  <c r="C17" i="19"/>
  <c r="D25" i="19"/>
  <c r="E33" i="19"/>
  <c r="S33" i="19" s="1"/>
  <c r="Y33" i="19" s="1"/>
  <c r="F49" i="19"/>
  <c r="C9" i="19"/>
  <c r="D17" i="19"/>
  <c r="E25" i="19"/>
  <c r="F33" i="19"/>
  <c r="P33" i="19" s="1"/>
  <c r="V33" i="19" s="1"/>
  <c r="E49" i="19"/>
  <c r="E9" i="19"/>
  <c r="C65" i="19"/>
  <c r="F51" i="19"/>
  <c r="C49" i="19"/>
  <c r="E89" i="19"/>
  <c r="G88" i="19"/>
  <c r="H81" i="19"/>
  <c r="F72" i="19"/>
  <c r="P72" i="19" s="1"/>
  <c r="V72" i="19" s="1"/>
  <c r="G67" i="19"/>
  <c r="H59" i="19"/>
  <c r="F57" i="19"/>
  <c r="P57" i="19" s="1"/>
  <c r="V57" i="19" s="1"/>
  <c r="D48" i="19"/>
  <c r="T66" i="19"/>
  <c r="H87" i="19"/>
  <c r="D71" i="19"/>
  <c r="F88" i="19"/>
  <c r="E64" i="19"/>
  <c r="H73" i="19"/>
  <c r="G72" i="19"/>
  <c r="G64" i="19"/>
  <c r="H49" i="19"/>
  <c r="G49" i="19"/>
  <c r="H54" i="19"/>
  <c r="D6" i="19"/>
  <c r="F73" i="19"/>
  <c r="F68" i="19"/>
  <c r="G65" i="19"/>
  <c r="H60" i="19"/>
  <c r="E57" i="19"/>
  <c r="S57" i="19" s="1"/>
  <c r="Y57" i="19" s="1"/>
  <c r="E52" i="19"/>
  <c r="R48" i="19"/>
  <c r="X48" i="19" s="1"/>
  <c r="H41" i="19"/>
  <c r="C22" i="19"/>
  <c r="R76" i="19"/>
  <c r="X76" i="19" s="1"/>
  <c r="H64" i="19"/>
  <c r="G60" i="19"/>
  <c r="D57" i="19"/>
  <c r="G41" i="19"/>
  <c r="D22" i="19"/>
  <c r="C38" i="19"/>
  <c r="H13" i="19"/>
  <c r="P13" i="19" s="1"/>
  <c r="V13" i="19" s="1"/>
  <c r="Q38" i="19"/>
  <c r="W38" i="19" s="1"/>
  <c r="G86" i="19"/>
  <c r="E70" i="19"/>
  <c r="D38" i="19"/>
  <c r="H86" i="19"/>
  <c r="C14" i="19"/>
  <c r="C30" i="19"/>
  <c r="E79" i="19"/>
  <c r="D14" i="19"/>
  <c r="D30" i="19"/>
  <c r="G95" i="19"/>
  <c r="R62" i="19"/>
  <c r="X62" i="19" s="1"/>
  <c r="G54" i="19"/>
  <c r="F78" i="19"/>
  <c r="E62" i="19"/>
  <c r="F70" i="19"/>
  <c r="H5" i="19"/>
  <c r="P5" i="19" s="1"/>
  <c r="V5" i="19" s="1"/>
  <c r="C6" i="19"/>
  <c r="C37" i="19"/>
  <c r="E78" i="19"/>
  <c r="D62" i="19"/>
  <c r="E46" i="19"/>
  <c r="F95" i="19"/>
  <c r="G87" i="19"/>
  <c r="D79" i="19"/>
  <c r="C71" i="19"/>
  <c r="N63" i="19"/>
  <c r="T63" i="19" s="1"/>
  <c r="C55" i="19"/>
  <c r="N23" i="19"/>
  <c r="T23" i="19" s="1"/>
  <c r="E95" i="19"/>
  <c r="F87" i="19"/>
  <c r="C79" i="19"/>
  <c r="H63" i="19"/>
  <c r="D95" i="19"/>
  <c r="E87" i="19"/>
  <c r="G63" i="19"/>
  <c r="Q47" i="19"/>
  <c r="W47" i="19" s="1"/>
  <c r="T98" i="19"/>
  <c r="C95" i="19"/>
  <c r="D87" i="19"/>
  <c r="H71" i="19"/>
  <c r="F63" i="19"/>
  <c r="H55" i="19"/>
  <c r="C47" i="19"/>
  <c r="G39" i="19"/>
  <c r="C87" i="19"/>
  <c r="H79" i="19"/>
  <c r="G71" i="19"/>
  <c r="E63" i="19"/>
  <c r="C56" i="19"/>
  <c r="G55" i="19"/>
  <c r="E41" i="19"/>
  <c r="N95" i="19"/>
  <c r="T95" i="19" s="1"/>
  <c r="G79" i="19"/>
  <c r="F71" i="19"/>
  <c r="D63" i="19"/>
  <c r="F55" i="19"/>
  <c r="C7" i="19"/>
  <c r="H31" i="19"/>
  <c r="G5" i="19"/>
  <c r="G13" i="19"/>
  <c r="H21" i="19"/>
  <c r="X96" i="19"/>
  <c r="T16" i="19"/>
  <c r="C29" i="19"/>
  <c r="D37" i="19"/>
  <c r="T8" i="19"/>
  <c r="C21" i="19"/>
  <c r="D29" i="19"/>
  <c r="E37" i="19"/>
  <c r="F37" i="19"/>
  <c r="F60" i="19"/>
  <c r="D21" i="19"/>
  <c r="E29" i="19"/>
  <c r="S29" i="19" s="1"/>
  <c r="Y29" i="19" s="1"/>
  <c r="D5" i="19"/>
  <c r="D13" i="19"/>
  <c r="E21" i="19"/>
  <c r="F29" i="19"/>
  <c r="P29" i="19" s="1"/>
  <c r="V29" i="19" s="1"/>
  <c r="G37" i="19"/>
  <c r="E60" i="19"/>
  <c r="F44" i="19"/>
  <c r="C5" i="19"/>
  <c r="C13" i="19"/>
  <c r="E5" i="19"/>
  <c r="E13" i="19"/>
  <c r="F21" i="19"/>
  <c r="G29" i="19"/>
  <c r="H37" i="19"/>
  <c r="D60" i="19"/>
  <c r="H52" i="19"/>
  <c r="G52" i="19"/>
  <c r="E15" i="19"/>
  <c r="D23" i="19"/>
  <c r="C31" i="19"/>
  <c r="H47" i="19"/>
  <c r="G7" i="19"/>
  <c r="F15" i="19"/>
  <c r="E23" i="19"/>
  <c r="X26" i="19"/>
  <c r="D31" i="19"/>
  <c r="C39" i="19"/>
  <c r="D52" i="19"/>
  <c r="G47" i="19"/>
  <c r="E44" i="19"/>
  <c r="H7" i="19"/>
  <c r="G15" i="19"/>
  <c r="F23" i="19"/>
  <c r="E31" i="19"/>
  <c r="D39" i="19"/>
  <c r="R39" i="19"/>
  <c r="X39" i="19" s="1"/>
  <c r="C52" i="19"/>
  <c r="F47" i="19"/>
  <c r="D44" i="19"/>
  <c r="N7" i="19"/>
  <c r="T7" i="19" s="1"/>
  <c r="H15" i="19"/>
  <c r="G23" i="19"/>
  <c r="F31" i="19"/>
  <c r="E39" i="19"/>
  <c r="E47" i="19"/>
  <c r="C44" i="19"/>
  <c r="F7" i="19"/>
  <c r="T10" i="19"/>
  <c r="H23" i="19"/>
  <c r="G31" i="19"/>
  <c r="F39" i="19"/>
  <c r="D47" i="19"/>
  <c r="D7" i="19"/>
  <c r="C15" i="19"/>
  <c r="Q15" i="19"/>
  <c r="W15" i="19" s="1"/>
  <c r="N31" i="19"/>
  <c r="T31" i="19" s="1"/>
  <c r="H39" i="19"/>
  <c r="H44" i="19"/>
  <c r="B429" i="19"/>
  <c r="E7" i="19"/>
  <c r="D15" i="19"/>
  <c r="C23" i="19"/>
  <c r="F46" i="19"/>
  <c r="E38" i="19"/>
  <c r="H94" i="19"/>
  <c r="F86" i="19"/>
  <c r="T81" i="19"/>
  <c r="D78" i="19"/>
  <c r="D70" i="19"/>
  <c r="C62" i="19"/>
  <c r="F54" i="19"/>
  <c r="D46" i="19"/>
  <c r="F6" i="19"/>
  <c r="F14" i="19"/>
  <c r="F22" i="19"/>
  <c r="F30" i="19"/>
  <c r="F38" i="19"/>
  <c r="G94" i="19"/>
  <c r="E86" i="19"/>
  <c r="C78" i="19"/>
  <c r="C70" i="19"/>
  <c r="E54" i="19"/>
  <c r="C46" i="19"/>
  <c r="F41" i="19"/>
  <c r="E6" i="19"/>
  <c r="E22" i="19"/>
  <c r="C3" i="19"/>
  <c r="G6" i="19"/>
  <c r="G14" i="19"/>
  <c r="G22" i="19"/>
  <c r="G30" i="19"/>
  <c r="G38" i="19"/>
  <c r="F94" i="19"/>
  <c r="D86" i="19"/>
  <c r="D54" i="19"/>
  <c r="H6" i="19"/>
  <c r="H30" i="19"/>
  <c r="E94" i="19"/>
  <c r="C86" i="19"/>
  <c r="H62" i="19"/>
  <c r="C54" i="19"/>
  <c r="E14" i="19"/>
  <c r="E30" i="19"/>
  <c r="H22" i="19"/>
  <c r="H38" i="19"/>
  <c r="G3" i="19"/>
  <c r="N22" i="19"/>
  <c r="T22" i="19" s="1"/>
  <c r="N30" i="19"/>
  <c r="T30" i="19" s="1"/>
  <c r="D94" i="19"/>
  <c r="H78" i="19"/>
  <c r="H70" i="19"/>
  <c r="G62" i="19"/>
  <c r="H46" i="19"/>
  <c r="D3" i="19"/>
  <c r="H14" i="19"/>
  <c r="W11" i="19"/>
  <c r="T99" i="19"/>
  <c r="X83" i="19"/>
  <c r="D101" i="19"/>
  <c r="E101" i="19"/>
  <c r="F101" i="19"/>
  <c r="G101" i="19"/>
  <c r="H101" i="19"/>
  <c r="E93" i="19"/>
  <c r="G93" i="19"/>
  <c r="H93" i="19"/>
  <c r="C93" i="19"/>
  <c r="D93" i="19"/>
  <c r="D85" i="19"/>
  <c r="F85" i="19"/>
  <c r="G85" i="19"/>
  <c r="H85" i="19"/>
  <c r="C85" i="19"/>
  <c r="Q85" i="19"/>
  <c r="W85" i="19" s="1"/>
  <c r="D77" i="19"/>
  <c r="E77" i="19"/>
  <c r="F77" i="19"/>
  <c r="G77" i="19"/>
  <c r="H77" i="19"/>
  <c r="N77" i="19"/>
  <c r="T77" i="19" s="1"/>
  <c r="D69" i="19"/>
  <c r="E69" i="19"/>
  <c r="F69" i="19"/>
  <c r="G69" i="19"/>
  <c r="H69" i="19"/>
  <c r="F61" i="19"/>
  <c r="H61" i="19"/>
  <c r="C61" i="19"/>
  <c r="D61" i="19"/>
  <c r="E61" i="19"/>
  <c r="D53" i="19"/>
  <c r="F53" i="19"/>
  <c r="G53" i="19"/>
  <c r="H53" i="19"/>
  <c r="S53" i="19" s="1"/>
  <c r="Y53" i="19" s="1"/>
  <c r="C53" i="19"/>
  <c r="N45" i="19"/>
  <c r="T45" i="19" s="1"/>
  <c r="C45" i="19"/>
  <c r="D45" i="19"/>
  <c r="E45" i="19"/>
  <c r="F45" i="19"/>
  <c r="G45" i="19"/>
  <c r="H45" i="19"/>
  <c r="G59" i="19"/>
  <c r="E56" i="19"/>
  <c r="E51" i="19"/>
  <c r="C48" i="19"/>
  <c r="F59" i="19"/>
  <c r="D56" i="19"/>
  <c r="D51" i="19"/>
  <c r="N43" i="19"/>
  <c r="T43" i="19" s="1"/>
  <c r="S92" i="19"/>
  <c r="Y92" i="19" s="1"/>
  <c r="D59" i="19"/>
  <c r="H48" i="19"/>
  <c r="G43" i="19"/>
  <c r="C59" i="19"/>
  <c r="N56" i="19"/>
  <c r="T56" i="19" s="1"/>
  <c r="G48" i="19"/>
  <c r="F43" i="19"/>
  <c r="E3" i="19"/>
  <c r="S3" i="19" s="1"/>
  <c r="Y3" i="19" s="1"/>
  <c r="F3" i="19"/>
  <c r="P3" i="19" s="1"/>
  <c r="V3" i="19" s="1"/>
  <c r="D5" i="8"/>
  <c r="C5" i="8"/>
  <c r="F27" i="8"/>
  <c r="F28" i="8"/>
  <c r="C29" i="8"/>
  <c r="E4" i="8" s="1"/>
  <c r="C28" i="8"/>
  <c r="D4" i="8" s="1"/>
  <c r="C27" i="8"/>
  <c r="C4" i="8" s="1"/>
  <c r="AR5" i="8"/>
  <c r="AQ5" i="8"/>
  <c r="AO5" i="8"/>
  <c r="AP5" i="8" s="1"/>
  <c r="AK5" i="8"/>
  <c r="AR4" i="8"/>
  <c r="AQ4" i="8"/>
  <c r="AO4" i="8"/>
  <c r="AP4" i="8" s="1"/>
  <c r="AK4" i="8"/>
  <c r="BH3" i="8"/>
  <c r="S292" i="19" l="1"/>
  <c r="Y292" i="19" s="1"/>
  <c r="P395" i="19"/>
  <c r="V395" i="19" s="1"/>
  <c r="O216" i="19"/>
  <c r="U216" i="19" s="1"/>
  <c r="S146" i="19"/>
  <c r="Y146" i="19" s="1"/>
  <c r="O309" i="19"/>
  <c r="U309" i="19" s="1"/>
  <c r="P212" i="19"/>
  <c r="V212" i="19" s="1"/>
  <c r="P364" i="19"/>
  <c r="V364" i="19" s="1"/>
  <c r="P123" i="19"/>
  <c r="V123" i="19" s="1"/>
  <c r="P134" i="19"/>
  <c r="V134" i="19" s="1"/>
  <c r="S190" i="19"/>
  <c r="Y190" i="19" s="1"/>
  <c r="S242" i="19"/>
  <c r="Y242" i="19" s="1"/>
  <c r="P417" i="19"/>
  <c r="V417" i="19" s="1"/>
  <c r="S417" i="19"/>
  <c r="Y417" i="19" s="1"/>
  <c r="S364" i="19"/>
  <c r="Y364" i="19" s="1"/>
  <c r="P421" i="19"/>
  <c r="V421" i="19" s="1"/>
  <c r="P188" i="19"/>
  <c r="V188" i="19" s="1"/>
  <c r="P390" i="19"/>
  <c r="V390" i="19" s="1"/>
  <c r="O292" i="19"/>
  <c r="U292" i="19" s="1"/>
  <c r="O214" i="19"/>
  <c r="U214" i="19" s="1"/>
  <c r="S188" i="19"/>
  <c r="Y188" i="19" s="1"/>
  <c r="S331" i="19"/>
  <c r="Y331" i="19" s="1"/>
  <c r="O221" i="19"/>
  <c r="U221" i="19" s="1"/>
  <c r="O331" i="19"/>
  <c r="U331" i="19" s="1"/>
  <c r="O273" i="19"/>
  <c r="U273" i="19" s="1"/>
  <c r="O190" i="19"/>
  <c r="U190" i="19" s="1"/>
  <c r="O146" i="19"/>
  <c r="U146" i="19" s="1"/>
  <c r="P408" i="19"/>
  <c r="V408" i="19" s="1"/>
  <c r="P216" i="19"/>
  <c r="V216" i="19" s="1"/>
  <c r="O280" i="19"/>
  <c r="U280" i="19" s="1"/>
  <c r="S133" i="19"/>
  <c r="Y133" i="19" s="1"/>
  <c r="P280" i="19"/>
  <c r="V280" i="19" s="1"/>
  <c r="S208" i="19"/>
  <c r="Y208" i="19" s="1"/>
  <c r="O321" i="19"/>
  <c r="U321" i="19" s="1"/>
  <c r="S395" i="19"/>
  <c r="Y395" i="19" s="1"/>
  <c r="P386" i="19"/>
  <c r="V386" i="19" s="1"/>
  <c r="S280" i="19"/>
  <c r="Y280" i="19" s="1"/>
  <c r="O262" i="19"/>
  <c r="U262" i="19" s="1"/>
  <c r="O123" i="19"/>
  <c r="U123" i="19" s="1"/>
  <c r="O113" i="19"/>
  <c r="U113" i="19" s="1"/>
  <c r="O286" i="19"/>
  <c r="U286" i="19" s="1"/>
  <c r="O327" i="19"/>
  <c r="U327" i="19" s="1"/>
  <c r="P234" i="19"/>
  <c r="V234" i="19" s="1"/>
  <c r="O150" i="19"/>
  <c r="U150" i="19" s="1"/>
  <c r="P109" i="19"/>
  <c r="V109" i="19" s="1"/>
  <c r="S179" i="19"/>
  <c r="Y179" i="19" s="1"/>
  <c r="S193" i="19"/>
  <c r="Y193" i="19" s="1"/>
  <c r="P339" i="19"/>
  <c r="V339" i="19" s="1"/>
  <c r="S249" i="19"/>
  <c r="Y249" i="19" s="1"/>
  <c r="P184" i="19"/>
  <c r="V184" i="19" s="1"/>
  <c r="S106" i="19"/>
  <c r="Y106" i="19" s="1"/>
  <c r="S164" i="19"/>
  <c r="Y164" i="19" s="1"/>
  <c r="P111" i="19"/>
  <c r="V111" i="19" s="1"/>
  <c r="S204" i="19"/>
  <c r="Y204" i="19" s="1"/>
  <c r="S130" i="19"/>
  <c r="Y130" i="19" s="1"/>
  <c r="P268" i="19"/>
  <c r="V268" i="19" s="1"/>
  <c r="S373" i="19"/>
  <c r="Y373" i="19" s="1"/>
  <c r="P363" i="19"/>
  <c r="V363" i="19" s="1"/>
  <c r="S428" i="19"/>
  <c r="Y428" i="19" s="1"/>
  <c r="O227" i="19"/>
  <c r="U227" i="19" s="1"/>
  <c r="O364" i="19"/>
  <c r="U364" i="19" s="1"/>
  <c r="O167" i="19"/>
  <c r="U167" i="19" s="1"/>
  <c r="O376" i="19"/>
  <c r="U376" i="19" s="1"/>
  <c r="P148" i="19"/>
  <c r="V148" i="19" s="1"/>
  <c r="S255" i="19"/>
  <c r="Y255" i="19" s="1"/>
  <c r="S371" i="19"/>
  <c r="Y371" i="19" s="1"/>
  <c r="S232" i="19"/>
  <c r="Y232" i="19" s="1"/>
  <c r="S201" i="19"/>
  <c r="Y201" i="19" s="1"/>
  <c r="S237" i="19"/>
  <c r="Y237" i="19" s="1"/>
  <c r="O151" i="19"/>
  <c r="U151" i="19" s="1"/>
  <c r="P108" i="19"/>
  <c r="V108" i="19" s="1"/>
  <c r="O143" i="19"/>
  <c r="U143" i="19" s="1"/>
  <c r="S244" i="19"/>
  <c r="Y244" i="19" s="1"/>
  <c r="P290" i="19"/>
  <c r="V290" i="19" s="1"/>
  <c r="S184" i="19"/>
  <c r="Y184" i="19" s="1"/>
  <c r="S144" i="19"/>
  <c r="Y144" i="19" s="1"/>
  <c r="S165" i="19"/>
  <c r="Y165" i="19" s="1"/>
  <c r="S196" i="19"/>
  <c r="Y196" i="19" s="1"/>
  <c r="O360" i="19"/>
  <c r="U360" i="19" s="1"/>
  <c r="S326" i="19"/>
  <c r="Y326" i="19" s="1"/>
  <c r="P319" i="19"/>
  <c r="V319" i="19" s="1"/>
  <c r="S311" i="19"/>
  <c r="Y311" i="19" s="1"/>
  <c r="P190" i="19"/>
  <c r="V190" i="19" s="1"/>
  <c r="S243" i="19"/>
  <c r="Y243" i="19" s="1"/>
  <c r="S136" i="19"/>
  <c r="Y136" i="19" s="1"/>
  <c r="S233" i="19"/>
  <c r="Y233" i="19" s="1"/>
  <c r="S131" i="19"/>
  <c r="Y131" i="19" s="1"/>
  <c r="O136" i="19"/>
  <c r="U136" i="19" s="1"/>
  <c r="O303" i="19"/>
  <c r="U303" i="19" s="1"/>
  <c r="P382" i="19"/>
  <c r="V382" i="19" s="1"/>
  <c r="S319" i="19"/>
  <c r="Y319" i="19" s="1"/>
  <c r="S361" i="19"/>
  <c r="Y361" i="19" s="1"/>
  <c r="P338" i="19"/>
  <c r="V338" i="19" s="1"/>
  <c r="P370" i="19"/>
  <c r="V370" i="19" s="1"/>
  <c r="P425" i="19"/>
  <c r="V425" i="19" s="1"/>
  <c r="S176" i="19"/>
  <c r="Y176" i="19" s="1"/>
  <c r="O260" i="19"/>
  <c r="U260" i="19" s="1"/>
  <c r="P366" i="19"/>
  <c r="V366" i="19" s="1"/>
  <c r="O170" i="19"/>
  <c r="U170" i="19" s="1"/>
  <c r="P246" i="19"/>
  <c r="V246" i="19" s="1"/>
  <c r="O390" i="19"/>
  <c r="U390" i="19" s="1"/>
  <c r="O137" i="19"/>
  <c r="U137" i="19" s="1"/>
  <c r="S121" i="19"/>
  <c r="Y121" i="19" s="1"/>
  <c r="O184" i="19"/>
  <c r="U184" i="19" s="1"/>
  <c r="S104" i="19"/>
  <c r="Y104" i="19" s="1"/>
  <c r="O149" i="19"/>
  <c r="U149" i="19" s="1"/>
  <c r="S178" i="19"/>
  <c r="Y178" i="19" s="1"/>
  <c r="S300" i="19"/>
  <c r="Y300" i="19" s="1"/>
  <c r="S275" i="19"/>
  <c r="Y275" i="19" s="1"/>
  <c r="P292" i="19"/>
  <c r="V292" i="19" s="1"/>
  <c r="O313" i="19"/>
  <c r="U313" i="19" s="1"/>
  <c r="P277" i="19"/>
  <c r="V277" i="19" s="1"/>
  <c r="O147" i="19"/>
  <c r="U147" i="19" s="1"/>
  <c r="P168" i="19"/>
  <c r="V168" i="19" s="1"/>
  <c r="P297" i="19"/>
  <c r="V297" i="19" s="1"/>
  <c r="S288" i="19"/>
  <c r="Y288" i="19" s="1"/>
  <c r="S189" i="19"/>
  <c r="Y189" i="19" s="1"/>
  <c r="P326" i="19"/>
  <c r="V326" i="19" s="1"/>
  <c r="P288" i="19"/>
  <c r="V288" i="19" s="1"/>
  <c r="S424" i="19"/>
  <c r="Y424" i="19" s="1"/>
  <c r="S180" i="19"/>
  <c r="Y180" i="19" s="1"/>
  <c r="O369" i="19"/>
  <c r="U369" i="19" s="1"/>
  <c r="S380" i="19"/>
  <c r="Y380" i="19" s="1"/>
  <c r="P199" i="19"/>
  <c r="V199" i="19" s="1"/>
  <c r="S123" i="19"/>
  <c r="Y123" i="19" s="1"/>
  <c r="O276" i="19"/>
  <c r="U276" i="19" s="1"/>
  <c r="O406" i="19"/>
  <c r="U406" i="19" s="1"/>
  <c r="S124" i="19"/>
  <c r="Y124" i="19" s="1"/>
  <c r="O176" i="19"/>
  <c r="U176" i="19" s="1"/>
  <c r="O160" i="19"/>
  <c r="U160" i="19" s="1"/>
  <c r="O255" i="19"/>
  <c r="U255" i="19" s="1"/>
  <c r="S340" i="19"/>
  <c r="Y340" i="19" s="1"/>
  <c r="S420" i="19"/>
  <c r="Y420" i="19" s="1"/>
  <c r="S385" i="19"/>
  <c r="Y385" i="19" s="1"/>
  <c r="P413" i="19"/>
  <c r="V413" i="19" s="1"/>
  <c r="O414" i="19"/>
  <c r="U414" i="19" s="1"/>
  <c r="S132" i="19"/>
  <c r="Y132" i="19" s="1"/>
  <c r="O199" i="19"/>
  <c r="U199" i="19" s="1"/>
  <c r="O418" i="19"/>
  <c r="U418" i="19" s="1"/>
  <c r="P122" i="19"/>
  <c r="V122" i="19" s="1"/>
  <c r="P378" i="19"/>
  <c r="V378" i="19" s="1"/>
  <c r="P393" i="19"/>
  <c r="V393" i="19" s="1"/>
  <c r="S381" i="19"/>
  <c r="Y381" i="19" s="1"/>
  <c r="O339" i="19"/>
  <c r="U339" i="19" s="1"/>
  <c r="P161" i="19"/>
  <c r="V161" i="19" s="1"/>
  <c r="O194" i="19"/>
  <c r="U194" i="19" s="1"/>
  <c r="S215" i="19"/>
  <c r="Y215" i="19" s="1"/>
  <c r="P157" i="19"/>
  <c r="V157" i="19" s="1"/>
  <c r="S177" i="19"/>
  <c r="Y177" i="19" s="1"/>
  <c r="O349" i="19"/>
  <c r="U349" i="19" s="1"/>
  <c r="S324" i="19"/>
  <c r="Y324" i="19" s="1"/>
  <c r="P284" i="19"/>
  <c r="V284" i="19" s="1"/>
  <c r="P235" i="19"/>
  <c r="V235" i="19" s="1"/>
  <c r="P243" i="19"/>
  <c r="V243" i="19" s="1"/>
  <c r="O237" i="19"/>
  <c r="U237" i="19" s="1"/>
  <c r="S217" i="19"/>
  <c r="Y217" i="19" s="1"/>
  <c r="P308" i="19"/>
  <c r="V308" i="19" s="1"/>
  <c r="S337" i="19"/>
  <c r="Y337" i="19" s="1"/>
  <c r="S270" i="19"/>
  <c r="Y270" i="19" s="1"/>
  <c r="P396" i="19"/>
  <c r="V396" i="19" s="1"/>
  <c r="S259" i="19"/>
  <c r="Y259" i="19" s="1"/>
  <c r="O217" i="19"/>
  <c r="U217" i="19" s="1"/>
  <c r="O372" i="19"/>
  <c r="U372" i="19" s="1"/>
  <c r="P255" i="19"/>
  <c r="V255" i="19" s="1"/>
  <c r="S427" i="19"/>
  <c r="Y427" i="19" s="1"/>
  <c r="P128" i="19"/>
  <c r="V128" i="19" s="1"/>
  <c r="O396" i="19"/>
  <c r="U396" i="19" s="1"/>
  <c r="O156" i="19"/>
  <c r="U156" i="19" s="1"/>
  <c r="O230" i="19"/>
  <c r="U230" i="19" s="1"/>
  <c r="P117" i="19"/>
  <c r="V117" i="19" s="1"/>
  <c r="P127" i="19"/>
  <c r="V127" i="19" s="1"/>
  <c r="O235" i="19"/>
  <c r="U235" i="19" s="1"/>
  <c r="P172" i="19"/>
  <c r="V172" i="19" s="1"/>
  <c r="P294" i="19"/>
  <c r="V294" i="19" s="1"/>
  <c r="O367" i="19"/>
  <c r="U367" i="19" s="1"/>
  <c r="O413" i="19"/>
  <c r="U413" i="19" s="1"/>
  <c r="O334" i="19"/>
  <c r="U334" i="19" s="1"/>
  <c r="O381" i="19"/>
  <c r="U381" i="19" s="1"/>
  <c r="O233" i="19"/>
  <c r="U233" i="19" s="1"/>
  <c r="O200" i="19"/>
  <c r="U200" i="19" s="1"/>
  <c r="O126" i="19"/>
  <c r="U126" i="19" s="1"/>
  <c r="P250" i="19"/>
  <c r="V250" i="19" s="1"/>
  <c r="P174" i="19"/>
  <c r="V174" i="19" s="1"/>
  <c r="S202" i="19"/>
  <c r="Y202" i="19" s="1"/>
  <c r="O256" i="19"/>
  <c r="U256" i="19" s="1"/>
  <c r="O308" i="19"/>
  <c r="U308" i="19" s="1"/>
  <c r="O122" i="19"/>
  <c r="U122" i="19" s="1"/>
  <c r="P298" i="19"/>
  <c r="V298" i="19" s="1"/>
  <c r="S415" i="19"/>
  <c r="Y415" i="19" s="1"/>
  <c r="O191" i="19"/>
  <c r="U191" i="19" s="1"/>
  <c r="P132" i="19"/>
  <c r="V132" i="19" s="1"/>
  <c r="S378" i="19"/>
  <c r="Y378" i="19" s="1"/>
  <c r="O161" i="19"/>
  <c r="U161" i="19" s="1"/>
  <c r="S108" i="19"/>
  <c r="Y108" i="19" s="1"/>
  <c r="P427" i="19"/>
  <c r="V427" i="19" s="1"/>
  <c r="S298" i="19"/>
  <c r="Y298" i="19" s="1"/>
  <c r="P145" i="19"/>
  <c r="V145" i="19" s="1"/>
  <c r="S235" i="19"/>
  <c r="Y235" i="19" s="1"/>
  <c r="O246" i="19"/>
  <c r="U246" i="19" s="1"/>
  <c r="O398" i="19"/>
  <c r="U398" i="19" s="1"/>
  <c r="P104" i="19"/>
  <c r="V104" i="19" s="1"/>
  <c r="O189" i="19"/>
  <c r="U189" i="19" s="1"/>
  <c r="P180" i="19"/>
  <c r="V180" i="19" s="1"/>
  <c r="P163" i="19"/>
  <c r="V163" i="19" s="1"/>
  <c r="P283" i="19"/>
  <c r="V283" i="19" s="1"/>
  <c r="S205" i="19"/>
  <c r="Y205" i="19" s="1"/>
  <c r="O299" i="19"/>
  <c r="U299" i="19" s="1"/>
  <c r="S336" i="19"/>
  <c r="Y336" i="19" s="1"/>
  <c r="S391" i="19"/>
  <c r="Y391" i="19" s="1"/>
  <c r="P259" i="19"/>
  <c r="V259" i="19" s="1"/>
  <c r="O193" i="19"/>
  <c r="U193" i="19" s="1"/>
  <c r="O357" i="19"/>
  <c r="U357" i="19" s="1"/>
  <c r="O222" i="19"/>
  <c r="U222" i="19" s="1"/>
  <c r="S162" i="19"/>
  <c r="Y162" i="19" s="1"/>
  <c r="S387" i="19"/>
  <c r="Y387" i="19" s="1"/>
  <c r="S117" i="19"/>
  <c r="Y117" i="19" s="1"/>
  <c r="O358" i="19"/>
  <c r="U358" i="19" s="1"/>
  <c r="O293" i="19"/>
  <c r="U293" i="19" s="1"/>
  <c r="S250" i="19"/>
  <c r="Y250" i="19" s="1"/>
  <c r="P130" i="19"/>
  <c r="V130" i="19" s="1"/>
  <c r="P176" i="19"/>
  <c r="V176" i="19" s="1"/>
  <c r="S246" i="19"/>
  <c r="Y246" i="19" s="1"/>
  <c r="O102" i="19"/>
  <c r="U102" i="19" s="1"/>
  <c r="S323" i="19"/>
  <c r="Y323" i="19" s="1"/>
  <c r="O307" i="19"/>
  <c r="U307" i="19" s="1"/>
  <c r="S122" i="19"/>
  <c r="Y122" i="19" s="1"/>
  <c r="O125" i="19"/>
  <c r="U125" i="19" s="1"/>
  <c r="P158" i="19"/>
  <c r="V158" i="19" s="1"/>
  <c r="O173" i="19"/>
  <c r="U173" i="19" s="1"/>
  <c r="O188" i="19"/>
  <c r="U188" i="19" s="1"/>
  <c r="P208" i="19"/>
  <c r="V208" i="19" s="1"/>
  <c r="S210" i="19"/>
  <c r="Y210" i="19" s="1"/>
  <c r="O279" i="19"/>
  <c r="U279" i="19" s="1"/>
  <c r="S283" i="19"/>
  <c r="Y283" i="19" s="1"/>
  <c r="O314" i="19"/>
  <c r="U314" i="19" s="1"/>
  <c r="P353" i="19"/>
  <c r="V353" i="19" s="1"/>
  <c r="O380" i="19"/>
  <c r="U380" i="19" s="1"/>
  <c r="P424" i="19"/>
  <c r="V424" i="19" s="1"/>
  <c r="O130" i="19"/>
  <c r="U130" i="19" s="1"/>
  <c r="P252" i="19"/>
  <c r="V252" i="19" s="1"/>
  <c r="S402" i="19"/>
  <c r="Y402" i="19" s="1"/>
  <c r="P155" i="19"/>
  <c r="V155" i="19" s="1"/>
  <c r="O236" i="19"/>
  <c r="U236" i="19" s="1"/>
  <c r="O198" i="19"/>
  <c r="U198" i="19" s="1"/>
  <c r="P209" i="19"/>
  <c r="V209" i="19" s="1"/>
  <c r="O121" i="19"/>
  <c r="U121" i="19" s="1"/>
  <c r="S216" i="19"/>
  <c r="Y216" i="19" s="1"/>
  <c r="O180" i="19"/>
  <c r="U180" i="19" s="1"/>
  <c r="O261" i="19"/>
  <c r="U261" i="19" s="1"/>
  <c r="S290" i="19"/>
  <c r="Y290" i="19" s="1"/>
  <c r="O306" i="19"/>
  <c r="U306" i="19" s="1"/>
  <c r="P324" i="19"/>
  <c r="V324" i="19" s="1"/>
  <c r="P310" i="19"/>
  <c r="V310" i="19" s="1"/>
  <c r="O352" i="19"/>
  <c r="U352" i="19" s="1"/>
  <c r="P391" i="19"/>
  <c r="V391" i="19" s="1"/>
  <c r="S365" i="19"/>
  <c r="Y365" i="19" s="1"/>
  <c r="O335" i="19"/>
  <c r="U335" i="19" s="1"/>
  <c r="P263" i="19"/>
  <c r="V263" i="19" s="1"/>
  <c r="O187" i="19"/>
  <c r="U187" i="19" s="1"/>
  <c r="P196" i="19"/>
  <c r="V196" i="19" s="1"/>
  <c r="S199" i="19"/>
  <c r="Y199" i="19" s="1"/>
  <c r="S155" i="19"/>
  <c r="Y155" i="19" s="1"/>
  <c r="O305" i="19"/>
  <c r="U305" i="19" s="1"/>
  <c r="O182" i="19"/>
  <c r="U182" i="19" s="1"/>
  <c r="O177" i="19"/>
  <c r="U177" i="19" s="1"/>
  <c r="O103" i="19"/>
  <c r="U103" i="19" s="1"/>
  <c r="O185" i="19"/>
  <c r="U185" i="19" s="1"/>
  <c r="O183" i="19"/>
  <c r="U183" i="19" s="1"/>
  <c r="P206" i="19"/>
  <c r="V206" i="19" s="1"/>
  <c r="S220" i="19"/>
  <c r="Y220" i="19" s="1"/>
  <c r="S247" i="19"/>
  <c r="Y247" i="19" s="1"/>
  <c r="O415" i="19"/>
  <c r="U415" i="19" s="1"/>
  <c r="P345" i="19"/>
  <c r="V345" i="19" s="1"/>
  <c r="O420" i="19"/>
  <c r="U420" i="19" s="1"/>
  <c r="S362" i="19"/>
  <c r="Y362" i="19" s="1"/>
  <c r="O394" i="19"/>
  <c r="U394" i="19" s="1"/>
  <c r="P385" i="19"/>
  <c r="V385" i="19" s="1"/>
  <c r="S414" i="19"/>
  <c r="Y414" i="19" s="1"/>
  <c r="P220" i="19"/>
  <c r="V220" i="19" s="1"/>
  <c r="O426" i="19"/>
  <c r="U426" i="19" s="1"/>
  <c r="S111" i="19"/>
  <c r="Y111" i="19" s="1"/>
  <c r="P167" i="19"/>
  <c r="V167" i="19" s="1"/>
  <c r="S223" i="19"/>
  <c r="Y223" i="19" s="1"/>
  <c r="S211" i="19"/>
  <c r="Y211" i="19" s="1"/>
  <c r="S239" i="19"/>
  <c r="Y239" i="19" s="1"/>
  <c r="S308" i="19"/>
  <c r="Y308" i="19" s="1"/>
  <c r="O417" i="19"/>
  <c r="U417" i="19" s="1"/>
  <c r="S314" i="19"/>
  <c r="Y314" i="19" s="1"/>
  <c r="O212" i="19"/>
  <c r="U212" i="19" s="1"/>
  <c r="O316" i="19"/>
  <c r="U316" i="19" s="1"/>
  <c r="O325" i="19"/>
  <c r="U325" i="19" s="1"/>
  <c r="S370" i="19"/>
  <c r="Y370" i="19" s="1"/>
  <c r="O391" i="19"/>
  <c r="U391" i="19" s="1"/>
  <c r="S403" i="19"/>
  <c r="Y403" i="19" s="1"/>
  <c r="P267" i="19"/>
  <c r="V267" i="19" s="1"/>
  <c r="O387" i="19"/>
  <c r="U387" i="19" s="1"/>
  <c r="S200" i="19"/>
  <c r="Y200" i="19" s="1"/>
  <c r="P414" i="19"/>
  <c r="V414" i="19" s="1"/>
  <c r="S307" i="19"/>
  <c r="Y307" i="19" s="1"/>
  <c r="O427" i="19"/>
  <c r="U427" i="19" s="1"/>
  <c r="P381" i="19"/>
  <c r="V381" i="19" s="1"/>
  <c r="O128" i="19"/>
  <c r="U128" i="19" s="1"/>
  <c r="O425" i="19"/>
  <c r="U425" i="19" s="1"/>
  <c r="O421" i="19"/>
  <c r="U421" i="19" s="1"/>
  <c r="O124" i="19"/>
  <c r="U124" i="19" s="1"/>
  <c r="O115" i="19"/>
  <c r="U115" i="19" s="1"/>
  <c r="P112" i="19"/>
  <c r="V112" i="19" s="1"/>
  <c r="P143" i="19"/>
  <c r="V143" i="19" s="1"/>
  <c r="O204" i="19"/>
  <c r="U204" i="19" s="1"/>
  <c r="O223" i="19"/>
  <c r="U223" i="19" s="1"/>
  <c r="O209" i="19"/>
  <c r="U209" i="19" s="1"/>
  <c r="P211" i="19"/>
  <c r="V211" i="19" s="1"/>
  <c r="O283" i="19"/>
  <c r="U283" i="19" s="1"/>
  <c r="O285" i="19"/>
  <c r="U285" i="19" s="1"/>
  <c r="P358" i="19"/>
  <c r="V358" i="19" s="1"/>
  <c r="P278" i="19"/>
  <c r="V278" i="19" s="1"/>
  <c r="O319" i="19"/>
  <c r="U319" i="19" s="1"/>
  <c r="P266" i="19"/>
  <c r="V266" i="19" s="1"/>
  <c r="P219" i="19"/>
  <c r="V219" i="19" s="1"/>
  <c r="P271" i="19"/>
  <c r="V271" i="19" s="1"/>
  <c r="O384" i="19"/>
  <c r="U384" i="19" s="1"/>
  <c r="O373" i="19"/>
  <c r="U373" i="19" s="1"/>
  <c r="P372" i="19"/>
  <c r="V372" i="19" s="1"/>
  <c r="P416" i="19"/>
  <c r="V416" i="19" s="1"/>
  <c r="P398" i="19"/>
  <c r="V398" i="19" s="1"/>
  <c r="S227" i="19"/>
  <c r="Y227" i="19" s="1"/>
  <c r="S252" i="19"/>
  <c r="Y252" i="19" s="1"/>
  <c r="O344" i="19"/>
  <c r="U344" i="19" s="1"/>
  <c r="O312" i="19"/>
  <c r="U312" i="19" s="1"/>
  <c r="O346" i="19"/>
  <c r="U346" i="19" s="1"/>
  <c r="P403" i="19"/>
  <c r="V403" i="19" s="1"/>
  <c r="P198" i="19"/>
  <c r="V198" i="19" s="1"/>
  <c r="P114" i="19"/>
  <c r="V114" i="19" s="1"/>
  <c r="S143" i="19"/>
  <c r="Y143" i="19" s="1"/>
  <c r="P200" i="19"/>
  <c r="V200" i="19" s="1"/>
  <c r="P203" i="19"/>
  <c r="V203" i="19" s="1"/>
  <c r="O207" i="19"/>
  <c r="U207" i="19" s="1"/>
  <c r="P228" i="19"/>
  <c r="V228" i="19" s="1"/>
  <c r="S382" i="19"/>
  <c r="Y382" i="19" s="1"/>
  <c r="O353" i="19"/>
  <c r="U353" i="19" s="1"/>
  <c r="O324" i="19"/>
  <c r="U324" i="19" s="1"/>
  <c r="P275" i="19"/>
  <c r="V275" i="19" s="1"/>
  <c r="O409" i="19"/>
  <c r="U409" i="19" s="1"/>
  <c r="P325" i="19"/>
  <c r="V325" i="19" s="1"/>
  <c r="S301" i="19"/>
  <c r="Y301" i="19" s="1"/>
  <c r="O410" i="19"/>
  <c r="U410" i="19" s="1"/>
  <c r="S357" i="19"/>
  <c r="Y357" i="19" s="1"/>
  <c r="S372" i="19"/>
  <c r="Y372" i="19" s="1"/>
  <c r="P124" i="19"/>
  <c r="V124" i="19" s="1"/>
  <c r="P380" i="19"/>
  <c r="V380" i="19" s="1"/>
  <c r="P133" i="19"/>
  <c r="V133" i="19" s="1"/>
  <c r="S151" i="19"/>
  <c r="Y151" i="19" s="1"/>
  <c r="O382" i="19"/>
  <c r="U382" i="19" s="1"/>
  <c r="S353" i="19"/>
  <c r="Y353" i="19" s="1"/>
  <c r="O326" i="19"/>
  <c r="U326" i="19" s="1"/>
  <c r="O320" i="19"/>
  <c r="U320" i="19" s="1"/>
  <c r="P367" i="19"/>
  <c r="V367" i="19" s="1"/>
  <c r="P384" i="19"/>
  <c r="V384" i="19" s="1"/>
  <c r="P375" i="19"/>
  <c r="V375" i="19" s="1"/>
  <c r="O405" i="19"/>
  <c r="U405" i="19" s="1"/>
  <c r="P126" i="19"/>
  <c r="V126" i="19" s="1"/>
  <c r="O148" i="19"/>
  <c r="U148" i="19" s="1"/>
  <c r="P187" i="19"/>
  <c r="V187" i="19" s="1"/>
  <c r="O228" i="19"/>
  <c r="U228" i="19" s="1"/>
  <c r="S263" i="19"/>
  <c r="Y263" i="19" s="1"/>
  <c r="P181" i="19"/>
  <c r="V181" i="19" s="1"/>
  <c r="P249" i="19"/>
  <c r="V249" i="19" s="1"/>
  <c r="S159" i="19"/>
  <c r="Y159" i="19" s="1"/>
  <c r="O395" i="19"/>
  <c r="U395" i="19" s="1"/>
  <c r="O416" i="19"/>
  <c r="U416" i="19" s="1"/>
  <c r="O296" i="19"/>
  <c r="U296" i="19" s="1"/>
  <c r="O311" i="19"/>
  <c r="U311" i="19" s="1"/>
  <c r="S421" i="19"/>
  <c r="Y421" i="19" s="1"/>
  <c r="S266" i="19"/>
  <c r="Y266" i="19" s="1"/>
  <c r="S310" i="19"/>
  <c r="Y310" i="19" s="1"/>
  <c r="O301" i="19"/>
  <c r="U301" i="19" s="1"/>
  <c r="P341" i="19"/>
  <c r="V341" i="19" s="1"/>
  <c r="S377" i="19"/>
  <c r="Y377" i="19" s="1"/>
  <c r="P374" i="19"/>
  <c r="V374" i="19" s="1"/>
  <c r="S412" i="19"/>
  <c r="Y412" i="19" s="1"/>
  <c r="S366" i="19"/>
  <c r="Y366" i="19" s="1"/>
  <c r="P299" i="19"/>
  <c r="V299" i="19" s="1"/>
  <c r="P405" i="19"/>
  <c r="V405" i="19" s="1"/>
  <c r="O145" i="19"/>
  <c r="U145" i="19" s="1"/>
  <c r="S203" i="19"/>
  <c r="Y203" i="19" s="1"/>
  <c r="P107" i="19"/>
  <c r="V107" i="19" s="1"/>
  <c r="S148" i="19"/>
  <c r="Y148" i="19" s="1"/>
  <c r="O388" i="19"/>
  <c r="U388" i="19" s="1"/>
  <c r="O110" i="19"/>
  <c r="U110" i="19" s="1"/>
  <c r="S330" i="19"/>
  <c r="Y330" i="19" s="1"/>
  <c r="O377" i="19"/>
  <c r="U377" i="19" s="1"/>
  <c r="P265" i="19"/>
  <c r="V265" i="19" s="1"/>
  <c r="O142" i="19"/>
  <c r="U142" i="19" s="1"/>
  <c r="P131" i="19"/>
  <c r="V131" i="19" s="1"/>
  <c r="O111" i="19"/>
  <c r="U111" i="19" s="1"/>
  <c r="O144" i="19"/>
  <c r="U144" i="19" s="1"/>
  <c r="O162" i="19"/>
  <c r="U162" i="19" s="1"/>
  <c r="O201" i="19"/>
  <c r="U201" i="19" s="1"/>
  <c r="O215" i="19"/>
  <c r="U215" i="19" s="1"/>
  <c r="O166" i="19"/>
  <c r="U166" i="19" s="1"/>
  <c r="O175" i="19"/>
  <c r="U175" i="19" s="1"/>
  <c r="O263" i="19"/>
  <c r="U263" i="19" s="1"/>
  <c r="O264" i="19"/>
  <c r="U264" i="19" s="1"/>
  <c r="O298" i="19"/>
  <c r="U298" i="19" s="1"/>
  <c r="S262" i="19"/>
  <c r="Y262" i="19" s="1"/>
  <c r="P186" i="19"/>
  <c r="V186" i="19" s="1"/>
  <c r="O310" i="19"/>
  <c r="U310" i="19" s="1"/>
  <c r="P347" i="19"/>
  <c r="V347" i="19" s="1"/>
  <c r="O424" i="19"/>
  <c r="U424" i="19" s="1"/>
  <c r="S375" i="19"/>
  <c r="Y375" i="19" s="1"/>
  <c r="P201" i="19"/>
  <c r="V201" i="19" s="1"/>
  <c r="S405" i="19"/>
  <c r="Y405" i="19" s="1"/>
  <c r="P360" i="19"/>
  <c r="V360" i="19" s="1"/>
  <c r="P428" i="19"/>
  <c r="V428" i="19" s="1"/>
  <c r="S107" i="19"/>
  <c r="Y107" i="19" s="1"/>
  <c r="O117" i="19"/>
  <c r="U117" i="19" s="1"/>
  <c r="O163" i="19"/>
  <c r="U163" i="19" s="1"/>
  <c r="O397" i="19"/>
  <c r="U397" i="19" s="1"/>
  <c r="P330" i="19"/>
  <c r="V330" i="19" s="1"/>
  <c r="P387" i="19"/>
  <c r="V387" i="19" s="1"/>
  <c r="S187" i="19"/>
  <c r="Y187" i="19" s="1"/>
  <c r="O116" i="19"/>
  <c r="U116" i="19" s="1"/>
  <c r="S116" i="19"/>
  <c r="Y116" i="19" s="1"/>
  <c r="O165" i="19"/>
  <c r="U165" i="19" s="1"/>
  <c r="P177" i="19"/>
  <c r="V177" i="19" s="1"/>
  <c r="O218" i="19"/>
  <c r="U218" i="19" s="1"/>
  <c r="S186" i="19"/>
  <c r="Y186" i="19" s="1"/>
  <c r="S212" i="19"/>
  <c r="Y212" i="19" s="1"/>
  <c r="S317" i="19"/>
  <c r="Y317" i="19" s="1"/>
  <c r="P411" i="19"/>
  <c r="V411" i="19" s="1"/>
  <c r="P349" i="19"/>
  <c r="V349" i="19" s="1"/>
  <c r="S219" i="19"/>
  <c r="Y219" i="19" s="1"/>
  <c r="O361" i="19"/>
  <c r="U361" i="19" s="1"/>
  <c r="O338" i="19"/>
  <c r="U338" i="19" s="1"/>
  <c r="O408" i="19"/>
  <c r="U408" i="19" s="1"/>
  <c r="P291" i="19"/>
  <c r="V291" i="19" s="1"/>
  <c r="P422" i="19"/>
  <c r="V422" i="19" s="1"/>
  <c r="S399" i="19"/>
  <c r="Y399" i="19" s="1"/>
  <c r="S384" i="19"/>
  <c r="Y384" i="19" s="1"/>
  <c r="O400" i="19"/>
  <c r="U400" i="19" s="1"/>
  <c r="O244" i="19"/>
  <c r="U244" i="19" s="1"/>
  <c r="P307" i="19"/>
  <c r="V307" i="19" s="1"/>
  <c r="P182" i="19"/>
  <c r="V182" i="19" s="1"/>
  <c r="O351" i="19"/>
  <c r="U351" i="19" s="1"/>
  <c r="P418" i="19"/>
  <c r="V418" i="19" s="1"/>
  <c r="O428" i="19"/>
  <c r="U428" i="19" s="1"/>
  <c r="O252" i="19"/>
  <c r="U252" i="19" s="1"/>
  <c r="O171" i="19"/>
  <c r="U171" i="19" s="1"/>
  <c r="P317" i="19"/>
  <c r="V317" i="19" s="1"/>
  <c r="S277" i="19"/>
  <c r="Y277" i="19" s="1"/>
  <c r="O120" i="19"/>
  <c r="U120" i="19" s="1"/>
  <c r="S169" i="19"/>
  <c r="Y169" i="19" s="1"/>
  <c r="S172" i="19"/>
  <c r="Y172" i="19" s="1"/>
  <c r="O211" i="19"/>
  <c r="U211" i="19" s="1"/>
  <c r="P281" i="19"/>
  <c r="V281" i="19" s="1"/>
  <c r="P159" i="19"/>
  <c r="V159" i="19" s="1"/>
  <c r="P224" i="19"/>
  <c r="V224" i="19" s="1"/>
  <c r="O337" i="19"/>
  <c r="U337" i="19" s="1"/>
  <c r="O282" i="19"/>
  <c r="U282" i="19" s="1"/>
  <c r="P192" i="19"/>
  <c r="V192" i="19" s="1"/>
  <c r="O290" i="19"/>
  <c r="U290" i="19" s="1"/>
  <c r="P301" i="19"/>
  <c r="V301" i="19" s="1"/>
  <c r="P311" i="19"/>
  <c r="V311" i="19" s="1"/>
  <c r="S349" i="19"/>
  <c r="Y349" i="19" s="1"/>
  <c r="S291" i="19"/>
  <c r="Y291" i="19" s="1"/>
  <c r="S422" i="19"/>
  <c r="Y422" i="19" s="1"/>
  <c r="O399" i="19"/>
  <c r="U399" i="19" s="1"/>
  <c r="P426" i="19"/>
  <c r="V426" i="19" s="1"/>
  <c r="O374" i="19"/>
  <c r="U374" i="19" s="1"/>
  <c r="P223" i="19"/>
  <c r="V223" i="19" s="1"/>
  <c r="P195" i="19"/>
  <c r="V195" i="19" s="1"/>
  <c r="O240" i="19"/>
  <c r="U240" i="19" s="1"/>
  <c r="P343" i="19"/>
  <c r="V343" i="19" s="1"/>
  <c r="O355" i="19"/>
  <c r="U355" i="19" s="1"/>
  <c r="O284" i="19"/>
  <c r="U284" i="19" s="1"/>
  <c r="O219" i="19"/>
  <c r="U219" i="19" s="1"/>
  <c r="P258" i="19"/>
  <c r="V258" i="19" s="1"/>
  <c r="O363" i="19"/>
  <c r="U363" i="19" s="1"/>
  <c r="O267" i="19"/>
  <c r="U267" i="19" s="1"/>
  <c r="S343" i="19"/>
  <c r="Y343" i="19" s="1"/>
  <c r="O343" i="19"/>
  <c r="U343" i="19" s="1"/>
  <c r="O225" i="19"/>
  <c r="U225" i="19" s="1"/>
  <c r="S348" i="19"/>
  <c r="Y348" i="19" s="1"/>
  <c r="O345" i="19"/>
  <c r="U345" i="19" s="1"/>
  <c r="O383" i="19"/>
  <c r="U383" i="19" s="1"/>
  <c r="S404" i="19"/>
  <c r="Y404" i="19" s="1"/>
  <c r="O354" i="19"/>
  <c r="U354" i="19" s="1"/>
  <c r="O213" i="19"/>
  <c r="U213" i="19" s="1"/>
  <c r="P329" i="19"/>
  <c r="V329" i="19" s="1"/>
  <c r="P257" i="19"/>
  <c r="V257" i="19" s="1"/>
  <c r="P191" i="19"/>
  <c r="V191" i="19" s="1"/>
  <c r="O153" i="19"/>
  <c r="U153" i="19" s="1"/>
  <c r="O179" i="19"/>
  <c r="U179" i="19" s="1"/>
  <c r="S157" i="19"/>
  <c r="Y157" i="19" s="1"/>
  <c r="P175" i="19"/>
  <c r="V175" i="19" s="1"/>
  <c r="O297" i="19"/>
  <c r="U297" i="19" s="1"/>
  <c r="O269" i="19"/>
  <c r="U269" i="19" s="1"/>
  <c r="S276" i="19"/>
  <c r="Y276" i="19" s="1"/>
  <c r="S278" i="19"/>
  <c r="Y278" i="19" s="1"/>
  <c r="P225" i="19"/>
  <c r="V225" i="19" s="1"/>
  <c r="P337" i="19"/>
  <c r="V337" i="19" s="1"/>
  <c r="O192" i="19"/>
  <c r="U192" i="19" s="1"/>
  <c r="P231" i="19"/>
  <c r="V231" i="19" s="1"/>
  <c r="S312" i="19"/>
  <c r="Y312" i="19" s="1"/>
  <c r="O281" i="19"/>
  <c r="U281" i="19" s="1"/>
  <c r="P373" i="19"/>
  <c r="V373" i="19" s="1"/>
  <c r="O348" i="19"/>
  <c r="U348" i="19" s="1"/>
  <c r="O271" i="19"/>
  <c r="U271" i="19" s="1"/>
  <c r="P355" i="19"/>
  <c r="V355" i="19" s="1"/>
  <c r="S294" i="19"/>
  <c r="Y294" i="19" s="1"/>
  <c r="O419" i="19"/>
  <c r="U419" i="19" s="1"/>
  <c r="O291" i="19"/>
  <c r="U291" i="19" s="1"/>
  <c r="O422" i="19"/>
  <c r="U422" i="19" s="1"/>
  <c r="O365" i="19"/>
  <c r="U365" i="19" s="1"/>
  <c r="O401" i="19"/>
  <c r="U401" i="19" s="1"/>
  <c r="P226" i="19"/>
  <c r="V226" i="19" s="1"/>
  <c r="O407" i="19"/>
  <c r="U407" i="19" s="1"/>
  <c r="P253" i="19"/>
  <c r="V253" i="19" s="1"/>
  <c r="O412" i="19"/>
  <c r="U412" i="19" s="1"/>
  <c r="S368" i="19"/>
  <c r="Y368" i="19" s="1"/>
  <c r="S383" i="19"/>
  <c r="Y383" i="19" s="1"/>
  <c r="O203" i="19"/>
  <c r="U203" i="19" s="1"/>
  <c r="O210" i="19"/>
  <c r="U210" i="19" s="1"/>
  <c r="O242" i="19"/>
  <c r="U242" i="19" s="1"/>
  <c r="P318" i="19"/>
  <c r="V318" i="19" s="1"/>
  <c r="P239" i="19"/>
  <c r="V239" i="19" s="1"/>
  <c r="O202" i="19"/>
  <c r="U202" i="19" s="1"/>
  <c r="O265" i="19"/>
  <c r="U265" i="19" s="1"/>
  <c r="S225" i="19"/>
  <c r="Y225" i="19" s="1"/>
  <c r="O289" i="19"/>
  <c r="U289" i="19" s="1"/>
  <c r="O336" i="19"/>
  <c r="U336" i="19" s="1"/>
  <c r="O411" i="19"/>
  <c r="U411" i="19" s="1"/>
  <c r="O234" i="19"/>
  <c r="U234" i="19" s="1"/>
  <c r="O393" i="19"/>
  <c r="U393" i="19" s="1"/>
  <c r="S376" i="19"/>
  <c r="Y376" i="19" s="1"/>
  <c r="S347" i="19"/>
  <c r="Y347" i="19" s="1"/>
  <c r="O323" i="19"/>
  <c r="U323" i="19" s="1"/>
  <c r="P404" i="19"/>
  <c r="V404" i="19" s="1"/>
  <c r="O341" i="19"/>
  <c r="U341" i="19" s="1"/>
  <c r="O368" i="19"/>
  <c r="U368" i="19" s="1"/>
  <c r="O250" i="19"/>
  <c r="U250" i="19" s="1"/>
  <c r="O385" i="19"/>
  <c r="U385" i="19" s="1"/>
  <c r="P204" i="19"/>
  <c r="V204" i="19" s="1"/>
  <c r="P262" i="19"/>
  <c r="V262" i="19" s="1"/>
  <c r="O208" i="19"/>
  <c r="U208" i="19" s="1"/>
  <c r="P276" i="19"/>
  <c r="V276" i="19" s="1"/>
  <c r="O270" i="19"/>
  <c r="U270" i="19" s="1"/>
  <c r="O197" i="19"/>
  <c r="U197" i="19" s="1"/>
  <c r="S234" i="19"/>
  <c r="Y234" i="19" s="1"/>
  <c r="P328" i="19"/>
  <c r="V328" i="19" s="1"/>
  <c r="S320" i="19"/>
  <c r="Y320" i="19" s="1"/>
  <c r="O347" i="19"/>
  <c r="U347" i="19" s="1"/>
  <c r="S388" i="19"/>
  <c r="Y388" i="19" s="1"/>
  <c r="P362" i="19"/>
  <c r="V362" i="19" s="1"/>
  <c r="S394" i="19"/>
  <c r="Y394" i="19" s="1"/>
  <c r="S268" i="19"/>
  <c r="Y268" i="19" s="1"/>
  <c r="O403" i="19"/>
  <c r="U403" i="19" s="1"/>
  <c r="O226" i="19"/>
  <c r="U226" i="19" s="1"/>
  <c r="P410" i="19"/>
  <c r="V410" i="19" s="1"/>
  <c r="O253" i="19"/>
  <c r="U253" i="19" s="1"/>
  <c r="O243" i="19"/>
  <c r="U243" i="19" s="1"/>
  <c r="O155" i="19"/>
  <c r="U155" i="19" s="1"/>
  <c r="O168" i="19"/>
  <c r="U168" i="19" s="1"/>
  <c r="P166" i="19"/>
  <c r="V166" i="19" s="1"/>
  <c r="P169" i="19"/>
  <c r="V169" i="19" s="1"/>
  <c r="P164" i="19"/>
  <c r="V164" i="19" s="1"/>
  <c r="O229" i="19"/>
  <c r="U229" i="19" s="1"/>
  <c r="O158" i="19"/>
  <c r="U158" i="19" s="1"/>
  <c r="S218" i="19"/>
  <c r="Y218" i="19" s="1"/>
  <c r="O300" i="19"/>
  <c r="U300" i="19" s="1"/>
  <c r="O220" i="19"/>
  <c r="U220" i="19" s="1"/>
  <c r="O278" i="19"/>
  <c r="U278" i="19" s="1"/>
  <c r="S245" i="19"/>
  <c r="Y245" i="19" s="1"/>
  <c r="O304" i="19"/>
  <c r="U304" i="19" s="1"/>
  <c r="O318" i="19"/>
  <c r="U318" i="19" s="1"/>
  <c r="S257" i="19"/>
  <c r="Y257" i="19" s="1"/>
  <c r="O266" i="19"/>
  <c r="U266" i="19" s="1"/>
  <c r="P295" i="19"/>
  <c r="V295" i="19" s="1"/>
  <c r="O315" i="19"/>
  <c r="U315" i="19" s="1"/>
  <c r="O245" i="19"/>
  <c r="U245" i="19" s="1"/>
  <c r="P368" i="19"/>
  <c r="V368" i="19" s="1"/>
  <c r="S258" i="19"/>
  <c r="Y258" i="19" s="1"/>
  <c r="S363" i="19"/>
  <c r="Y363" i="19" s="1"/>
  <c r="S359" i="19"/>
  <c r="Y359" i="19" s="1"/>
  <c r="O157" i="19"/>
  <c r="U157" i="19" s="1"/>
  <c r="P273" i="19"/>
  <c r="V273" i="19" s="1"/>
  <c r="O386" i="19"/>
  <c r="U386" i="19" s="1"/>
  <c r="O329" i="19"/>
  <c r="U329" i="19" s="1"/>
  <c r="O257" i="19"/>
  <c r="U257" i="19" s="1"/>
  <c r="S295" i="19"/>
  <c r="Y295" i="19" s="1"/>
  <c r="P359" i="19"/>
  <c r="V359" i="19" s="1"/>
  <c r="P354" i="19"/>
  <c r="V354" i="19" s="1"/>
  <c r="O328" i="19"/>
  <c r="U328" i="19" s="1"/>
  <c r="S267" i="19"/>
  <c r="Y267" i="19" s="1"/>
  <c r="S229" i="19"/>
  <c r="Y229" i="19" s="1"/>
  <c r="P376" i="19"/>
  <c r="V376" i="19" s="1"/>
  <c r="S166" i="19"/>
  <c r="Y166" i="19" s="1"/>
  <c r="O239" i="19"/>
  <c r="U239" i="19" s="1"/>
  <c r="S285" i="19"/>
  <c r="Y285" i="19" s="1"/>
  <c r="P304" i="19"/>
  <c r="V304" i="19" s="1"/>
  <c r="O272" i="19"/>
  <c r="U272" i="19" s="1"/>
  <c r="O295" i="19"/>
  <c r="U295" i="19" s="1"/>
  <c r="O404" i="19"/>
  <c r="U404" i="19" s="1"/>
  <c r="S410" i="19"/>
  <c r="Y410" i="19" s="1"/>
  <c r="O359" i="19"/>
  <c r="U359" i="19" s="1"/>
  <c r="O181" i="19"/>
  <c r="U181" i="19" s="1"/>
  <c r="S197" i="19"/>
  <c r="Y197" i="19" s="1"/>
  <c r="P388" i="19"/>
  <c r="V388" i="19" s="1"/>
  <c r="O196" i="19"/>
  <c r="U196" i="19" s="1"/>
  <c r="O195" i="19"/>
  <c r="U195" i="19" s="1"/>
  <c r="S207" i="19"/>
  <c r="Y207" i="19" s="1"/>
  <c r="S191" i="19"/>
  <c r="Y191" i="19" s="1"/>
  <c r="O178" i="19"/>
  <c r="U178" i="19" s="1"/>
  <c r="P165" i="19"/>
  <c r="V165" i="19" s="1"/>
  <c r="O249" i="19"/>
  <c r="U249" i="19" s="1"/>
  <c r="P240" i="19"/>
  <c r="V240" i="19" s="1"/>
  <c r="O186" i="19"/>
  <c r="U186" i="19" s="1"/>
  <c r="O231" i="19"/>
  <c r="U231" i="19" s="1"/>
  <c r="P241" i="19"/>
  <c r="V241" i="19" s="1"/>
  <c r="S273" i="19"/>
  <c r="Y273" i="19" s="1"/>
  <c r="O275" i="19"/>
  <c r="U275" i="19" s="1"/>
  <c r="O294" i="19"/>
  <c r="U294" i="19" s="1"/>
  <c r="S407" i="19"/>
  <c r="Y407" i="19" s="1"/>
  <c r="O258" i="19"/>
  <c r="U258" i="19" s="1"/>
  <c r="O164" i="19"/>
  <c r="U164" i="19" s="1"/>
  <c r="O287" i="19"/>
  <c r="U287" i="19" s="1"/>
  <c r="S174" i="19"/>
  <c r="Y174" i="19" s="1"/>
  <c r="S224" i="19"/>
  <c r="Y224" i="19" s="1"/>
  <c r="S254" i="19"/>
  <c r="Y254" i="19" s="1"/>
  <c r="P306" i="19"/>
  <c r="V306" i="19" s="1"/>
  <c r="O330" i="19"/>
  <c r="U330" i="19" s="1"/>
  <c r="S167" i="19"/>
  <c r="Y167" i="19" s="1"/>
  <c r="S228" i="19"/>
  <c r="Y228" i="19" s="1"/>
  <c r="S175" i="19"/>
  <c r="Y175" i="19" s="1"/>
  <c r="S240" i="19"/>
  <c r="Y240" i="19" s="1"/>
  <c r="O159" i="19"/>
  <c r="U159" i="19" s="1"/>
  <c r="O224" i="19"/>
  <c r="U224" i="19" s="1"/>
  <c r="P247" i="19"/>
  <c r="V247" i="19" s="1"/>
  <c r="S241" i="19"/>
  <c r="Y241" i="19" s="1"/>
  <c r="P285" i="19"/>
  <c r="V285" i="19" s="1"/>
  <c r="O254" i="19"/>
  <c r="U254" i="19" s="1"/>
  <c r="P205" i="19"/>
  <c r="V205" i="19" s="1"/>
  <c r="P312" i="19"/>
  <c r="V312" i="19" s="1"/>
  <c r="P236" i="19"/>
  <c r="V236" i="19" s="1"/>
  <c r="P197" i="19"/>
  <c r="V197" i="19" s="1"/>
  <c r="S306" i="19"/>
  <c r="Y306" i="19" s="1"/>
  <c r="P379" i="19"/>
  <c r="V379" i="19" s="1"/>
  <c r="O333" i="19"/>
  <c r="U333" i="19" s="1"/>
  <c r="P340" i="19"/>
  <c r="V340" i="19" s="1"/>
  <c r="P394" i="19"/>
  <c r="V394" i="19" s="1"/>
  <c r="S236" i="19"/>
  <c r="Y236" i="19" s="1"/>
  <c r="S400" i="19"/>
  <c r="Y400" i="19" s="1"/>
  <c r="O423" i="19"/>
  <c r="U423" i="19" s="1"/>
  <c r="S226" i="19"/>
  <c r="Y226" i="19" s="1"/>
  <c r="S354" i="19"/>
  <c r="Y354" i="19" s="1"/>
  <c r="O259" i="19"/>
  <c r="U259" i="19" s="1"/>
  <c r="P335" i="19"/>
  <c r="V335" i="19" s="1"/>
  <c r="P178" i="19"/>
  <c r="V178" i="19" s="1"/>
  <c r="O206" i="19"/>
  <c r="U206" i="19" s="1"/>
  <c r="O277" i="19"/>
  <c r="U277" i="19" s="1"/>
  <c r="O174" i="19"/>
  <c r="U174" i="19" s="1"/>
  <c r="O247" i="19"/>
  <c r="U247" i="19" s="1"/>
  <c r="O241" i="19"/>
  <c r="U241" i="19" s="1"/>
  <c r="O371" i="19"/>
  <c r="U371" i="19" s="1"/>
  <c r="O205" i="19"/>
  <c r="U205" i="19" s="1"/>
  <c r="O248" i="19"/>
  <c r="U248" i="19" s="1"/>
  <c r="S272" i="19"/>
  <c r="Y272" i="19" s="1"/>
  <c r="S192" i="19"/>
  <c r="Y192" i="19" s="1"/>
  <c r="O317" i="19"/>
  <c r="U317" i="19" s="1"/>
  <c r="P215" i="19"/>
  <c r="V215" i="19" s="1"/>
  <c r="O268" i="19"/>
  <c r="U268" i="19" s="1"/>
  <c r="O379" i="19"/>
  <c r="U379" i="19" s="1"/>
  <c r="O340" i="19"/>
  <c r="U340" i="19" s="1"/>
  <c r="P361" i="19"/>
  <c r="V361" i="19" s="1"/>
  <c r="O370" i="19"/>
  <c r="U370" i="19" s="1"/>
  <c r="O362" i="19"/>
  <c r="U362" i="19" s="1"/>
  <c r="P287" i="19"/>
  <c r="V287" i="19" s="1"/>
  <c r="P365" i="19"/>
  <c r="V365" i="19" s="1"/>
  <c r="S367" i="19"/>
  <c r="Y367" i="19" s="1"/>
  <c r="S335" i="19"/>
  <c r="Y335" i="19" s="1"/>
  <c r="P407" i="19"/>
  <c r="V407" i="19" s="1"/>
  <c r="P423" i="19"/>
  <c r="V423" i="19" s="1"/>
  <c r="P377" i="19"/>
  <c r="V377" i="19" s="1"/>
  <c r="S253" i="19"/>
  <c r="Y253" i="19" s="1"/>
  <c r="S114" i="19"/>
  <c r="Y114" i="19" s="1"/>
  <c r="P139" i="19"/>
  <c r="V139" i="19" s="1"/>
  <c r="S126" i="19"/>
  <c r="Y126" i="19" s="1"/>
  <c r="O114" i="19"/>
  <c r="U114" i="19" s="1"/>
  <c r="O139" i="19"/>
  <c r="U139" i="19" s="1"/>
  <c r="S128" i="19"/>
  <c r="Y128" i="19" s="1"/>
  <c r="O134" i="19"/>
  <c r="U134" i="19" s="1"/>
  <c r="O112" i="19"/>
  <c r="U112" i="19" s="1"/>
  <c r="P138" i="19"/>
  <c r="V138" i="19" s="1"/>
  <c r="P125" i="19"/>
  <c r="V125" i="19" s="1"/>
  <c r="S125" i="19"/>
  <c r="Y125" i="19" s="1"/>
  <c r="P115" i="19"/>
  <c r="V115" i="19" s="1"/>
  <c r="O127" i="19"/>
  <c r="U127" i="19" s="1"/>
  <c r="P116" i="19"/>
  <c r="V116" i="19" s="1"/>
  <c r="P129" i="19"/>
  <c r="V129" i="19" s="1"/>
  <c r="S139" i="19"/>
  <c r="Y139" i="19" s="1"/>
  <c r="S138" i="19"/>
  <c r="Y138" i="19" s="1"/>
  <c r="O140" i="19"/>
  <c r="U140" i="19" s="1"/>
  <c r="S129" i="19"/>
  <c r="Y129" i="19" s="1"/>
  <c r="S115" i="19"/>
  <c r="Y115" i="19" s="1"/>
  <c r="S142" i="19"/>
  <c r="Y142" i="19" s="1"/>
  <c r="O131" i="19"/>
  <c r="U131" i="19" s="1"/>
  <c r="O138" i="19"/>
  <c r="U138" i="19" s="1"/>
  <c r="S127" i="19"/>
  <c r="Y127" i="19" s="1"/>
  <c r="P144" i="19"/>
  <c r="V144" i="19" s="1"/>
  <c r="P106" i="19"/>
  <c r="V106" i="19" s="1"/>
  <c r="S110" i="19"/>
  <c r="Y110" i="19" s="1"/>
  <c r="O106" i="19"/>
  <c r="U106" i="19" s="1"/>
  <c r="P110" i="19"/>
  <c r="V110" i="19" s="1"/>
  <c r="P103" i="19"/>
  <c r="V103" i="19" s="1"/>
  <c r="S103" i="19"/>
  <c r="Y103" i="19" s="1"/>
  <c r="O104" i="19"/>
  <c r="U104" i="19" s="1"/>
  <c r="P100" i="19"/>
  <c r="V100" i="19" s="1"/>
  <c r="P84" i="19"/>
  <c r="V84" i="19" s="1"/>
  <c r="P56" i="19"/>
  <c r="V56" i="19" s="1"/>
  <c r="S58" i="19"/>
  <c r="Y58" i="19" s="1"/>
  <c r="P64" i="19"/>
  <c r="V64" i="19" s="1"/>
  <c r="S98" i="19"/>
  <c r="Y98" i="19" s="1"/>
  <c r="S56" i="19"/>
  <c r="Y56" i="19" s="1"/>
  <c r="P93" i="19"/>
  <c r="V93" i="19" s="1"/>
  <c r="S42" i="19"/>
  <c r="Y42" i="19" s="1"/>
  <c r="P75" i="19"/>
  <c r="V75" i="19" s="1"/>
  <c r="P43" i="19"/>
  <c r="V43" i="19" s="1"/>
  <c r="S99" i="19"/>
  <c r="Y99" i="19" s="1"/>
  <c r="P58" i="19"/>
  <c r="V58" i="19" s="1"/>
  <c r="S75" i="19"/>
  <c r="Y75" i="19" s="1"/>
  <c r="S71" i="19"/>
  <c r="Y71" i="19" s="1"/>
  <c r="S100" i="19"/>
  <c r="Y100" i="19" s="1"/>
  <c r="P68" i="19"/>
  <c r="V68" i="19" s="1"/>
  <c r="S81" i="19"/>
  <c r="Y81" i="19" s="1"/>
  <c r="P74" i="19"/>
  <c r="V74" i="19" s="1"/>
  <c r="S84" i="19"/>
  <c r="Y84" i="19" s="1"/>
  <c r="P99" i="19"/>
  <c r="V99" i="19" s="1"/>
  <c r="P50" i="19"/>
  <c r="V50" i="19" s="1"/>
  <c r="S88" i="19"/>
  <c r="Y88" i="19" s="1"/>
  <c r="S83" i="19"/>
  <c r="Y83" i="19" s="1"/>
  <c r="O83" i="19"/>
  <c r="U83" i="19" s="1"/>
  <c r="S43" i="19"/>
  <c r="Y43" i="19" s="1"/>
  <c r="O91" i="19"/>
  <c r="U91" i="19" s="1"/>
  <c r="P66" i="19"/>
  <c r="V66" i="19" s="1"/>
  <c r="P96" i="19"/>
  <c r="V96" i="19" s="1"/>
  <c r="O66" i="19"/>
  <c r="U66" i="19" s="1"/>
  <c r="O72" i="19"/>
  <c r="U72" i="19" s="1"/>
  <c r="S51" i="19"/>
  <c r="Y51" i="19" s="1"/>
  <c r="S66" i="19"/>
  <c r="Y66" i="19" s="1"/>
  <c r="S91" i="19"/>
  <c r="Y91" i="19" s="1"/>
  <c r="O84" i="19"/>
  <c r="U84" i="19" s="1"/>
  <c r="O80" i="19"/>
  <c r="U80" i="19" s="1"/>
  <c r="O90" i="19"/>
  <c r="U90" i="19" s="1"/>
  <c r="O58" i="19"/>
  <c r="U58" i="19" s="1"/>
  <c r="P80" i="19"/>
  <c r="V80" i="19" s="1"/>
  <c r="O98" i="19"/>
  <c r="U98" i="19" s="1"/>
  <c r="P82" i="19"/>
  <c r="V82" i="19" s="1"/>
  <c r="P83" i="19"/>
  <c r="V83" i="19" s="1"/>
  <c r="S54" i="19"/>
  <c r="Y54" i="19" s="1"/>
  <c r="P65" i="19"/>
  <c r="V65" i="19" s="1"/>
  <c r="S67" i="19"/>
  <c r="Y67" i="19" s="1"/>
  <c r="P51" i="19"/>
  <c r="V51" i="19" s="1"/>
  <c r="O75" i="19"/>
  <c r="U75" i="19" s="1"/>
  <c r="P35" i="19"/>
  <c r="V35" i="19" s="1"/>
  <c r="O92" i="19"/>
  <c r="U92" i="19" s="1"/>
  <c r="O82" i="19"/>
  <c r="U82" i="19" s="1"/>
  <c r="P42" i="19"/>
  <c r="V42" i="19" s="1"/>
  <c r="P98" i="19"/>
  <c r="V98" i="19" s="1"/>
  <c r="O74" i="19"/>
  <c r="U74" i="19" s="1"/>
  <c r="S85" i="19"/>
  <c r="Y85" i="19" s="1"/>
  <c r="P81" i="19"/>
  <c r="V81" i="19" s="1"/>
  <c r="P52" i="19"/>
  <c r="V52" i="19" s="1"/>
  <c r="O89" i="19"/>
  <c r="U89" i="19" s="1"/>
  <c r="O97" i="19"/>
  <c r="U97" i="19" s="1"/>
  <c r="P89" i="19"/>
  <c r="V89" i="19" s="1"/>
  <c r="S76" i="19"/>
  <c r="Y76" i="19" s="1"/>
  <c r="P76" i="19"/>
  <c r="V76" i="19" s="1"/>
  <c r="P62" i="19"/>
  <c r="V62" i="19" s="1"/>
  <c r="S80" i="19"/>
  <c r="Y80" i="19" s="1"/>
  <c r="P88" i="19"/>
  <c r="V88" i="19" s="1"/>
  <c r="O100" i="19"/>
  <c r="U100" i="19" s="1"/>
  <c r="S50" i="19"/>
  <c r="Y50" i="19" s="1"/>
  <c r="S90" i="19"/>
  <c r="Y90" i="19" s="1"/>
  <c r="P59" i="19"/>
  <c r="V59" i="19" s="1"/>
  <c r="S68" i="19"/>
  <c r="Y68" i="19" s="1"/>
  <c r="P90" i="19"/>
  <c r="V90" i="19" s="1"/>
  <c r="S89" i="19"/>
  <c r="Y89" i="19" s="1"/>
  <c r="P94" i="19"/>
  <c r="V94" i="19" s="1"/>
  <c r="S97" i="19"/>
  <c r="Y97" i="19" s="1"/>
  <c r="O42" i="19"/>
  <c r="U42" i="19" s="1"/>
  <c r="O99" i="19"/>
  <c r="U99" i="19" s="1"/>
  <c r="S95" i="19"/>
  <c r="Y95" i="19" s="1"/>
  <c r="O96" i="19"/>
  <c r="U96" i="19" s="1"/>
  <c r="P91" i="19"/>
  <c r="V91" i="19" s="1"/>
  <c r="P86" i="19"/>
  <c r="V86" i="19" s="1"/>
  <c r="S63" i="19"/>
  <c r="Y63" i="19" s="1"/>
  <c r="O50" i="19"/>
  <c r="U50" i="19" s="1"/>
  <c r="O76" i="19"/>
  <c r="U76" i="19" s="1"/>
  <c r="O68" i="19"/>
  <c r="U68" i="19" s="1"/>
  <c r="P95" i="19"/>
  <c r="V95" i="19" s="1"/>
  <c r="P49" i="19"/>
  <c r="V49" i="19" s="1"/>
  <c r="O73" i="19"/>
  <c r="U73" i="19" s="1"/>
  <c r="S73" i="19"/>
  <c r="Y73" i="19" s="1"/>
  <c r="O88" i="19"/>
  <c r="U88" i="19" s="1"/>
  <c r="P40" i="19"/>
  <c r="V40" i="19" s="1"/>
  <c r="O35" i="19"/>
  <c r="U35" i="19" s="1"/>
  <c r="S35" i="19"/>
  <c r="Y35" i="19" s="1"/>
  <c r="S20" i="19"/>
  <c r="Y20" i="19" s="1"/>
  <c r="S36" i="19"/>
  <c r="Y36" i="19" s="1"/>
  <c r="S96" i="19"/>
  <c r="Y96" i="19" s="1"/>
  <c r="P48" i="19"/>
  <c r="V48" i="19" s="1"/>
  <c r="S82" i="19"/>
  <c r="Y82" i="19" s="1"/>
  <c r="S86" i="19"/>
  <c r="Y86" i="19" s="1"/>
  <c r="O81" i="19"/>
  <c r="U81" i="19" s="1"/>
  <c r="S65" i="19"/>
  <c r="Y65" i="19" s="1"/>
  <c r="P24" i="19"/>
  <c r="V24" i="19" s="1"/>
  <c r="P78" i="19"/>
  <c r="V78" i="19" s="1"/>
  <c r="S60" i="19"/>
  <c r="Y60" i="19" s="1"/>
  <c r="S40" i="19"/>
  <c r="Y40" i="19" s="1"/>
  <c r="S24" i="19"/>
  <c r="Y24" i="19" s="1"/>
  <c r="S41" i="19"/>
  <c r="Y41" i="19" s="1"/>
  <c r="P41" i="19"/>
  <c r="V41" i="19" s="1"/>
  <c r="S34" i="19"/>
  <c r="Y34" i="19" s="1"/>
  <c r="P27" i="19"/>
  <c r="V27" i="19" s="1"/>
  <c r="P16" i="19"/>
  <c r="V16" i="19" s="1"/>
  <c r="S26" i="19"/>
  <c r="Y26" i="19" s="1"/>
  <c r="S16" i="19"/>
  <c r="Y16" i="19" s="1"/>
  <c r="P21" i="19"/>
  <c r="V21" i="19" s="1"/>
  <c r="P10" i="19"/>
  <c r="V10" i="19" s="1"/>
  <c r="S15" i="19"/>
  <c r="Y15" i="19" s="1"/>
  <c r="P11" i="19"/>
  <c r="V11" i="19" s="1"/>
  <c r="P26" i="19"/>
  <c r="V26" i="19" s="1"/>
  <c r="S12" i="19"/>
  <c r="Y12" i="19" s="1"/>
  <c r="P38" i="19"/>
  <c r="V38" i="19" s="1"/>
  <c r="S10" i="19"/>
  <c r="Y10" i="19" s="1"/>
  <c r="O36" i="19"/>
  <c r="U36" i="19" s="1"/>
  <c r="S17" i="19"/>
  <c r="Y17" i="19" s="1"/>
  <c r="S32" i="19"/>
  <c r="Y32" i="19" s="1"/>
  <c r="S8" i="19"/>
  <c r="Y8" i="19" s="1"/>
  <c r="P34" i="19"/>
  <c r="V34" i="19" s="1"/>
  <c r="P32" i="19"/>
  <c r="V32" i="19" s="1"/>
  <c r="P19" i="19"/>
  <c r="V19" i="19" s="1"/>
  <c r="O40" i="19"/>
  <c r="U40" i="19" s="1"/>
  <c r="O34" i="19"/>
  <c r="U34" i="19" s="1"/>
  <c r="P12" i="19"/>
  <c r="V12" i="19" s="1"/>
  <c r="P17" i="19"/>
  <c r="V17" i="19" s="1"/>
  <c r="P36" i="19"/>
  <c r="V36" i="19" s="1"/>
  <c r="O19" i="19"/>
  <c r="U19" i="19" s="1"/>
  <c r="O20" i="19"/>
  <c r="U20" i="19" s="1"/>
  <c r="S19" i="19"/>
  <c r="Y19" i="19" s="1"/>
  <c r="O24" i="19"/>
  <c r="U24" i="19" s="1"/>
  <c r="O8" i="19"/>
  <c r="U8" i="19" s="1"/>
  <c r="P8" i="19"/>
  <c r="V8" i="19" s="1"/>
  <c r="S25" i="19"/>
  <c r="Y25" i="19" s="1"/>
  <c r="O12" i="19"/>
  <c r="U12" i="19" s="1"/>
  <c r="P20" i="19"/>
  <c r="V20" i="19" s="1"/>
  <c r="P18" i="19"/>
  <c r="V18" i="19" s="1"/>
  <c r="O16" i="19"/>
  <c r="U16" i="19" s="1"/>
  <c r="O26" i="19"/>
  <c r="U26" i="19" s="1"/>
  <c r="S18" i="19"/>
  <c r="Y18" i="19" s="1"/>
  <c r="O32" i="19"/>
  <c r="U32" i="19" s="1"/>
  <c r="S11" i="19"/>
  <c r="Y11" i="19" s="1"/>
  <c r="O18" i="19"/>
  <c r="U18" i="19" s="1"/>
  <c r="O28" i="19"/>
  <c r="U28" i="19" s="1"/>
  <c r="S27" i="19"/>
  <c r="Y27" i="19" s="1"/>
  <c r="O10" i="19"/>
  <c r="U10" i="19" s="1"/>
  <c r="P25" i="19"/>
  <c r="V25" i="19" s="1"/>
  <c r="O27" i="19"/>
  <c r="U27" i="19" s="1"/>
  <c r="S22" i="19"/>
  <c r="Y22" i="19" s="1"/>
  <c r="O11" i="19"/>
  <c r="U11" i="19" s="1"/>
  <c r="O4" i="19"/>
  <c r="U4" i="19" s="1"/>
  <c r="S13" i="19"/>
  <c r="Y13" i="19" s="1"/>
  <c r="P60" i="19"/>
  <c r="V60" i="19" s="1"/>
  <c r="P37" i="19"/>
  <c r="V37" i="19" s="1"/>
  <c r="O17" i="19"/>
  <c r="U17" i="19" s="1"/>
  <c r="S9" i="19"/>
  <c r="Y9" i="19" s="1"/>
  <c r="S59" i="19"/>
  <c r="Y59" i="19" s="1"/>
  <c r="S64" i="19"/>
  <c r="Y64" i="19" s="1"/>
  <c r="O65" i="19"/>
  <c r="U65" i="19" s="1"/>
  <c r="S49" i="19"/>
  <c r="Y49" i="19" s="1"/>
  <c r="S44" i="19"/>
  <c r="Y44" i="19" s="1"/>
  <c r="O64" i="19"/>
  <c r="U64" i="19" s="1"/>
  <c r="P73" i="19"/>
  <c r="V73" i="19" s="1"/>
  <c r="P31" i="19"/>
  <c r="V31" i="19" s="1"/>
  <c r="O9" i="19"/>
  <c r="U9" i="19" s="1"/>
  <c r="S21" i="19"/>
  <c r="Y21" i="19" s="1"/>
  <c r="S87" i="19"/>
  <c r="Y87" i="19" s="1"/>
  <c r="S31" i="19"/>
  <c r="Y31" i="19" s="1"/>
  <c r="P9" i="19"/>
  <c r="V9" i="19" s="1"/>
  <c r="O67" i="19"/>
  <c r="U67" i="19" s="1"/>
  <c r="S79" i="19"/>
  <c r="Y79" i="19" s="1"/>
  <c r="P79" i="19"/>
  <c r="V79" i="19" s="1"/>
  <c r="O25" i="19"/>
  <c r="U25" i="19" s="1"/>
  <c r="O60" i="19"/>
  <c r="U60" i="19" s="1"/>
  <c r="O49" i="19"/>
  <c r="U49" i="19" s="1"/>
  <c r="O33" i="19"/>
  <c r="U33" i="19" s="1"/>
  <c r="O41" i="19"/>
  <c r="U41" i="19" s="1"/>
  <c r="P39" i="19"/>
  <c r="V39" i="19" s="1"/>
  <c r="O63" i="19"/>
  <c r="U63" i="19" s="1"/>
  <c r="P46" i="19"/>
  <c r="V46" i="19" s="1"/>
  <c r="S5" i="19"/>
  <c r="Y5" i="19" s="1"/>
  <c r="S37" i="19"/>
  <c r="Y37" i="19" s="1"/>
  <c r="O21" i="19"/>
  <c r="U21" i="19" s="1"/>
  <c r="O29" i="19"/>
  <c r="U29" i="19" s="1"/>
  <c r="P22" i="19"/>
  <c r="V22" i="19" s="1"/>
  <c r="S52" i="19"/>
  <c r="Y52" i="19" s="1"/>
  <c r="O79" i="19"/>
  <c r="U79" i="19" s="1"/>
  <c r="O57" i="19"/>
  <c r="U57" i="19" s="1"/>
  <c r="O71" i="19"/>
  <c r="U71" i="19" s="1"/>
  <c r="O95" i="19"/>
  <c r="U95" i="19" s="1"/>
  <c r="O44" i="19"/>
  <c r="U44" i="19" s="1"/>
  <c r="S70" i="19"/>
  <c r="Y70" i="19" s="1"/>
  <c r="S94" i="19"/>
  <c r="Y94" i="19" s="1"/>
  <c r="S46" i="19"/>
  <c r="Y46" i="19" s="1"/>
  <c r="P54" i="19"/>
  <c r="V54" i="19" s="1"/>
  <c r="P87" i="19"/>
  <c r="V87" i="19" s="1"/>
  <c r="O15" i="19"/>
  <c r="U15" i="19" s="1"/>
  <c r="S101" i="19"/>
  <c r="Y101" i="19" s="1"/>
  <c r="P47" i="19"/>
  <c r="V47" i="19" s="1"/>
  <c r="P23" i="19"/>
  <c r="V23" i="19" s="1"/>
  <c r="S47" i="19"/>
  <c r="Y47" i="19" s="1"/>
  <c r="S7" i="19"/>
  <c r="Y7" i="19" s="1"/>
  <c r="S23" i="19"/>
  <c r="Y23" i="19" s="1"/>
  <c r="P44" i="19"/>
  <c r="V44" i="19" s="1"/>
  <c r="O13" i="19"/>
  <c r="U13" i="19" s="1"/>
  <c r="O5" i="19"/>
  <c r="U5" i="19" s="1"/>
  <c r="O55" i="19"/>
  <c r="U55" i="19" s="1"/>
  <c r="O87" i="19"/>
  <c r="U87" i="19" s="1"/>
  <c r="S48" i="19"/>
  <c r="Y48" i="19" s="1"/>
  <c r="P7" i="19"/>
  <c r="V7" i="19" s="1"/>
  <c r="O43" i="19"/>
  <c r="U43" i="19" s="1"/>
  <c r="S55" i="19"/>
  <c r="Y55" i="19" s="1"/>
  <c r="O31" i="19"/>
  <c r="U31" i="19" s="1"/>
  <c r="P55" i="19"/>
  <c r="V55" i="19" s="1"/>
  <c r="O14" i="19"/>
  <c r="U14" i="19" s="1"/>
  <c r="O23" i="19"/>
  <c r="U23" i="19" s="1"/>
  <c r="S78" i="19"/>
  <c r="Y78" i="19" s="1"/>
  <c r="P63" i="19"/>
  <c r="V63" i="19" s="1"/>
  <c r="P53" i="19"/>
  <c r="V53" i="19" s="1"/>
  <c r="P69" i="19"/>
  <c r="V69" i="19" s="1"/>
  <c r="O46" i="19"/>
  <c r="U46" i="19" s="1"/>
  <c r="S39" i="19"/>
  <c r="Y39" i="19" s="1"/>
  <c r="O56" i="19"/>
  <c r="U56" i="19" s="1"/>
  <c r="O22" i="19"/>
  <c r="U22" i="19" s="1"/>
  <c r="O52" i="19"/>
  <c r="U52" i="19" s="1"/>
  <c r="O37" i="19"/>
  <c r="U37" i="19" s="1"/>
  <c r="P71" i="19"/>
  <c r="V71" i="19" s="1"/>
  <c r="P14" i="19"/>
  <c r="V14" i="19" s="1"/>
  <c r="O30" i="19"/>
  <c r="U30" i="19" s="1"/>
  <c r="O38" i="19"/>
  <c r="U38" i="19" s="1"/>
  <c r="S30" i="19"/>
  <c r="Y30" i="19" s="1"/>
  <c r="O6" i="19"/>
  <c r="U6" i="19" s="1"/>
  <c r="O54" i="19"/>
  <c r="U54" i="19" s="1"/>
  <c r="S14" i="19"/>
  <c r="Y14" i="19" s="1"/>
  <c r="P30" i="19"/>
  <c r="V30" i="19" s="1"/>
  <c r="O7" i="19"/>
  <c r="U7" i="19" s="1"/>
  <c r="O47" i="19"/>
  <c r="U47" i="19" s="1"/>
  <c r="O39" i="19"/>
  <c r="U39" i="19" s="1"/>
  <c r="P15" i="19"/>
  <c r="V15" i="19" s="1"/>
  <c r="O3" i="19"/>
  <c r="U3" i="19" s="1"/>
  <c r="W429" i="19"/>
  <c r="B434" i="19" s="1"/>
  <c r="E4" i="20" s="1"/>
  <c r="T429" i="19"/>
  <c r="B432" i="19" s="1"/>
  <c r="E2" i="20" s="1"/>
  <c r="X429" i="19"/>
  <c r="B433" i="19" s="1"/>
  <c r="S6" i="19"/>
  <c r="Y6" i="19" s="1"/>
  <c r="P6" i="19"/>
  <c r="V6" i="19" s="1"/>
  <c r="O59" i="19"/>
  <c r="U59" i="19" s="1"/>
  <c r="O85" i="19"/>
  <c r="U85" i="19" s="1"/>
  <c r="S62" i="19"/>
  <c r="Y62" i="19" s="1"/>
  <c r="O78" i="19"/>
  <c r="U78" i="19" s="1"/>
  <c r="P70" i="19"/>
  <c r="V70" i="19" s="1"/>
  <c r="O48" i="19"/>
  <c r="U48" i="19" s="1"/>
  <c r="S45" i="19"/>
  <c r="Y45" i="19" s="1"/>
  <c r="S61" i="19"/>
  <c r="Y61" i="19" s="1"/>
  <c r="P61" i="19"/>
  <c r="V61" i="19" s="1"/>
  <c r="O101" i="19"/>
  <c r="U101" i="19" s="1"/>
  <c r="S38" i="19"/>
  <c r="Y38" i="19" s="1"/>
  <c r="O62" i="19"/>
  <c r="U62" i="19" s="1"/>
  <c r="O86" i="19"/>
  <c r="U86" i="19" s="1"/>
  <c r="O70" i="19"/>
  <c r="U70" i="19" s="1"/>
  <c r="O94" i="19"/>
  <c r="U94" i="19" s="1"/>
  <c r="O51" i="19"/>
  <c r="U51" i="19" s="1"/>
  <c r="P85" i="19"/>
  <c r="V85" i="19" s="1"/>
  <c r="P101" i="19"/>
  <c r="V101" i="19" s="1"/>
  <c r="O93" i="19"/>
  <c r="U93" i="19" s="1"/>
  <c r="O69" i="19"/>
  <c r="U69" i="19" s="1"/>
  <c r="P77" i="19"/>
  <c r="V77" i="19" s="1"/>
  <c r="S93" i="19"/>
  <c r="Y93" i="19" s="1"/>
  <c r="P45" i="19"/>
  <c r="V45" i="19" s="1"/>
  <c r="S69" i="19"/>
  <c r="Y69" i="19" s="1"/>
  <c r="O77" i="19"/>
  <c r="U77" i="19" s="1"/>
  <c r="O45" i="19"/>
  <c r="U45" i="19" s="1"/>
  <c r="O61" i="19"/>
  <c r="U61" i="19" s="1"/>
  <c r="S77" i="19"/>
  <c r="Y77" i="19" s="1"/>
  <c r="O53" i="19"/>
  <c r="U53" i="19" s="1"/>
  <c r="V429" i="19" l="1"/>
  <c r="B435" i="19" s="1"/>
  <c r="E7" i="20" s="1"/>
  <c r="Y429" i="19"/>
  <c r="B436" i="19" s="1"/>
  <c r="E6" i="20" s="1"/>
  <c r="E5" i="20"/>
  <c r="U429" i="19"/>
  <c r="BO22" i="1"/>
  <c r="BO21" i="1"/>
  <c r="A29" i="9"/>
  <c r="A28" i="9"/>
  <c r="A27" i="9"/>
  <c r="A26" i="9"/>
  <c r="A23" i="9"/>
  <c r="A20" i="9"/>
  <c r="A19" i="9"/>
  <c r="A18" i="9"/>
  <c r="A17" i="9"/>
  <c r="V3" i="9"/>
  <c r="B25" i="9" s="1"/>
  <c r="U3" i="9"/>
  <c r="P3" i="9"/>
  <c r="B23" i="9" s="1"/>
  <c r="O3" i="9"/>
  <c r="M3" i="9"/>
  <c r="B18" i="9" s="1"/>
  <c r="K3" i="9"/>
  <c r="A5" i="9" s="1"/>
  <c r="BS91" i="1"/>
  <c r="BS92" i="1"/>
  <c r="BS93" i="1"/>
  <c r="BS94" i="1"/>
  <c r="BS95" i="1"/>
  <c r="BS90" i="1"/>
  <c r="CC90" i="1"/>
  <c r="CE90" i="1"/>
  <c r="CC91" i="1"/>
  <c r="CE91" i="1"/>
  <c r="CC92" i="1"/>
  <c r="CE92" i="1"/>
  <c r="CC93" i="1"/>
  <c r="CE93" i="1"/>
  <c r="CC94" i="1"/>
  <c r="CE94" i="1"/>
  <c r="CC95" i="1"/>
  <c r="CE95" i="1"/>
  <c r="BW91" i="1"/>
  <c r="CD91" i="1" s="1"/>
  <c r="BW92" i="1"/>
  <c r="CD92" i="1" s="1"/>
  <c r="BW93" i="1"/>
  <c r="CD93" i="1" s="1"/>
  <c r="BW94" i="1"/>
  <c r="CD94" i="1" s="1"/>
  <c r="BW95" i="1"/>
  <c r="CD95" i="1" s="1"/>
  <c r="BW90" i="1"/>
  <c r="CD90" i="1" s="1"/>
  <c r="BU91" i="1"/>
  <c r="BZ91" i="1" s="1"/>
  <c r="BU92" i="1"/>
  <c r="BZ92" i="1" s="1"/>
  <c r="BU93" i="1"/>
  <c r="BZ93" i="1" s="1"/>
  <c r="BU94" i="1"/>
  <c r="BZ94" i="1" s="1"/>
  <c r="BU95" i="1"/>
  <c r="BZ95" i="1" s="1"/>
  <c r="BU90" i="1"/>
  <c r="BZ90" i="1" s="1"/>
  <c r="BY91" i="1"/>
  <c r="BY92" i="1"/>
  <c r="BY93" i="1"/>
  <c r="BY94" i="1"/>
  <c r="BY95" i="1"/>
  <c r="BY90" i="1"/>
  <c r="CE33" i="7"/>
  <c r="CE34" i="7"/>
  <c r="CE35" i="7"/>
  <c r="CE36" i="7"/>
  <c r="CE37" i="7"/>
  <c r="CC33" i="7"/>
  <c r="CC34" i="7"/>
  <c r="CC35" i="7"/>
  <c r="CC36" i="7"/>
  <c r="CC37" i="7"/>
  <c r="CC32" i="7"/>
  <c r="BX33" i="7"/>
  <c r="BX34" i="7"/>
  <c r="BX35" i="7"/>
  <c r="BX36" i="7"/>
  <c r="BX37" i="7"/>
  <c r="BX32" i="7"/>
  <c r="CE32" i="7"/>
  <c r="Y33" i="7"/>
  <c r="Y34" i="7"/>
  <c r="Y35" i="7"/>
  <c r="Y36" i="7"/>
  <c r="Y37" i="7"/>
  <c r="Y32" i="7"/>
  <c r="Y24" i="7"/>
  <c r="BT33" i="1"/>
  <c r="CC33" i="1"/>
  <c r="BX33" i="1"/>
  <c r="CE33" i="1" s="1"/>
  <c r="BW33" i="1"/>
  <c r="CD33" i="1" s="1"/>
  <c r="BV33" i="1"/>
  <c r="BU33" i="1"/>
  <c r="BR35" i="1"/>
  <c r="CC35" i="1" s="1"/>
  <c r="BR36" i="1"/>
  <c r="CC36" i="1" s="1"/>
  <c r="BR34" i="1"/>
  <c r="CC34" i="1" s="1"/>
  <c r="BO35" i="1"/>
  <c r="BU35" i="1"/>
  <c r="BZ35" i="1" s="1"/>
  <c r="BV35" i="1"/>
  <c r="BW35" i="1"/>
  <c r="CD35" i="1" s="1"/>
  <c r="BX35" i="1"/>
  <c r="CE35" i="1" s="1"/>
  <c r="BO36" i="1"/>
  <c r="BU36" i="1"/>
  <c r="BZ36" i="1" s="1"/>
  <c r="BV36" i="1"/>
  <c r="BW36" i="1"/>
  <c r="CD36" i="1" s="1"/>
  <c r="BX36" i="1"/>
  <c r="CE36" i="1" s="1"/>
  <c r="BX34" i="1"/>
  <c r="CE34" i="1" s="1"/>
  <c r="BW34" i="1"/>
  <c r="CD34" i="1" s="1"/>
  <c r="BV34" i="1"/>
  <c r="BU34" i="1"/>
  <c r="BZ34" i="1" s="1"/>
  <c r="BO34" i="1"/>
  <c r="BU25" i="1"/>
  <c r="BZ25" i="1" s="1"/>
  <c r="BV25" i="1"/>
  <c r="BW25" i="1"/>
  <c r="CD25" i="1" s="1"/>
  <c r="BX25" i="1"/>
  <c r="CE25" i="1" s="1"/>
  <c r="BU26" i="1"/>
  <c r="BZ26" i="1" s="1"/>
  <c r="BV26" i="1"/>
  <c r="BW26" i="1"/>
  <c r="CD26" i="1" s="1"/>
  <c r="BX26" i="1"/>
  <c r="CE26" i="1" s="1"/>
  <c r="BU27" i="1"/>
  <c r="BV27" i="1"/>
  <c r="BW27" i="1"/>
  <c r="CD27" i="1" s="1"/>
  <c r="BX27" i="1"/>
  <c r="CE27" i="1" s="1"/>
  <c r="BO25" i="1"/>
  <c r="BR25" i="1"/>
  <c r="CC25" i="1" s="1"/>
  <c r="BO26" i="1"/>
  <c r="BR26" i="1"/>
  <c r="CC26" i="1" s="1"/>
  <c r="BO27" i="1"/>
  <c r="BR27" i="1"/>
  <c r="BX24" i="1"/>
  <c r="CE24" i="1" s="1"/>
  <c r="BW24" i="1"/>
  <c r="CD24" i="1" s="1"/>
  <c r="BV24" i="1"/>
  <c r="BU24" i="1"/>
  <c r="BZ24" i="1" s="1"/>
  <c r="BO24" i="1"/>
  <c r="BR24" i="1"/>
  <c r="CC24" i="1" s="1"/>
  <c r="CC4" i="7"/>
  <c r="BS100" i="1"/>
  <c r="CA100" i="1"/>
  <c r="BZ100" i="1"/>
  <c r="BY100" i="1"/>
  <c r="BV100" i="1"/>
  <c r="BT100" i="1"/>
  <c r="BP100" i="1"/>
  <c r="B431" i="19" l="1"/>
  <c r="E3" i="20" s="1"/>
  <c r="AB3" i="9"/>
  <c r="B12" i="9" s="1"/>
  <c r="B29" i="9"/>
  <c r="CA94" i="1"/>
  <c r="BZ27" i="1"/>
  <c r="BZ33" i="1"/>
  <c r="CC27" i="1"/>
  <c r="B20" i="9"/>
  <c r="CA91" i="1"/>
  <c r="CA93" i="1"/>
  <c r="CA90" i="1"/>
  <c r="CA95" i="1"/>
  <c r="CA92" i="1"/>
  <c r="CA33" i="1"/>
  <c r="CA24" i="1"/>
  <c r="CA26" i="1"/>
  <c r="CA36" i="1"/>
  <c r="CA27" i="1"/>
  <c r="CA25" i="1"/>
  <c r="CA34" i="1"/>
  <c r="CA35" i="1"/>
  <c r="Z26" i="7"/>
  <c r="Z27" i="7"/>
  <c r="Z28" i="7"/>
  <c r="Z29" i="7"/>
  <c r="Z30" i="7"/>
  <c r="Z31" i="7"/>
  <c r="Z25" i="7"/>
  <c r="Y19" i="7"/>
  <c r="Y20" i="7"/>
  <c r="Y21" i="7"/>
  <c r="Y22" i="7"/>
  <c r="Y23" i="7"/>
  <c r="Y18" i="7"/>
  <c r="Z12" i="7"/>
  <c r="Z13" i="7"/>
  <c r="Z14" i="7"/>
  <c r="Z15" i="7"/>
  <c r="Z16" i="7"/>
  <c r="Z17" i="7"/>
  <c r="Z11" i="7"/>
  <c r="Y5" i="7"/>
  <c r="Y6" i="7"/>
  <c r="Y7" i="7"/>
  <c r="Y8" i="7"/>
  <c r="Y9" i="7"/>
  <c r="Y10" i="7"/>
  <c r="Y4" i="7"/>
  <c r="CE31" i="7"/>
  <c r="CD31" i="7"/>
  <c r="CC31" i="7"/>
  <c r="CA31" i="7"/>
  <c r="BZ31" i="7"/>
  <c r="BY31" i="7"/>
  <c r="BX31" i="7"/>
  <c r="O31" i="7"/>
  <c r="CU30" i="7"/>
  <c r="CO30" i="7"/>
  <c r="CE30" i="7"/>
  <c r="CD30" i="7"/>
  <c r="CC30" i="7"/>
  <c r="CA30" i="7"/>
  <c r="BZ30" i="7"/>
  <c r="BY30" i="7"/>
  <c r="BX30" i="7"/>
  <c r="O30" i="7"/>
  <c r="CE29" i="7"/>
  <c r="CD29" i="7"/>
  <c r="CC29" i="7"/>
  <c r="CA29" i="7"/>
  <c r="BZ29" i="7"/>
  <c r="BY29" i="7"/>
  <c r="BX29" i="7"/>
  <c r="O29" i="7"/>
  <c r="CS28" i="7"/>
  <c r="CR28" i="7"/>
  <c r="CP28" i="7"/>
  <c r="CO28" i="7"/>
  <c r="CN28" i="7"/>
  <c r="CE28" i="7"/>
  <c r="CD28" i="7"/>
  <c r="CC28" i="7"/>
  <c r="CA28" i="7"/>
  <c r="BZ28" i="7"/>
  <c r="BY28" i="7"/>
  <c r="BX28" i="7"/>
  <c r="O28" i="7"/>
  <c r="CS27" i="7"/>
  <c r="CR27" i="7"/>
  <c r="CP27" i="7"/>
  <c r="CO27" i="7"/>
  <c r="CN27" i="7"/>
  <c r="CE27" i="7"/>
  <c r="CD27" i="7"/>
  <c r="CC27" i="7"/>
  <c r="CB27" i="7"/>
  <c r="BX27" i="7"/>
  <c r="O27" i="7"/>
  <c r="CE26" i="7"/>
  <c r="CD26" i="7"/>
  <c r="CC26" i="7"/>
  <c r="CB26" i="7"/>
  <c r="BX26" i="7"/>
  <c r="O26" i="7"/>
  <c r="CE25" i="7"/>
  <c r="CD25" i="7"/>
  <c r="CC25" i="7"/>
  <c r="CB25" i="7"/>
  <c r="BX25" i="7"/>
  <c r="O25" i="7"/>
  <c r="CE24" i="7"/>
  <c r="CD24" i="7"/>
  <c r="CA24" i="7"/>
  <c r="CC24" i="7" s="1"/>
  <c r="BZ24" i="7"/>
  <c r="BY24" i="7"/>
  <c r="BX24" i="7"/>
  <c r="O24" i="7"/>
  <c r="CU23" i="7"/>
  <c r="CO23" i="7"/>
  <c r="CE23" i="7"/>
  <c r="CD23" i="7"/>
  <c r="CC23" i="7"/>
  <c r="CA23" i="7"/>
  <c r="BZ23" i="7"/>
  <c r="BY23" i="7"/>
  <c r="BX23" i="7"/>
  <c r="O23" i="7"/>
  <c r="CE22" i="7"/>
  <c r="CD22" i="7"/>
  <c r="CC22" i="7"/>
  <c r="CA22" i="7"/>
  <c r="BZ22" i="7"/>
  <c r="BY22" i="7"/>
  <c r="BX22" i="7"/>
  <c r="O22" i="7"/>
  <c r="CS21" i="7"/>
  <c r="CR21" i="7"/>
  <c r="CP21" i="7"/>
  <c r="CO21" i="7"/>
  <c r="CN21" i="7"/>
  <c r="CE21" i="7"/>
  <c r="CD21" i="7"/>
  <c r="CA21" i="7"/>
  <c r="BZ21" i="7"/>
  <c r="BY21" i="7"/>
  <c r="CC21" i="7" s="1"/>
  <c r="BX21" i="7"/>
  <c r="O21" i="7"/>
  <c r="CS20" i="7"/>
  <c r="CR20" i="7"/>
  <c r="CP20" i="7"/>
  <c r="CO20" i="7"/>
  <c r="CN20" i="7"/>
  <c r="CE20" i="7"/>
  <c r="CD20" i="7"/>
  <c r="CC20" i="7"/>
  <c r="CB20" i="7"/>
  <c r="BX20" i="7"/>
  <c r="O20" i="7"/>
  <c r="CE19" i="7"/>
  <c r="CD19" i="7"/>
  <c r="CC19" i="7"/>
  <c r="CB19" i="7"/>
  <c r="BX19" i="7"/>
  <c r="O19" i="7"/>
  <c r="CE18" i="7"/>
  <c r="CD18" i="7"/>
  <c r="CB18" i="7"/>
  <c r="CC18" i="7" s="1"/>
  <c r="BX18" i="7"/>
  <c r="O18" i="7"/>
  <c r="O5" i="7"/>
  <c r="O6" i="7"/>
  <c r="O7" i="7"/>
  <c r="O8" i="7"/>
  <c r="O9" i="7"/>
  <c r="O10" i="7"/>
  <c r="O11" i="7"/>
  <c r="O12" i="7"/>
  <c r="O13" i="7"/>
  <c r="O14" i="7"/>
  <c r="O15" i="7"/>
  <c r="O16" i="7"/>
  <c r="O17" i="7"/>
  <c r="O4" i="7"/>
  <c r="CE17" i="7"/>
  <c r="CD17" i="7"/>
  <c r="CA17" i="7"/>
  <c r="BZ17" i="7"/>
  <c r="BY17" i="7"/>
  <c r="BX17" i="7"/>
  <c r="CU16" i="7"/>
  <c r="CO16" i="7"/>
  <c r="CE16" i="7"/>
  <c r="CD16" i="7"/>
  <c r="CA16" i="7"/>
  <c r="BZ16" i="7"/>
  <c r="BY16" i="7"/>
  <c r="BX16" i="7"/>
  <c r="CE15" i="7"/>
  <c r="CD15" i="7"/>
  <c r="CA15" i="7"/>
  <c r="BZ15" i="7"/>
  <c r="BY15" i="7"/>
  <c r="BX15" i="7"/>
  <c r="CS14" i="7"/>
  <c r="CR14" i="7"/>
  <c r="CP14" i="7"/>
  <c r="CO14" i="7"/>
  <c r="CN14" i="7"/>
  <c r="CE14" i="7"/>
  <c r="CD14" i="7"/>
  <c r="CA14" i="7"/>
  <c r="BZ14" i="7"/>
  <c r="BY14" i="7"/>
  <c r="BX14" i="7"/>
  <c r="CS13" i="7"/>
  <c r="CR13" i="7"/>
  <c r="CP13" i="7"/>
  <c r="CO13" i="7"/>
  <c r="CN13" i="7"/>
  <c r="CE13" i="7"/>
  <c r="CD13" i="7"/>
  <c r="CB13" i="7"/>
  <c r="CC13" i="7" s="1"/>
  <c r="BX13" i="7"/>
  <c r="CE12" i="7"/>
  <c r="CD12" i="7"/>
  <c r="CB12" i="7"/>
  <c r="CC12" i="7" s="1"/>
  <c r="BX12" i="7"/>
  <c r="CE11" i="7"/>
  <c r="CD11" i="7"/>
  <c r="CB11" i="7"/>
  <c r="CC11" i="7" s="1"/>
  <c r="BX11" i="7"/>
  <c r="CE10" i="7"/>
  <c r="CD10" i="7"/>
  <c r="CA10" i="7"/>
  <c r="BZ10" i="7"/>
  <c r="BY10" i="7"/>
  <c r="BX10" i="7"/>
  <c r="CU9" i="7"/>
  <c r="CO9" i="7"/>
  <c r="CE9" i="7"/>
  <c r="CD9" i="7"/>
  <c r="CA9" i="7"/>
  <c r="BZ9" i="7"/>
  <c r="BY9" i="7"/>
  <c r="BX9" i="7"/>
  <c r="CE8" i="7"/>
  <c r="CD8" i="7"/>
  <c r="CA8" i="7"/>
  <c r="BZ8" i="7"/>
  <c r="BY8" i="7"/>
  <c r="CC8" i="7" s="1"/>
  <c r="BX8" i="7"/>
  <c r="CS7" i="7"/>
  <c r="CR7" i="7"/>
  <c r="CP7" i="7"/>
  <c r="CO7" i="7"/>
  <c r="CN7" i="7"/>
  <c r="CE7" i="7"/>
  <c r="CD7" i="7"/>
  <c r="CA7" i="7"/>
  <c r="BZ7" i="7"/>
  <c r="BY7" i="7"/>
  <c r="BX7" i="7"/>
  <c r="CS6" i="7"/>
  <c r="CR6" i="7"/>
  <c r="CP6" i="7"/>
  <c r="CO6" i="7"/>
  <c r="CN6" i="7"/>
  <c r="CE6" i="7"/>
  <c r="CD6" i="7"/>
  <c r="CB6" i="7"/>
  <c r="CC6" i="7" s="1"/>
  <c r="BX6" i="7"/>
  <c r="CE5" i="7"/>
  <c r="CD5" i="7"/>
  <c r="CB5" i="7"/>
  <c r="CC5" i="7" s="1"/>
  <c r="BX5" i="7"/>
  <c r="CE4" i="7"/>
  <c r="CD4" i="7"/>
  <c r="CB4" i="7"/>
  <c r="BX4" i="7"/>
  <c r="CU3" i="7"/>
  <c r="BT4" i="1"/>
  <c r="BT5" i="1"/>
  <c r="BT6" i="1"/>
  <c r="BT7" i="1"/>
  <c r="BT8" i="1"/>
  <c r="BT9" i="1"/>
  <c r="BT10" i="1"/>
  <c r="BT11" i="1"/>
  <c r="BT12" i="1"/>
  <c r="BT13" i="1"/>
  <c r="BT14" i="1"/>
  <c r="BT15" i="1"/>
  <c r="BT16" i="1"/>
  <c r="BT17" i="1"/>
  <c r="BT18" i="1"/>
  <c r="BT19" i="1"/>
  <c r="BT20" i="1"/>
  <c r="BT21" i="1"/>
  <c r="BT22" i="1"/>
  <c r="BT23" i="1"/>
  <c r="BT28" i="1"/>
  <c r="BT29" i="1"/>
  <c r="BT30" i="1"/>
  <c r="BT31" i="1"/>
  <c r="BT32" i="1"/>
  <c r="BT37" i="1"/>
  <c r="BT38" i="1"/>
  <c r="BT39" i="1"/>
  <c r="BT40" i="1"/>
  <c r="BT41" i="1"/>
  <c r="BT42" i="1"/>
  <c r="BT43" i="1"/>
  <c r="BT44" i="1"/>
  <c r="BT45" i="1"/>
  <c r="BT46" i="1"/>
  <c r="BT47" i="1"/>
  <c r="BT48" i="1"/>
  <c r="BT49" i="1"/>
  <c r="BT50" i="1"/>
  <c r="BT51" i="1"/>
  <c r="BT52" i="1"/>
  <c r="BT54" i="1"/>
  <c r="BT56" i="1"/>
  <c r="BT57" i="1"/>
  <c r="BT58" i="1"/>
  <c r="BT60" i="1"/>
  <c r="BT61" i="1"/>
  <c r="BT62" i="1"/>
  <c r="BT63" i="1"/>
  <c r="BT64" i="1"/>
  <c r="BT65" i="1"/>
  <c r="BT66" i="1"/>
  <c r="BT67" i="1"/>
  <c r="BT68" i="1"/>
  <c r="BT69" i="1"/>
  <c r="BT70" i="1"/>
  <c r="BT71" i="1"/>
  <c r="BT72" i="1"/>
  <c r="BT73" i="1"/>
  <c r="BT74" i="1"/>
  <c r="BT75" i="1"/>
  <c r="BT76" i="1"/>
  <c r="BT77" i="1"/>
  <c r="BT78" i="1"/>
  <c r="BT79" i="1"/>
  <c r="BT81" i="1"/>
  <c r="BT82" i="1"/>
  <c r="BT83" i="1"/>
  <c r="BT84" i="1"/>
  <c r="BT85" i="1"/>
  <c r="BT86" i="1"/>
  <c r="BT87" i="1"/>
  <c r="BT88" i="1"/>
  <c r="BT89" i="1"/>
  <c r="BT96" i="1"/>
  <c r="BT97" i="1"/>
  <c r="BT98" i="1"/>
  <c r="BT101" i="1"/>
  <c r="BT102" i="1"/>
  <c r="BT103" i="1"/>
  <c r="BT104" i="1"/>
  <c r="BT105" i="1"/>
  <c r="BT106" i="1"/>
  <c r="BT107" i="1"/>
  <c r="BT108" i="1"/>
  <c r="BT109" i="1"/>
  <c r="BT110" i="1"/>
  <c r="BT111" i="1"/>
  <c r="BT112" i="1"/>
  <c r="BT113" i="1"/>
  <c r="BT114" i="1"/>
  <c r="BT115" i="1"/>
  <c r="BT116" i="1"/>
  <c r="BT117" i="1"/>
  <c r="BT118" i="1"/>
  <c r="BT121" i="1"/>
  <c r="BT122" i="1"/>
  <c r="BT123" i="1"/>
  <c r="BT124" i="1"/>
  <c r="BT129" i="1"/>
  <c r="BT128" i="1"/>
  <c r="BT3" i="1"/>
  <c r="B438" i="19" l="1"/>
  <c r="AI3" i="9"/>
  <c r="C12" i="9" s="1"/>
  <c r="Q3" i="9"/>
  <c r="CC17" i="7"/>
  <c r="CC14" i="7"/>
  <c r="CC15" i="7"/>
  <c r="CC16" i="7"/>
  <c r="CC9" i="7"/>
  <c r="CC10" i="7"/>
  <c r="CC7" i="7"/>
  <c r="B22" i="9" l="1"/>
  <c r="Y3" i="9"/>
  <c r="AF3" i="9" s="1"/>
  <c r="Z3" i="9"/>
  <c r="BW22" i="1"/>
  <c r="CD22" i="1" s="1"/>
  <c r="BW21" i="1"/>
  <c r="CF60" i="1"/>
  <c r="CG43" i="1"/>
  <c r="CG44" i="1"/>
  <c r="CG45" i="1"/>
  <c r="CG46" i="1"/>
  <c r="CG47" i="1"/>
  <c r="CG48" i="1"/>
  <c r="CG49" i="1"/>
  <c r="CG50" i="1"/>
  <c r="CG51" i="1"/>
  <c r="CG52" i="1"/>
  <c r="CG54" i="1"/>
  <c r="CG42" i="1"/>
  <c r="CE23" i="1"/>
  <c r="CC23" i="1"/>
  <c r="CE78" i="1"/>
  <c r="CE61" i="1"/>
  <c r="CE60" i="1"/>
  <c r="CE58" i="1"/>
  <c r="CE54" i="1"/>
  <c r="CE52" i="1"/>
  <c r="CE51" i="1"/>
  <c r="CE50" i="1"/>
  <c r="CE49" i="1"/>
  <c r="CE48" i="1"/>
  <c r="CE47" i="1"/>
  <c r="CE46" i="1"/>
  <c r="CE45" i="1"/>
  <c r="CE44" i="1"/>
  <c r="CE43" i="1"/>
  <c r="CE42" i="1"/>
  <c r="CC78" i="1"/>
  <c r="CA11" i="1"/>
  <c r="BZ13" i="1"/>
  <c r="BZ11" i="1"/>
  <c r="CC42" i="1"/>
  <c r="CC43" i="1"/>
  <c r="CC44" i="1"/>
  <c r="CC45" i="1"/>
  <c r="CC46" i="1"/>
  <c r="CC47" i="1"/>
  <c r="CC48" i="1"/>
  <c r="CC49" i="1"/>
  <c r="CC50" i="1"/>
  <c r="CC51" i="1"/>
  <c r="CC52" i="1"/>
  <c r="CC54" i="1"/>
  <c r="CC56" i="1"/>
  <c r="CC57" i="1"/>
  <c r="CC58" i="1"/>
  <c r="CC60" i="1"/>
  <c r="CC61" i="1"/>
  <c r="CC28" i="1"/>
  <c r="CC29" i="1"/>
  <c r="CC30" i="1"/>
  <c r="CC31" i="1"/>
  <c r="CC32" i="1"/>
  <c r="BX29" i="1"/>
  <c r="BX30" i="1"/>
  <c r="CE30" i="1" s="1"/>
  <c r="BX31" i="1"/>
  <c r="CE31" i="1" s="1"/>
  <c r="BX32" i="1"/>
  <c r="CE32" i="1" s="1"/>
  <c r="BX28" i="1"/>
  <c r="BW29" i="1"/>
  <c r="BW30" i="1"/>
  <c r="CD30" i="1" s="1"/>
  <c r="BW31" i="1"/>
  <c r="CD31" i="1" s="1"/>
  <c r="BW32" i="1"/>
  <c r="CD32" i="1" s="1"/>
  <c r="BW28" i="1"/>
  <c r="BV79" i="1"/>
  <c r="BV32" i="1"/>
  <c r="CA32" i="1" s="1"/>
  <c r="BV31" i="1"/>
  <c r="CA31" i="1" s="1"/>
  <c r="BV30" i="1"/>
  <c r="CA30" i="1" s="1"/>
  <c r="BV29" i="1"/>
  <c r="BV28" i="1"/>
  <c r="BU79" i="1"/>
  <c r="BU32" i="1"/>
  <c r="BZ32" i="1" s="1"/>
  <c r="BU31" i="1"/>
  <c r="BZ31" i="1" s="1"/>
  <c r="BU30" i="1"/>
  <c r="BZ30" i="1" s="1"/>
  <c r="BU29" i="1"/>
  <c r="BU28" i="1"/>
  <c r="BW6" i="1"/>
  <c r="BV6" i="1"/>
  <c r="BU6" i="1"/>
  <c r="BO6" i="1"/>
  <c r="BW78" i="1"/>
  <c r="BW23" i="1"/>
  <c r="CD23" i="1" s="1"/>
  <c r="BU78" i="1"/>
  <c r="BU23" i="1"/>
  <c r="BZ23" i="1" s="1"/>
  <c r="BV78" i="1"/>
  <c r="BV23" i="1"/>
  <c r="BO78" i="1"/>
  <c r="BO23" i="1"/>
  <c r="BX57" i="1"/>
  <c r="CE57" i="1" s="1"/>
  <c r="BX56" i="1"/>
  <c r="CE56" i="1" s="1"/>
  <c r="BW57" i="1"/>
  <c r="CD57" i="1" s="1"/>
  <c r="BW56" i="1"/>
  <c r="CD56" i="1" s="1"/>
  <c r="BV57" i="1"/>
  <c r="CA57" i="1" s="1"/>
  <c r="BV56" i="1"/>
  <c r="CA56" i="1" s="1"/>
  <c r="BW61" i="1"/>
  <c r="BW60" i="1"/>
  <c r="BW58" i="1"/>
  <c r="BW43" i="1"/>
  <c r="CD43" i="1" s="1"/>
  <c r="BW44" i="1"/>
  <c r="BW45" i="1"/>
  <c r="CD45" i="1" s="1"/>
  <c r="BW46" i="1"/>
  <c r="BW47" i="1"/>
  <c r="CD47" i="1" s="1"/>
  <c r="BW48" i="1"/>
  <c r="BW49" i="1"/>
  <c r="BW50" i="1"/>
  <c r="CD50" i="1" s="1"/>
  <c r="BW51" i="1"/>
  <c r="BW52" i="1"/>
  <c r="CD52" i="1" s="1"/>
  <c r="BW54" i="1"/>
  <c r="CD54" i="1" s="1"/>
  <c r="BW42" i="1"/>
  <c r="CD42" i="1" s="1"/>
  <c r="BV61" i="1"/>
  <c r="BV60" i="1"/>
  <c r="S3" i="9" s="1"/>
  <c r="B27" i="9" s="1"/>
  <c r="BV58" i="1"/>
  <c r="BV54" i="1"/>
  <c r="BV52" i="1"/>
  <c r="BV51" i="1"/>
  <c r="BV50" i="1"/>
  <c r="BV49" i="1"/>
  <c r="BV48" i="1"/>
  <c r="BV47" i="1"/>
  <c r="BV46" i="1"/>
  <c r="BV45" i="1"/>
  <c r="BV44" i="1"/>
  <c r="BV43" i="1"/>
  <c r="BV42" i="1"/>
  <c r="BU61" i="1"/>
  <c r="BU60" i="1"/>
  <c r="BU58" i="1"/>
  <c r="BU57" i="1"/>
  <c r="BZ57" i="1" s="1"/>
  <c r="BU56" i="1"/>
  <c r="BZ56" i="1" s="1"/>
  <c r="BU54" i="1"/>
  <c r="BZ54" i="1" s="1"/>
  <c r="BU52" i="1"/>
  <c r="BZ52" i="1" s="1"/>
  <c r="BU51" i="1"/>
  <c r="BU50" i="1"/>
  <c r="BZ50" i="1" s="1"/>
  <c r="BU49" i="1"/>
  <c r="BU48" i="1"/>
  <c r="BU47" i="1"/>
  <c r="BZ47" i="1" s="1"/>
  <c r="BU46" i="1"/>
  <c r="BU45" i="1"/>
  <c r="BZ45" i="1" s="1"/>
  <c r="BU44" i="1"/>
  <c r="BU43" i="1"/>
  <c r="BZ43" i="1" s="1"/>
  <c r="BU42" i="1"/>
  <c r="BZ42" i="1" s="1"/>
  <c r="BQ61" i="1"/>
  <c r="BQ60" i="1"/>
  <c r="BQ58" i="1"/>
  <c r="BQ43" i="1"/>
  <c r="CF43" i="1" s="1"/>
  <c r="BQ44" i="1"/>
  <c r="BQ45" i="1"/>
  <c r="CF45" i="1" s="1"/>
  <c r="BQ46" i="1"/>
  <c r="BQ47" i="1"/>
  <c r="CF47" i="1" s="1"/>
  <c r="BQ48" i="1"/>
  <c r="BQ49" i="1"/>
  <c r="BQ50" i="1"/>
  <c r="CF50" i="1" s="1"/>
  <c r="BQ51" i="1"/>
  <c r="BQ52" i="1"/>
  <c r="CF52" i="1" s="1"/>
  <c r="BQ54" i="1"/>
  <c r="CF54" i="1" s="1"/>
  <c r="CF58" i="1"/>
  <c r="BQ42" i="1"/>
  <c r="CF42" i="1" s="1"/>
  <c r="BO61" i="1"/>
  <c r="BO60" i="1"/>
  <c r="L3" i="9" s="1"/>
  <c r="BO58" i="1"/>
  <c r="BO43" i="1"/>
  <c r="BO44" i="1"/>
  <c r="BO45" i="1"/>
  <c r="BO46" i="1"/>
  <c r="BO47" i="1"/>
  <c r="BO48" i="1"/>
  <c r="BO49" i="1"/>
  <c r="BO50" i="1"/>
  <c r="BO51" i="1"/>
  <c r="BO52" i="1"/>
  <c r="BO54" i="1"/>
  <c r="BO42" i="1"/>
  <c r="B17" i="9" l="1"/>
  <c r="X3" i="9"/>
  <c r="AE3" i="9" s="1"/>
  <c r="C10" i="9" s="1"/>
  <c r="BZ46" i="1"/>
  <c r="CD58" i="1"/>
  <c r="CD60" i="1"/>
  <c r="T3" i="9"/>
  <c r="BZ60" i="1"/>
  <c r="R3" i="9"/>
  <c r="CF46" i="1"/>
  <c r="CF61" i="1"/>
  <c r="N3" i="9"/>
  <c r="BZ58" i="1"/>
  <c r="CD46" i="1"/>
  <c r="AG3" i="9"/>
  <c r="C14" i="9" s="1"/>
  <c r="B14" i="9"/>
  <c r="BZ29" i="1"/>
  <c r="CE29" i="1"/>
  <c r="CA29" i="1"/>
  <c r="CD29" i="1"/>
  <c r="BZ61" i="1"/>
  <c r="CF44" i="1"/>
  <c r="BZ48" i="1"/>
  <c r="CD48" i="1"/>
  <c r="BZ78" i="1"/>
  <c r="BZ28" i="1"/>
  <c r="CD51" i="1"/>
  <c r="CD6" i="1"/>
  <c r="BZ49" i="1"/>
  <c r="BZ6" i="1"/>
  <c r="CD49" i="1"/>
  <c r="CF49" i="1"/>
  <c r="BZ51" i="1"/>
  <c r="CD61" i="1"/>
  <c r="CE28" i="1"/>
  <c r="CD78" i="1"/>
  <c r="CF51" i="1"/>
  <c r="CF48" i="1"/>
  <c r="BZ44" i="1"/>
  <c r="CD44" i="1"/>
  <c r="CD28" i="1"/>
  <c r="CD21" i="1"/>
  <c r="CA47" i="1"/>
  <c r="CA43" i="1"/>
  <c r="CA45" i="1"/>
  <c r="CA52" i="1"/>
  <c r="CA23" i="1"/>
  <c r="CA42" i="1"/>
  <c r="CA60" i="1"/>
  <c r="CA6" i="1"/>
  <c r="CA50" i="1"/>
  <c r="CA58" i="1"/>
  <c r="CA46" i="1"/>
  <c r="CA54" i="1"/>
  <c r="CA28" i="1"/>
  <c r="CA44" i="1"/>
  <c r="CA51" i="1"/>
  <c r="CA49" i="1"/>
  <c r="CA48" i="1"/>
  <c r="CA78" i="1"/>
  <c r="CA61" i="1"/>
  <c r="BX129" i="1"/>
  <c r="CE129" i="1" s="1"/>
  <c r="BX124" i="1"/>
  <c r="CE124" i="1" s="1"/>
  <c r="BX96" i="1"/>
  <c r="CE96" i="1" s="1"/>
  <c r="BX71" i="1"/>
  <c r="BX72" i="1"/>
  <c r="BX70" i="1"/>
  <c r="BX63" i="1"/>
  <c r="CE63" i="1" s="1"/>
  <c r="BX64" i="1"/>
  <c r="CE64" i="1" s="1"/>
  <c r="BX65" i="1"/>
  <c r="BX66" i="1"/>
  <c r="BX67" i="1"/>
  <c r="CE67" i="1" s="1"/>
  <c r="BX68" i="1"/>
  <c r="CE68" i="1" s="1"/>
  <c r="BX69" i="1"/>
  <c r="BX62" i="1"/>
  <c r="BX10" i="1"/>
  <c r="CE10" i="1" s="1"/>
  <c r="BX4" i="1"/>
  <c r="CE4" i="1" s="1"/>
  <c r="BX5" i="1"/>
  <c r="BX3" i="1"/>
  <c r="E142" i="1"/>
  <c r="BW83" i="1"/>
  <c r="BW82" i="1"/>
  <c r="BW128" i="1"/>
  <c r="CD128" i="1" s="1"/>
  <c r="BW121" i="1"/>
  <c r="BW84" i="1"/>
  <c r="BW20" i="1"/>
  <c r="BW19" i="1"/>
  <c r="BW17" i="1"/>
  <c r="AA3" i="9" l="1"/>
  <c r="AH3" i="9" s="1"/>
  <c r="C11" i="9" s="1"/>
  <c r="B28" i="9"/>
  <c r="W3" i="9"/>
  <c r="AD3" i="9" s="1"/>
  <c r="C9" i="9" s="1"/>
  <c r="B26" i="9"/>
  <c r="B10" i="9"/>
  <c r="B19" i="9"/>
  <c r="AC3" i="9"/>
  <c r="CE5" i="1"/>
  <c r="CE62" i="1"/>
  <c r="CE69" i="1"/>
  <c r="CD20" i="1"/>
  <c r="CE70" i="1"/>
  <c r="CE3" i="1"/>
  <c r="CE66" i="1"/>
  <c r="CD19" i="1"/>
  <c r="CE65" i="1"/>
  <c r="BU98" i="1"/>
  <c r="BZ98" i="1" s="1"/>
  <c r="BU97" i="1"/>
  <c r="BZ97" i="1" s="1"/>
  <c r="BU41" i="1"/>
  <c r="BU40" i="1"/>
  <c r="BU39" i="1"/>
  <c r="BU38" i="1"/>
  <c r="BU37" i="1"/>
  <c r="BZ79" i="1"/>
  <c r="BU76" i="1"/>
  <c r="BZ76" i="1" s="1"/>
  <c r="BU75" i="1"/>
  <c r="BU74" i="1"/>
  <c r="BZ74" i="1" s="1"/>
  <c r="BU12" i="1"/>
  <c r="BZ12" i="1" s="1"/>
  <c r="BU15" i="1"/>
  <c r="BZ15" i="1" s="1"/>
  <c r="BU16" i="1"/>
  <c r="BU14" i="1"/>
  <c r="BU129" i="1"/>
  <c r="BZ129" i="1" s="1"/>
  <c r="BU124" i="1"/>
  <c r="BZ124" i="1" s="1"/>
  <c r="BU96" i="1"/>
  <c r="BZ96" i="1" s="1"/>
  <c r="BU72" i="1"/>
  <c r="BZ72" i="1" s="1"/>
  <c r="BU71" i="1"/>
  <c r="BU70" i="1"/>
  <c r="BU69" i="1"/>
  <c r="BU68" i="1"/>
  <c r="BZ68" i="1" s="1"/>
  <c r="BU67" i="1"/>
  <c r="BZ67" i="1" s="1"/>
  <c r="BU66" i="1"/>
  <c r="BU65" i="1"/>
  <c r="BU64" i="1"/>
  <c r="BZ64" i="1" s="1"/>
  <c r="BU63" i="1"/>
  <c r="BZ63" i="1" s="1"/>
  <c r="BU62" i="1"/>
  <c r="BU10" i="1"/>
  <c r="BZ10" i="1" s="1"/>
  <c r="BU5" i="1"/>
  <c r="BU4" i="1"/>
  <c r="BZ4" i="1" s="1"/>
  <c r="BU3" i="1"/>
  <c r="CP12" i="3"/>
  <c r="CN12" i="3"/>
  <c r="CO12" i="3" s="1"/>
  <c r="CJ12" i="3"/>
  <c r="Y12" i="3"/>
  <c r="W12" i="3"/>
  <c r="CP11" i="3"/>
  <c r="CN11" i="3"/>
  <c r="CO11" i="3" s="1"/>
  <c r="CJ11" i="3"/>
  <c r="Y11" i="3"/>
  <c r="W11" i="3"/>
  <c r="CQ10" i="3"/>
  <c r="BW98" i="1" s="1"/>
  <c r="CD98" i="1" s="1"/>
  <c r="CP10" i="3"/>
  <c r="BX40" i="1" s="1"/>
  <c r="CM10" i="3"/>
  <c r="CL10" i="3"/>
  <c r="CK10" i="3"/>
  <c r="CJ10" i="3"/>
  <c r="V10" i="3"/>
  <c r="BR98" i="1" s="1"/>
  <c r="CC98" i="1" s="1"/>
  <c r="U10" i="3"/>
  <c r="DG9" i="3"/>
  <c r="DA9" i="3"/>
  <c r="CQ9" i="3"/>
  <c r="CP9" i="3"/>
  <c r="CM9" i="3"/>
  <c r="CL9" i="3"/>
  <c r="CK9" i="3"/>
  <c r="CJ9" i="3"/>
  <c r="V9" i="3"/>
  <c r="U9" i="3"/>
  <c r="CQ8" i="3"/>
  <c r="BW14" i="1" s="1"/>
  <c r="CP8" i="3"/>
  <c r="BX15" i="1" s="1"/>
  <c r="CE15" i="1" s="1"/>
  <c r="CM8" i="3"/>
  <c r="CL8" i="3"/>
  <c r="CK8" i="3"/>
  <c r="CJ8" i="3"/>
  <c r="V8" i="3"/>
  <c r="BR16" i="1" s="1"/>
  <c r="U8" i="3"/>
  <c r="BO16" i="1" s="1"/>
  <c r="DE7" i="3"/>
  <c r="DD7" i="3"/>
  <c r="DB7" i="3"/>
  <c r="DA7" i="3"/>
  <c r="CZ7" i="3"/>
  <c r="CQ7" i="3"/>
  <c r="CP7" i="3"/>
  <c r="CM7" i="3"/>
  <c r="CL7" i="3"/>
  <c r="CK7" i="3"/>
  <c r="CJ7" i="3"/>
  <c r="V7" i="3"/>
  <c r="U7" i="3"/>
  <c r="DE6" i="3"/>
  <c r="DD6" i="3"/>
  <c r="DB6" i="3"/>
  <c r="DA6" i="3"/>
  <c r="CZ6" i="3"/>
  <c r="CQ6" i="3"/>
  <c r="CP6" i="3"/>
  <c r="CN6" i="3"/>
  <c r="CO6" i="3" s="1"/>
  <c r="CJ6" i="3"/>
  <c r="W6" i="3"/>
  <c r="CQ5" i="3"/>
  <c r="CP5" i="3"/>
  <c r="CN5" i="3"/>
  <c r="CO5" i="3" s="1"/>
  <c r="CJ5" i="3"/>
  <c r="W5" i="3"/>
  <c r="CQ4" i="3"/>
  <c r="CP4" i="3"/>
  <c r="CN4" i="3"/>
  <c r="CO4" i="3" s="1"/>
  <c r="CJ4" i="3"/>
  <c r="Y4" i="3"/>
  <c r="X4" i="3"/>
  <c r="W4" i="3"/>
  <c r="DG3" i="3"/>
  <c r="CI141" i="1"/>
  <c r="CI142" i="1" s="1"/>
  <c r="CJ141" i="1"/>
  <c r="B11" i="9" l="1"/>
  <c r="B9" i="9"/>
  <c r="BZ39" i="1"/>
  <c r="AJ3" i="9"/>
  <c r="C13" i="9" s="1"/>
  <c r="B13" i="9"/>
  <c r="BZ5" i="1"/>
  <c r="CD14" i="1"/>
  <c r="BZ37" i="1"/>
  <c r="BZ66" i="1"/>
  <c r="BZ14" i="1"/>
  <c r="BZ75" i="1"/>
  <c r="BZ38" i="1"/>
  <c r="CC16" i="1"/>
  <c r="BZ16" i="1"/>
  <c r="BZ62" i="1"/>
  <c r="BZ40" i="1"/>
  <c r="BZ65" i="1"/>
  <c r="CE40" i="1"/>
  <c r="BZ71" i="1"/>
  <c r="BZ69" i="1"/>
  <c r="BZ41" i="1"/>
  <c r="BZ70" i="1"/>
  <c r="BZ3" i="1"/>
  <c r="BW75" i="1"/>
  <c r="BR74" i="1"/>
  <c r="CC74" i="1" s="1"/>
  <c r="BR68" i="1"/>
  <c r="CC68" i="1" s="1"/>
  <c r="BO97" i="1"/>
  <c r="BR69" i="1"/>
  <c r="BR37" i="1"/>
  <c r="BR40" i="1"/>
  <c r="BO75" i="1"/>
  <c r="BW72" i="1"/>
  <c r="BW62" i="1"/>
  <c r="BO79" i="1"/>
  <c r="BW79" i="1"/>
  <c r="BR38" i="1"/>
  <c r="BW64" i="1"/>
  <c r="CD64" i="1" s="1"/>
  <c r="BX14" i="1"/>
  <c r="BX74" i="1"/>
  <c r="CE74" i="1" s="1"/>
  <c r="BR3" i="1"/>
  <c r="BW65" i="1"/>
  <c r="BR75" i="1"/>
  <c r="BR41" i="1"/>
  <c r="BW39" i="1"/>
  <c r="BR62" i="1"/>
  <c r="BW67" i="1"/>
  <c r="CD67" i="1" s="1"/>
  <c r="BO39" i="1"/>
  <c r="BW96" i="1"/>
  <c r="CD96" i="1" s="1"/>
  <c r="BW68" i="1"/>
  <c r="CD68" i="1" s="1"/>
  <c r="BW16" i="1"/>
  <c r="BR79" i="1"/>
  <c r="BO40" i="1"/>
  <c r="BW10" i="1"/>
  <c r="CD10" i="1" s="1"/>
  <c r="BO3" i="1"/>
  <c r="BW4" i="1"/>
  <c r="CD4" i="1" s="1"/>
  <c r="BW124" i="1"/>
  <c r="CD124" i="1" s="1"/>
  <c r="BR15" i="1"/>
  <c r="CC15" i="1" s="1"/>
  <c r="BW15" i="1"/>
  <c r="CD15" i="1" s="1"/>
  <c r="BO74" i="1"/>
  <c r="BW74" i="1"/>
  <c r="CD74" i="1" s="1"/>
  <c r="BW5" i="1"/>
  <c r="BW129" i="1"/>
  <c r="CD129" i="1" s="1"/>
  <c r="CO7" i="3"/>
  <c r="CO10" i="3"/>
  <c r="BO4" i="1"/>
  <c r="BO64" i="1"/>
  <c r="BO96" i="1"/>
  <c r="BO124" i="1"/>
  <c r="BX16" i="1"/>
  <c r="BX75" i="1"/>
  <c r="BW37" i="1"/>
  <c r="BX41" i="1"/>
  <c r="BO5" i="1"/>
  <c r="BO65" i="1"/>
  <c r="BO129" i="1"/>
  <c r="BR63" i="1"/>
  <c r="CC63" i="1" s="1"/>
  <c r="BR70" i="1"/>
  <c r="BW66" i="1"/>
  <c r="BW71" i="1"/>
  <c r="BO76" i="1"/>
  <c r="BR76" i="1"/>
  <c r="CC76" i="1" s="1"/>
  <c r="BW76" i="1"/>
  <c r="CD76" i="1" s="1"/>
  <c r="BX76" i="1"/>
  <c r="CE76" i="1" s="1"/>
  <c r="BO41" i="1"/>
  <c r="BR39" i="1"/>
  <c r="BW38" i="1"/>
  <c r="BV17" i="1"/>
  <c r="BV84" i="1"/>
  <c r="BV128" i="1"/>
  <c r="BV20" i="1"/>
  <c r="BV121" i="1"/>
  <c r="BV19" i="1"/>
  <c r="BX97" i="1"/>
  <c r="CE97" i="1" s="1"/>
  <c r="BO10" i="1"/>
  <c r="BW40" i="1"/>
  <c r="BO17" i="1"/>
  <c r="BO84" i="1"/>
  <c r="BO128" i="1"/>
  <c r="BO20" i="1"/>
  <c r="BO121" i="1"/>
  <c r="BO19" i="1"/>
  <c r="BV21" i="1"/>
  <c r="BO82" i="1"/>
  <c r="BV82" i="1"/>
  <c r="BV22" i="1"/>
  <c r="BO83" i="1"/>
  <c r="BV83" i="1"/>
  <c r="BO62" i="1"/>
  <c r="BO68" i="1"/>
  <c r="BR5" i="1"/>
  <c r="BR65" i="1"/>
  <c r="BR129" i="1"/>
  <c r="CC129" i="1" s="1"/>
  <c r="BW69" i="1"/>
  <c r="BO15" i="1"/>
  <c r="BO98" i="1"/>
  <c r="BW41" i="1"/>
  <c r="BX37" i="1"/>
  <c r="BO14" i="1"/>
  <c r="BO72" i="1"/>
  <c r="BR4" i="1"/>
  <c r="CC4" i="1" s="1"/>
  <c r="BR96" i="1"/>
  <c r="CC96" i="1" s="1"/>
  <c r="BX79" i="1"/>
  <c r="CO8" i="3"/>
  <c r="CO9" i="3"/>
  <c r="BO69" i="1"/>
  <c r="BR66" i="1"/>
  <c r="BR71" i="1"/>
  <c r="BW63" i="1"/>
  <c r="CD63" i="1" s="1"/>
  <c r="BW70" i="1"/>
  <c r="BR14" i="1"/>
  <c r="BO12" i="1"/>
  <c r="BR12" i="1"/>
  <c r="CC12" i="1" s="1"/>
  <c r="BW12" i="1"/>
  <c r="CD12" i="1" s="1"/>
  <c r="BX12" i="1"/>
  <c r="CE12" i="1" s="1"/>
  <c r="BO37" i="1"/>
  <c r="BR97" i="1"/>
  <c r="CC97" i="1" s="1"/>
  <c r="BX38" i="1"/>
  <c r="BO66" i="1"/>
  <c r="BO71" i="1"/>
  <c r="BU83" i="1"/>
  <c r="BU82" i="1"/>
  <c r="BU22" i="1"/>
  <c r="BZ22" i="1" s="1"/>
  <c r="BU21" i="1"/>
  <c r="BO67" i="1"/>
  <c r="BR64" i="1"/>
  <c r="CC64" i="1" s="1"/>
  <c r="BR124" i="1"/>
  <c r="CC124" i="1" s="1"/>
  <c r="BX98" i="1"/>
  <c r="CE98" i="1" s="1"/>
  <c r="BU84" i="1"/>
  <c r="BU128" i="1"/>
  <c r="BZ128" i="1" s="1"/>
  <c r="BU20" i="1"/>
  <c r="BU19" i="1"/>
  <c r="BU17" i="1"/>
  <c r="BU121" i="1"/>
  <c r="BO63" i="1"/>
  <c r="BO70" i="1"/>
  <c r="BR10" i="1"/>
  <c r="CC10" i="1" s="1"/>
  <c r="BR67" i="1"/>
  <c r="CC67" i="1" s="1"/>
  <c r="BR72" i="1"/>
  <c r="CC72" i="1" s="1"/>
  <c r="BW3" i="1"/>
  <c r="BO38" i="1"/>
  <c r="BW97" i="1"/>
  <c r="CD97" i="1" s="1"/>
  <c r="BX39" i="1"/>
  <c r="CA21" i="1" l="1"/>
  <c r="CC39" i="1"/>
  <c r="CD39" i="1"/>
  <c r="CC5" i="1"/>
  <c r="CD5" i="1"/>
  <c r="CE39" i="1"/>
  <c r="CE37" i="1"/>
  <c r="CC79" i="1"/>
  <c r="CD3" i="1"/>
  <c r="BZ19" i="1"/>
  <c r="CC71" i="1"/>
  <c r="CD41" i="1"/>
  <c r="BZ20" i="1"/>
  <c r="BZ21" i="1"/>
  <c r="CE38" i="1"/>
  <c r="CC66" i="1"/>
  <c r="CC70" i="1"/>
  <c r="CE41" i="1"/>
  <c r="CC40" i="1"/>
  <c r="CC14" i="1"/>
  <c r="CC41" i="1"/>
  <c r="CC65" i="1"/>
  <c r="CD69" i="1"/>
  <c r="CD40" i="1"/>
  <c r="CD65" i="1"/>
  <c r="CD37" i="1"/>
  <c r="CC37" i="1"/>
  <c r="CE14" i="1"/>
  <c r="CE79" i="1"/>
  <c r="CD16" i="1"/>
  <c r="CC75" i="1"/>
  <c r="CC38" i="1"/>
  <c r="CD38" i="1"/>
  <c r="CE75" i="1"/>
  <c r="CC62" i="1"/>
  <c r="CC3" i="1"/>
  <c r="CD62" i="1"/>
  <c r="CC69" i="1"/>
  <c r="CD75" i="1"/>
  <c r="CD70" i="1"/>
  <c r="CD66" i="1"/>
  <c r="CE16" i="1"/>
  <c r="CA22" i="1"/>
  <c r="CD79" i="1"/>
  <c r="CA128" i="1"/>
  <c r="CA20" i="1"/>
  <c r="CA19" i="1"/>
  <c r="BV38" i="1"/>
  <c r="BV37" i="1"/>
  <c r="BV98" i="1"/>
  <c r="CA98" i="1" s="1"/>
  <c r="BV97" i="1"/>
  <c r="CA97" i="1" s="1"/>
  <c r="BV41" i="1"/>
  <c r="BV40" i="1"/>
  <c r="BV39" i="1"/>
  <c r="BV71" i="1"/>
  <c r="BV66" i="1"/>
  <c r="BV67" i="1"/>
  <c r="CA67" i="1" s="1"/>
  <c r="BV129" i="1"/>
  <c r="CA129" i="1" s="1"/>
  <c r="BV65" i="1"/>
  <c r="BV5" i="1"/>
  <c r="BV3" i="1"/>
  <c r="BV63" i="1"/>
  <c r="CA63" i="1" s="1"/>
  <c r="BV72" i="1"/>
  <c r="CA72" i="1" s="1"/>
  <c r="BV124" i="1"/>
  <c r="CA124" i="1" s="1"/>
  <c r="BV96" i="1"/>
  <c r="CA96" i="1" s="1"/>
  <c r="BV64" i="1"/>
  <c r="CA64" i="1" s="1"/>
  <c r="BV4" i="1"/>
  <c r="CA4" i="1" s="1"/>
  <c r="BV70" i="1"/>
  <c r="BV10" i="1"/>
  <c r="CA10" i="1" s="1"/>
  <c r="BV69" i="1"/>
  <c r="BV68" i="1"/>
  <c r="CA68" i="1" s="1"/>
  <c r="BV62" i="1"/>
  <c r="BV12" i="1"/>
  <c r="CA12" i="1" s="1"/>
  <c r="CA79" i="1"/>
  <c r="BV74" i="1"/>
  <c r="CA74" i="1" s="1"/>
  <c r="BV76" i="1"/>
  <c r="CA76" i="1" s="1"/>
  <c r="BV75" i="1"/>
  <c r="BV14" i="1"/>
  <c r="BV16" i="1"/>
  <c r="BV15" i="1"/>
  <c r="CA15" i="1" s="1"/>
  <c r="CA39" i="1" l="1"/>
  <c r="CA3" i="1"/>
  <c r="CA5" i="1"/>
  <c r="CA41" i="1"/>
  <c r="CA66" i="1"/>
  <c r="CA71" i="1"/>
  <c r="CA62" i="1"/>
  <c r="CA40" i="1"/>
  <c r="CA37" i="1"/>
  <c r="CA65" i="1"/>
  <c r="CA75" i="1"/>
  <c r="CA69" i="1"/>
  <c r="CA16" i="1"/>
  <c r="CA14" i="1"/>
  <c r="CA70" i="1"/>
  <c r="CA3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T2" authorId="0" shapeId="0" xr:uid="{5C3CE907-4BEA-4DFD-8D03-1676D5E0B9FB}">
      <text>
        <r>
          <rPr>
            <b/>
            <sz val="9"/>
            <color indexed="81"/>
            <rFont val="Tahoma"/>
            <family val="2"/>
          </rPr>
          <t>Methorst, Erwin:</t>
        </r>
        <r>
          <rPr>
            <sz val="9"/>
            <color indexed="81"/>
            <rFont val="Tahoma"/>
            <family val="2"/>
          </rPr>
          <t xml:space="preserve">
stretch film</t>
        </r>
      </text>
    </comment>
    <comment ref="U2" authorId="0" shapeId="0" xr:uid="{2EAFD1C4-F0B5-4F78-9CAA-BC918674E563}">
      <text>
        <r>
          <rPr>
            <b/>
            <sz val="9"/>
            <color indexed="81"/>
            <rFont val="Tahoma"/>
            <family val="2"/>
          </rPr>
          <t>Methorst, Erwin:</t>
        </r>
        <r>
          <rPr>
            <sz val="9"/>
            <color indexed="81"/>
            <rFont val="Tahoma"/>
            <family val="2"/>
          </rPr>
          <t xml:space="preserve">
straps</t>
        </r>
      </text>
    </comment>
    <comment ref="Z2" authorId="0" shapeId="0" xr:uid="{E1E82F1F-4ACF-4BB7-B3A4-FC23127C928B}">
      <text>
        <r>
          <rPr>
            <b/>
            <sz val="9"/>
            <color indexed="81"/>
            <rFont val="Tahoma"/>
            <family val="2"/>
          </rPr>
          <t>Methorst, Erwin:</t>
        </r>
        <r>
          <rPr>
            <sz val="9"/>
            <color indexed="81"/>
            <rFont val="Tahoma"/>
            <family val="2"/>
          </rPr>
          <t xml:space="preserve">
straps pack</t>
        </r>
      </text>
    </comment>
    <comment ref="AA2" authorId="0" shapeId="0" xr:uid="{2CCF0464-C972-4F8C-9FB2-618B9CFDA716}">
      <text>
        <r>
          <rPr>
            <b/>
            <sz val="9"/>
            <color indexed="81"/>
            <rFont val="Tahoma"/>
            <family val="2"/>
          </rPr>
          <t>Methorst, Erwin:</t>
        </r>
        <r>
          <rPr>
            <sz val="9"/>
            <color indexed="81"/>
            <rFont val="Tahoma"/>
            <family val="2"/>
          </rPr>
          <t xml:space="preserve">
stretch film</t>
        </r>
      </text>
    </comment>
    <comment ref="AB2" authorId="0" shapeId="0" xr:uid="{91E2189B-0E92-4F93-A5A3-2934E081DE43}">
      <text>
        <r>
          <rPr>
            <b/>
            <sz val="9"/>
            <color indexed="81"/>
            <rFont val="Tahoma"/>
            <family val="2"/>
          </rPr>
          <t>Methorst, Erwin:</t>
        </r>
        <r>
          <rPr>
            <sz val="9"/>
            <color indexed="81"/>
            <rFont val="Tahoma"/>
            <family val="2"/>
          </rPr>
          <t xml:space="preserve">
Pallet straps</t>
        </r>
      </text>
    </comment>
    <comment ref="AC2" authorId="0" shapeId="0" xr:uid="{D19A200D-4BF0-4334-AB08-5D8EB4B3AF3A}">
      <text>
        <r>
          <rPr>
            <b/>
            <sz val="9"/>
            <color indexed="81"/>
            <rFont val="Tahoma"/>
            <family val="2"/>
          </rPr>
          <t>Methorst, Erwin:</t>
        </r>
        <r>
          <rPr>
            <sz val="9"/>
            <color indexed="81"/>
            <rFont val="Tahoma"/>
            <family val="2"/>
          </rPr>
          <t xml:space="preserve">
Corep plugs</t>
        </r>
      </text>
    </comment>
    <comment ref="AG2" authorId="0" shapeId="0" xr:uid="{EFADD1F7-DEC9-42DD-9007-97E1A3BCEF94}">
      <text>
        <r>
          <rPr>
            <b/>
            <sz val="9"/>
            <color indexed="81"/>
            <rFont val="Tahoma"/>
            <family val="2"/>
          </rPr>
          <t>Methorst, Erwin:</t>
        </r>
        <r>
          <rPr>
            <sz val="9"/>
            <color indexed="81"/>
            <rFont val="Tahoma"/>
            <family val="2"/>
          </rPr>
          <t xml:space="preserve">
straps pack</t>
        </r>
      </text>
    </comment>
    <comment ref="AH2" authorId="0" shapeId="0" xr:uid="{5996718C-7CF7-4CC2-B3B7-12C6CDC97EAA}">
      <text>
        <r>
          <rPr>
            <b/>
            <sz val="9"/>
            <color indexed="81"/>
            <rFont val="Tahoma"/>
            <family val="2"/>
          </rPr>
          <t>Methorst, Erwin:</t>
        </r>
        <r>
          <rPr>
            <sz val="9"/>
            <color indexed="81"/>
            <rFont val="Tahoma"/>
            <family val="2"/>
          </rPr>
          <t xml:space="preserve">
stretch film</t>
        </r>
      </text>
    </comment>
    <comment ref="AI2" authorId="0" shapeId="0" xr:uid="{9FB02C00-C829-464E-962E-D5524362686F}">
      <text>
        <r>
          <rPr>
            <b/>
            <sz val="9"/>
            <color indexed="81"/>
            <rFont val="Tahoma"/>
            <family val="2"/>
          </rPr>
          <t>Methorst, Erwin:</t>
        </r>
        <r>
          <rPr>
            <sz val="9"/>
            <color indexed="81"/>
            <rFont val="Tahoma"/>
            <family val="2"/>
          </rPr>
          <t xml:space="preserve">
Pallet straps</t>
        </r>
      </text>
    </comment>
    <comment ref="AJ2" authorId="0" shapeId="0" xr:uid="{652C828E-E2A1-4D65-B39F-E1A70EE42245}">
      <text>
        <r>
          <rPr>
            <b/>
            <sz val="9"/>
            <color indexed="81"/>
            <rFont val="Tahoma"/>
            <family val="2"/>
          </rPr>
          <t>Methorst, Erwin:</t>
        </r>
        <r>
          <rPr>
            <sz val="9"/>
            <color indexed="81"/>
            <rFont val="Tahoma"/>
            <family val="2"/>
          </rPr>
          <t xml:space="preserve">
Corep plugs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K2" authorId="0" shapeId="0" xr:uid="{621DD65A-243C-437C-B378-0717B935DCEE}">
      <text>
        <r>
          <rPr>
            <b/>
            <sz val="9"/>
            <color indexed="81"/>
            <rFont val="Tahoma"/>
            <family val="2"/>
          </rPr>
          <t>Methorst, Erwin:</t>
        </r>
        <r>
          <rPr>
            <sz val="9"/>
            <color indexed="81"/>
            <rFont val="Tahoma"/>
            <family val="2"/>
          </rPr>
          <t xml:space="preserve">
stretch film</t>
        </r>
      </text>
    </comment>
    <comment ref="L2" authorId="0" shapeId="0" xr:uid="{49000B7D-C988-4EAE-AB61-C0BD66AEAEAE}">
      <text>
        <r>
          <rPr>
            <b/>
            <sz val="9"/>
            <color indexed="81"/>
            <rFont val="Tahoma"/>
            <family val="2"/>
          </rPr>
          <t>Methorst, Erwin:</t>
        </r>
        <r>
          <rPr>
            <sz val="9"/>
            <color indexed="81"/>
            <rFont val="Tahoma"/>
            <family val="2"/>
          </rPr>
          <t xml:space="preserve">
straps</t>
        </r>
      </text>
    </comment>
    <comment ref="P2" authorId="0" shapeId="0" xr:uid="{309B69FD-830D-4737-AA87-FD93EF55C0C4}">
      <text>
        <r>
          <rPr>
            <b/>
            <sz val="9"/>
            <color indexed="81"/>
            <rFont val="Tahoma"/>
            <family val="2"/>
          </rPr>
          <t>Methorst, Erwin:</t>
        </r>
        <r>
          <rPr>
            <sz val="9"/>
            <color indexed="81"/>
            <rFont val="Tahoma"/>
            <family val="2"/>
          </rPr>
          <t xml:space="preserve">
straps pack</t>
        </r>
      </text>
    </comment>
    <comment ref="Q2" authorId="0" shapeId="0" xr:uid="{53CD8270-BA3F-4AE2-8894-A9641DAA429A}">
      <text>
        <r>
          <rPr>
            <b/>
            <sz val="9"/>
            <color indexed="81"/>
            <rFont val="Tahoma"/>
            <family val="2"/>
          </rPr>
          <t>Methorst, Erwin:</t>
        </r>
        <r>
          <rPr>
            <sz val="9"/>
            <color indexed="81"/>
            <rFont val="Tahoma"/>
            <family val="2"/>
          </rPr>
          <t xml:space="preserve">
stretch film</t>
        </r>
      </text>
    </comment>
    <comment ref="R2" authorId="0" shapeId="0" xr:uid="{D29640B4-715D-41DE-A070-CE4FCA744C27}">
      <text>
        <r>
          <rPr>
            <b/>
            <sz val="9"/>
            <color indexed="81"/>
            <rFont val="Tahoma"/>
            <family val="2"/>
          </rPr>
          <t>Methorst, Erwin:</t>
        </r>
        <r>
          <rPr>
            <sz val="9"/>
            <color indexed="81"/>
            <rFont val="Tahoma"/>
            <family val="2"/>
          </rPr>
          <t xml:space="preserve">
Pallet straps</t>
        </r>
      </text>
    </comment>
    <comment ref="S2" authorId="0" shapeId="0" xr:uid="{EF4EED63-C627-4471-9AE1-A2F619AE9DB6}">
      <text>
        <r>
          <rPr>
            <b/>
            <sz val="9"/>
            <color indexed="81"/>
            <rFont val="Tahoma"/>
            <family val="2"/>
          </rPr>
          <t>Methorst, Erwin:</t>
        </r>
        <r>
          <rPr>
            <sz val="9"/>
            <color indexed="81"/>
            <rFont val="Tahoma"/>
            <family val="2"/>
          </rPr>
          <t xml:space="preserve">
Corep plugs</t>
        </r>
      </text>
    </comment>
    <comment ref="V2" authorId="0" shapeId="0" xr:uid="{0CD3F1FF-3319-4104-A235-7D59501BC72C}">
      <text>
        <r>
          <rPr>
            <b/>
            <sz val="9"/>
            <color indexed="81"/>
            <rFont val="Tahoma"/>
            <family val="2"/>
          </rPr>
          <t>Methorst, Erwin:</t>
        </r>
        <r>
          <rPr>
            <sz val="9"/>
            <color indexed="81"/>
            <rFont val="Tahoma"/>
            <family val="2"/>
          </rPr>
          <t xml:space="preserve">
straps pack</t>
        </r>
      </text>
    </comment>
    <comment ref="W2" authorId="0" shapeId="0" xr:uid="{EA9BEE60-8FD1-47A1-923D-21DD2AAFEB37}">
      <text>
        <r>
          <rPr>
            <b/>
            <sz val="9"/>
            <color indexed="81"/>
            <rFont val="Tahoma"/>
            <family val="2"/>
          </rPr>
          <t>Methorst, Erwin:</t>
        </r>
        <r>
          <rPr>
            <sz val="9"/>
            <color indexed="81"/>
            <rFont val="Tahoma"/>
            <family val="2"/>
          </rPr>
          <t xml:space="preserve">
stretch film</t>
        </r>
      </text>
    </comment>
    <comment ref="X2" authorId="0" shapeId="0" xr:uid="{5D28F539-C56C-4264-8ECE-0406DC93C177}">
      <text>
        <r>
          <rPr>
            <b/>
            <sz val="9"/>
            <color indexed="81"/>
            <rFont val="Tahoma"/>
            <family val="2"/>
          </rPr>
          <t>Methorst, Erwin:</t>
        </r>
        <r>
          <rPr>
            <sz val="9"/>
            <color indexed="81"/>
            <rFont val="Tahoma"/>
            <family val="2"/>
          </rPr>
          <t xml:space="preserve">
Pallet straps</t>
        </r>
      </text>
    </comment>
    <comment ref="Y2" authorId="0" shapeId="0" xr:uid="{A5775E2E-D46C-4825-8475-AAC082587B34}">
      <text>
        <r>
          <rPr>
            <b/>
            <sz val="9"/>
            <color indexed="81"/>
            <rFont val="Tahoma"/>
            <family val="2"/>
          </rPr>
          <t>Methorst, Erwin:</t>
        </r>
        <r>
          <rPr>
            <sz val="9"/>
            <color indexed="81"/>
            <rFont val="Tahoma"/>
            <family val="2"/>
          </rPr>
          <t xml:space="preserve">
Corep plugs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BW2" authorId="0" shapeId="0" xr:uid="{8C3DB95B-3421-4D12-9357-2C2BA3775E9F}">
      <text>
        <r>
          <rPr>
            <b/>
            <sz val="9"/>
            <color indexed="81"/>
            <rFont val="Tahoma"/>
            <family val="2"/>
          </rPr>
          <t>Methorst, Erwin:</t>
        </r>
        <r>
          <rPr>
            <sz val="9"/>
            <color indexed="81"/>
            <rFont val="Tahoma"/>
            <family val="2"/>
          </rPr>
          <t xml:space="preserve">
stretch film</t>
        </r>
      </text>
    </comment>
    <comment ref="BX2" authorId="0" shapeId="0" xr:uid="{6CC3675A-A081-48EA-B4BA-1B6EECBC8CDE}">
      <text>
        <r>
          <rPr>
            <b/>
            <sz val="9"/>
            <color indexed="81"/>
            <rFont val="Tahoma"/>
            <family val="2"/>
          </rPr>
          <t>Methorst, Erwin:</t>
        </r>
        <r>
          <rPr>
            <sz val="9"/>
            <color indexed="81"/>
            <rFont val="Tahoma"/>
            <family val="2"/>
          </rPr>
          <t xml:space="preserve">
straps</t>
        </r>
      </text>
    </comment>
    <comment ref="CC2" authorId="0" shapeId="0" xr:uid="{E85C145B-F2C2-47DF-9E26-41E4E33C1604}">
      <text>
        <r>
          <rPr>
            <b/>
            <sz val="9"/>
            <color indexed="81"/>
            <rFont val="Tahoma"/>
            <family val="2"/>
          </rPr>
          <t>Methorst, Erwin:</t>
        </r>
        <r>
          <rPr>
            <sz val="9"/>
            <color indexed="81"/>
            <rFont val="Tahoma"/>
            <family val="2"/>
          </rPr>
          <t xml:space="preserve">
straps pack</t>
        </r>
      </text>
    </comment>
    <comment ref="CD2" authorId="0" shapeId="0" xr:uid="{B97B77DD-6283-42EE-AFEE-87B240686205}">
      <text>
        <r>
          <rPr>
            <b/>
            <sz val="9"/>
            <color indexed="81"/>
            <rFont val="Tahoma"/>
            <family val="2"/>
          </rPr>
          <t>Methorst, Erwin:</t>
        </r>
        <r>
          <rPr>
            <sz val="9"/>
            <color indexed="81"/>
            <rFont val="Tahoma"/>
            <family val="2"/>
          </rPr>
          <t xml:space="preserve">
stretch film</t>
        </r>
      </text>
    </comment>
    <comment ref="CE2" authorId="0" shapeId="0" xr:uid="{50C21701-7A84-45D9-B1C6-DD811A61ECC8}">
      <text>
        <r>
          <rPr>
            <b/>
            <sz val="9"/>
            <color indexed="81"/>
            <rFont val="Tahoma"/>
            <family val="2"/>
          </rPr>
          <t>Methorst, Erwin:</t>
        </r>
        <r>
          <rPr>
            <sz val="9"/>
            <color indexed="81"/>
            <rFont val="Tahoma"/>
            <family val="2"/>
          </rPr>
          <t xml:space="preserve">
Pallet straps</t>
        </r>
      </text>
    </comment>
    <comment ref="CF2" authorId="0" shapeId="0" xr:uid="{89CEC3A7-90A4-45D7-B1C6-0068795E6169}">
      <text>
        <r>
          <rPr>
            <b/>
            <sz val="9"/>
            <color indexed="81"/>
            <rFont val="Tahoma"/>
            <family val="2"/>
          </rPr>
          <t>Methorst, Erwin:</t>
        </r>
        <r>
          <rPr>
            <sz val="9"/>
            <color indexed="81"/>
            <rFont val="Tahoma"/>
            <family val="2"/>
          </rPr>
          <t xml:space="preserve">
Corep plugs</t>
        </r>
      </text>
    </comment>
    <comment ref="D99" authorId="0" shapeId="0" xr:uid="{439CC7E9-E58D-4F04-B6E0-EA2C03F5EA1F}">
      <text>
        <r>
          <rPr>
            <b/>
            <sz val="9"/>
            <color indexed="81"/>
            <rFont val="Tahoma"/>
            <family val="2"/>
          </rPr>
          <t>Methorst, Erwin:</t>
        </r>
        <r>
          <rPr>
            <sz val="9"/>
            <color indexed="81"/>
            <rFont val="Tahoma"/>
            <family val="2"/>
          </rPr>
          <t xml:space="preserve">
Toevoeging Amber</t>
        </r>
      </text>
    </comment>
    <comment ref="D119" authorId="0" shapeId="0" xr:uid="{D5342929-0303-42BF-9FC9-0FFF52FD1414}">
      <text>
        <r>
          <rPr>
            <b/>
            <sz val="9"/>
            <color indexed="81"/>
            <rFont val="Tahoma"/>
            <family val="2"/>
          </rPr>
          <t>Methorst, Erwin:</t>
        </r>
        <r>
          <rPr>
            <sz val="9"/>
            <color indexed="81"/>
            <rFont val="Tahoma"/>
            <family val="2"/>
          </rPr>
          <t xml:space="preserve">
Toevoeging Amber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DD1" authorId="0" shapeId="0" xr:uid="{A6C95410-743B-4429-A770-A5D863D75010}">
      <text>
        <r>
          <rPr>
            <b/>
            <sz val="9"/>
            <color indexed="81"/>
            <rFont val="Tahoma"/>
            <family val="2"/>
          </rPr>
          <t>Methorst, Erwin:</t>
        </r>
        <r>
          <rPr>
            <sz val="9"/>
            <color indexed="81"/>
            <rFont val="Tahoma"/>
            <family val="2"/>
          </rPr>
          <t xml:space="preserve">
per pack  or roll</t>
        </r>
      </text>
    </comment>
    <comment ref="BO5" authorId="0" shapeId="0" xr:uid="{163EB89F-2E9B-4628-B0E6-BB4D751C0E7A}">
      <text>
        <r>
          <rPr>
            <b/>
            <sz val="9"/>
            <color indexed="81"/>
            <rFont val="Tahoma"/>
            <family val="2"/>
          </rPr>
          <t>Methorst, Erwin:</t>
        </r>
        <r>
          <rPr>
            <sz val="9"/>
            <color indexed="81"/>
            <rFont val="Tahoma"/>
            <family val="2"/>
          </rPr>
          <t xml:space="preserve">
Estimation based on the 30" and 2 layers of 15"</t>
        </r>
      </text>
    </comment>
    <comment ref="CQ12" authorId="0" shapeId="0" xr:uid="{0779E2C8-74E1-40E8-809A-B686C410EE1D}">
      <text>
        <r>
          <rPr>
            <b/>
            <sz val="9"/>
            <color indexed="81"/>
            <rFont val="Tahoma"/>
            <family val="2"/>
          </rPr>
          <t>Methorst, Erwin:</t>
        </r>
        <r>
          <rPr>
            <sz val="9"/>
            <color indexed="81"/>
            <rFont val="Tahoma"/>
            <family val="2"/>
          </rPr>
          <t xml:space="preserve">
ASSUMPTION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CR1" authorId="0" shapeId="0" xr:uid="{117CB430-5FA8-4624-82A3-248486BB7583}">
      <text>
        <r>
          <rPr>
            <b/>
            <sz val="9"/>
            <color indexed="81"/>
            <rFont val="Tahoma"/>
            <family val="2"/>
          </rPr>
          <t>Methorst, Erwin:</t>
        </r>
        <r>
          <rPr>
            <sz val="9"/>
            <color indexed="81"/>
            <rFont val="Tahoma"/>
            <family val="2"/>
          </rPr>
          <t xml:space="preserve">
per pack  or roll</t>
        </r>
      </text>
    </comment>
    <comment ref="C3" authorId="0" shapeId="0" xr:uid="{A5B99992-AFB3-4C2B-BDD5-8FC94125DD37}">
      <text>
        <r>
          <rPr>
            <sz val="9"/>
            <color indexed="81"/>
            <rFont val="Tahoma"/>
            <family val="2"/>
          </rPr>
          <t>paper weight individual gel pack</t>
        </r>
      </text>
    </comment>
    <comment ref="D3" authorId="0" shapeId="0" xr:uid="{E6109D0D-0D75-43C8-BAB6-6CD7BC606A7F}">
      <text>
        <r>
          <rPr>
            <sz val="9"/>
            <color indexed="81"/>
            <rFont val="Tahoma"/>
            <family val="2"/>
          </rPr>
          <t>Paper weight individual liner</t>
        </r>
      </text>
    </comment>
    <comment ref="S3" authorId="0" shapeId="0" xr:uid="{10CE498A-0365-49F6-A8C1-D4C9DB579A69}">
      <text>
        <r>
          <rPr>
            <sz val="9"/>
            <color indexed="81"/>
            <rFont val="Tahoma"/>
            <family val="2"/>
          </rPr>
          <t>Box or Tray</t>
        </r>
      </text>
    </comment>
    <comment ref="V3" authorId="0" shapeId="0" xr:uid="{935A8F0B-986B-492D-A7C1-732773E7D46A}">
      <text>
        <r>
          <rPr>
            <sz val="9"/>
            <color indexed="81"/>
            <rFont val="Tahoma"/>
            <family val="2"/>
          </rPr>
          <t>Box or Tray</t>
        </r>
      </text>
    </comment>
    <comment ref="Y3" authorId="0" shapeId="0" xr:uid="{7BAFC9FE-8358-4D8F-9917-74D11F7712F7}">
      <text>
        <r>
          <rPr>
            <sz val="9"/>
            <color indexed="81"/>
            <rFont val="Tahoma"/>
            <family val="2"/>
          </rPr>
          <t>Box or Tray</t>
        </r>
      </text>
    </comment>
    <comment ref="BC5" authorId="0" shapeId="0" xr:uid="{41EC97DF-296F-420C-9A28-129961B6E16B}">
      <text>
        <r>
          <rPr>
            <b/>
            <sz val="9"/>
            <color indexed="81"/>
            <rFont val="Tahoma"/>
            <family val="2"/>
          </rPr>
          <t>Methorst, Erwin:</t>
        </r>
        <r>
          <rPr>
            <sz val="9"/>
            <color indexed="81"/>
            <rFont val="Tahoma"/>
            <family val="2"/>
          </rPr>
          <t xml:space="preserve">
Estimation based on the 30" and 2 layers of 15"</t>
        </r>
      </text>
    </comment>
    <comment ref="BC12" authorId="0" shapeId="0" xr:uid="{C14914FC-6930-4774-A2DA-E6449AF59C36}">
      <text>
        <r>
          <rPr>
            <b/>
            <sz val="9"/>
            <color indexed="81"/>
            <rFont val="Tahoma"/>
            <family val="2"/>
          </rPr>
          <t>Methorst, Erwin:</t>
        </r>
        <r>
          <rPr>
            <sz val="9"/>
            <color indexed="81"/>
            <rFont val="Tahoma"/>
            <family val="2"/>
          </rPr>
          <t xml:space="preserve">
Estimation based on the 30" and 2 layers of 15"</t>
        </r>
      </text>
    </comment>
    <comment ref="BC19" authorId="0" shapeId="0" xr:uid="{8C683271-D9A9-451B-A7F5-DBD2E6650299}">
      <text>
        <r>
          <rPr>
            <b/>
            <sz val="9"/>
            <color indexed="81"/>
            <rFont val="Tahoma"/>
            <family val="2"/>
          </rPr>
          <t>Methorst, Erwin:</t>
        </r>
        <r>
          <rPr>
            <sz val="9"/>
            <color indexed="81"/>
            <rFont val="Tahoma"/>
            <family val="2"/>
          </rPr>
          <t xml:space="preserve">
Estimation based on the 30" and 2 layers of 15"</t>
        </r>
      </text>
    </comment>
    <comment ref="BC26" authorId="0" shapeId="0" xr:uid="{8173EBC6-CBB2-4279-B254-E78E939EEE51}">
      <text>
        <r>
          <rPr>
            <b/>
            <sz val="9"/>
            <color indexed="81"/>
            <rFont val="Tahoma"/>
            <family val="2"/>
          </rPr>
          <t>Methorst, Erwin:</t>
        </r>
        <r>
          <rPr>
            <sz val="9"/>
            <color indexed="81"/>
            <rFont val="Tahoma"/>
            <family val="2"/>
          </rPr>
          <t xml:space="preserve">
Estimation based on the 30" and 2 layers of 15"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BE1" authorId="0" shapeId="0" xr:uid="{0F5D2CF9-95E2-4780-BD33-33FDA08FEC9E}">
      <text>
        <r>
          <rPr>
            <b/>
            <sz val="9"/>
            <color indexed="81"/>
            <rFont val="Tahoma"/>
            <family val="2"/>
          </rPr>
          <t>Methorst, Erwin:</t>
        </r>
        <r>
          <rPr>
            <sz val="9"/>
            <color indexed="81"/>
            <rFont val="Tahoma"/>
            <family val="2"/>
          </rPr>
          <t xml:space="preserve">
per pack  or roll</t>
        </r>
      </text>
    </comment>
    <comment ref="A4" authorId="0" shapeId="0" xr:uid="{6667FBCB-B6E5-425F-9BAA-F143C9F6714F}">
      <text>
        <r>
          <rPr>
            <b/>
            <sz val="9"/>
            <color indexed="81"/>
            <rFont val="Tahoma"/>
            <family val="2"/>
          </rPr>
          <t>Methorst, Erwin:</t>
        </r>
        <r>
          <rPr>
            <sz val="9"/>
            <color indexed="81"/>
            <rFont val="Tahoma"/>
            <family val="2"/>
          </rPr>
          <t xml:space="preserve">
ExBox</t>
        </r>
      </text>
    </comment>
    <comment ref="A5" authorId="0" shapeId="0" xr:uid="{3796C196-78A6-4044-862C-428E8DB1E852}">
      <text>
        <r>
          <rPr>
            <b/>
            <sz val="9"/>
            <color indexed="81"/>
            <rFont val="Tahoma"/>
            <family val="2"/>
          </rPr>
          <t>Methorst, Erwin:</t>
        </r>
        <r>
          <rPr>
            <sz val="9"/>
            <color indexed="81"/>
            <rFont val="Tahoma"/>
            <family val="2"/>
          </rPr>
          <t xml:space="preserve">
ExBox Mini</t>
        </r>
      </text>
    </comment>
    <comment ref="P5" authorId="0" shapeId="0" xr:uid="{80B7B020-28B9-4FFD-8D91-A43B658A1932}">
      <text>
        <r>
          <rPr>
            <b/>
            <sz val="9"/>
            <color indexed="81"/>
            <rFont val="Tahoma"/>
            <family val="2"/>
          </rPr>
          <t>Methorst, Erwin:</t>
        </r>
        <r>
          <rPr>
            <sz val="9"/>
            <color indexed="81"/>
            <rFont val="Tahoma"/>
            <family val="2"/>
          </rPr>
          <t xml:space="preserve">
Estimation based on the 30" and 2 layers of 15"</t>
        </r>
      </text>
    </comment>
  </commentList>
</comments>
</file>

<file path=xl/sharedStrings.xml><?xml version="1.0" encoding="utf-8"?>
<sst xmlns="http://schemas.openxmlformats.org/spreadsheetml/2006/main" count="4325" uniqueCount="736">
  <si>
    <t>Item number</t>
  </si>
  <si>
    <t>Product status</t>
  </si>
  <si>
    <t>Price list</t>
  </si>
  <si>
    <t>Product hierarchy</t>
  </si>
  <si>
    <t>Product line</t>
  </si>
  <si>
    <t>Product description</t>
  </si>
  <si>
    <t>Long description</t>
  </si>
  <si>
    <t>Primary converters</t>
  </si>
  <si>
    <t>PSE required converters</t>
  </si>
  <si>
    <t>UOM</t>
  </si>
  <si>
    <t>Paper weight</t>
  </si>
  <si>
    <t>Detailed paper weight</t>
  </si>
  <si>
    <t>Number of plys</t>
  </si>
  <si>
    <t>Paper quality</t>
  </si>
  <si>
    <t>Paper colour</t>
  </si>
  <si>
    <t>Country of origin</t>
  </si>
  <si>
    <t>EAN1</t>
  </si>
  <si>
    <t>EAN3</t>
  </si>
  <si>
    <t>Dimensions UOM</t>
  </si>
  <si>
    <t>Detail - Length of paper</t>
  </si>
  <si>
    <t>Detail-width of paper</t>
  </si>
  <si>
    <t>Miscellaneous</t>
  </si>
  <si>
    <t>Yield</t>
  </si>
  <si>
    <t>Net weight of UOM</t>
  </si>
  <si>
    <t>Roll diameter</t>
  </si>
  <si>
    <t>Pack height</t>
  </si>
  <si>
    <t>HS code</t>
  </si>
  <si>
    <t>Pallet type</t>
  </si>
  <si>
    <t>Bulk-Half pallet</t>
  </si>
  <si>
    <t>Pallet description</t>
  </si>
  <si>
    <t>Pallet length (m)</t>
  </si>
  <si>
    <t>numberUOMperPallet</t>
  </si>
  <si>
    <t>Pallet width (m)</t>
  </si>
  <si>
    <t>Pallet height (m)</t>
  </si>
  <si>
    <t>Pallet dimensions</t>
  </si>
  <si>
    <t>REACH Compliant</t>
  </si>
  <si>
    <t>Gross weight pallet</t>
  </si>
  <si>
    <t>Net weight pallet</t>
  </si>
  <si>
    <t>PAP codes</t>
  </si>
  <si>
    <t>FSC product claim</t>
  </si>
  <si>
    <t>FSC number</t>
  </si>
  <si>
    <t>RoHS Compliant</t>
  </si>
  <si>
    <t>Food safety (indirect)</t>
  </si>
  <si>
    <t>Alternative fiber</t>
  </si>
  <si>
    <t>Comm-Fresh fiber</t>
  </si>
  <si>
    <t>Comm-Recycled fibers</t>
  </si>
  <si>
    <t>Comm-Alternative fibers</t>
  </si>
  <si>
    <t>Detail-Fresh fiber</t>
  </si>
  <si>
    <t>Detail-PIR</t>
  </si>
  <si>
    <t>Detail-PCR</t>
  </si>
  <si>
    <t>Fossil fuel use (MJ)</t>
  </si>
  <si>
    <t>GHG emissions</t>
  </si>
  <si>
    <t>Water use</t>
  </si>
  <si>
    <t>Product pictures</t>
  </si>
  <si>
    <t>Material safety datasheet</t>
  </si>
  <si>
    <t>Product hierarchy narrative</t>
  </si>
  <si>
    <t>Quality narrative</t>
  </si>
  <si>
    <t>Created</t>
  </si>
  <si>
    <t>Created By</t>
  </si>
  <si>
    <t>Title</t>
  </si>
  <si>
    <t>Is a Raja ref</t>
  </si>
  <si>
    <t>Active</t>
  </si>
  <si>
    <t>Yes</t>
  </si>
  <si>
    <t>Cushioning</t>
  </si>
  <si>
    <t>PadPak Compact</t>
  </si>
  <si>
    <t>PP Pack 1p 0.38*360m 70gsm PK</t>
  </si>
  <si>
    <t>PadPak Compact ; Fillpak Trident ; Fillpak Trident mini ; Fillpak Table Top cutter ; WrapPak Protector</t>
  </si>
  <si>
    <t>Pack</t>
  </si>
  <si>
    <t>70gsm</t>
  </si>
  <si>
    <t>70,0 g/m2 +/- 2,5 g/m²</t>
  </si>
  <si>
    <t>Premium Kraft</t>
  </si>
  <si>
    <t>Brown</t>
  </si>
  <si>
    <t>European Union</t>
  </si>
  <si>
    <t>0.38 x  360m</t>
  </si>
  <si>
    <t>360 ± 4</t>
  </si>
  <si>
    <t>380 -1 +5</t>
  </si>
  <si>
    <t>23 ± 3</t>
  </si>
  <si>
    <t>Euro</t>
  </si>
  <si>
    <t>48*PMF 70 360m</t>
  </si>
  <si>
    <t>0.80 x 1.20 x 1.20m</t>
  </si>
  <si>
    <t>486 ±19</t>
  </si>
  <si>
    <t>PAP22</t>
  </si>
  <si>
    <t>FSC Mix Credit</t>
  </si>
  <si>
    <t>FSC-C134738</t>
  </si>
  <si>
    <t xml:space="preserve"> RoHS Compliant</t>
  </si>
  <si>
    <t>-</t>
  </si>
  <si>
    <t xml:space="preserve">Cushioning is used to protect fragile items during shipping. Packages are often handled with little or no care during transport, so precautions are needed to prevent damage. Shocks and vibration are controlled by cushioning, significantly reducing broken box contents and subsequent returns
</t>
  </si>
  <si>
    <t>Made using fresh renewable fibers from sustainably managed forests, Ranpak’s Premium Kraft paper provides superior protective performance. Designed to minimize CO2 emissions while fully curbside recyclable, Premium Kraft protects the planet as well as your goods.</t>
  </si>
  <si>
    <t>08/16/2024 11:03 AM</t>
  </si>
  <si>
    <t>Vu, Pierre</t>
  </si>
  <si>
    <t>True</t>
  </si>
  <si>
    <t>PP Pack 1p 0.38*360m 70gsm PK W.</t>
  </si>
  <si>
    <t xml:space="preserve">PadPak Compact ; Fillpak Trident ; Fillpak Trident bulk ; Fillpak Trident mini ; Fillpak Trident mini bulk ; Fillpak Table Top cutter ; WrapPak Protector ; </t>
  </si>
  <si>
    <t>White</t>
  </si>
  <si>
    <t>48*PMF 70 360m White</t>
  </si>
  <si>
    <t>PP Pack 1p 0.38*360m 70gsm PK T.</t>
  </si>
  <si>
    <t>Tape</t>
  </si>
  <si>
    <t>48*PMF 70 360m tape</t>
  </si>
  <si>
    <t>PP Roll 2p 0.38*180m 50/70gsm PK/PK</t>
  </si>
  <si>
    <t>Roll</t>
  </si>
  <si>
    <t>50/70gsm</t>
  </si>
  <si>
    <t>50,0 g/m2 +/- 2,0 g/m² (inner layer) ; 70,0 g/m2 +/- 2,5 g/m²(outer layer)</t>
  </si>
  <si>
    <t>Premium Kraft/Premium Kraft</t>
  </si>
  <si>
    <t>0.38 x  180m</t>
  </si>
  <si>
    <t>180 ± 2</t>
  </si>
  <si>
    <t>20,4 ± 1</t>
  </si>
  <si>
    <t>40*PML 50/70 180m</t>
  </si>
  <si>
    <t>0.80 x 1.20 x 0.92m</t>
  </si>
  <si>
    <t>356 ±12</t>
  </si>
  <si>
    <t>Recycled Kraft / Premium</t>
  </si>
  <si>
    <t>No</t>
  </si>
  <si>
    <t>Recycled Kraft is primarily sourced from the strong fibers of post-industrial recycled paper, which not only ensures high-quality protective performance, but also results in a low carbon footprint along with the curbside recyclability of Ranpak paper.</t>
  </si>
  <si>
    <t>Wrapping</t>
  </si>
  <si>
    <t>Geami ExBox</t>
  </si>
  <si>
    <t>GE Exbox 0.51*82m 80/22gsm PK/PK</t>
  </si>
  <si>
    <t>Geami Exbox is a disposable dispenser box with 82m brown Geami paper and 137m Interleaf paper</t>
  </si>
  <si>
    <t>NA</t>
  </si>
  <si>
    <t>ExBox</t>
  </si>
  <si>
    <t>80/22gsm</t>
  </si>
  <si>
    <t>80,0 g/m2 +/- 3,0 g/m² (inner layer)
22,0 g/m2 +/- 1 g/m²(outer layer)</t>
  </si>
  <si>
    <t>Brown/White</t>
  </si>
  <si>
    <t>0.51 x  82m</t>
  </si>
  <si>
    <t>Exbox</t>
  </si>
  <si>
    <t>24*EXBOX Mini Br DC100%/Wh.IL</t>
  </si>
  <si>
    <t>0.80 x 1.20 x 1.00m</t>
  </si>
  <si>
    <t>Wrapping is an important element of packaging, it offers surface production and is preventing products from scratching, chipping or denting during shipping</t>
  </si>
  <si>
    <t>GE Exbox 0.51*82m 80/22gsm PK/PK W</t>
  </si>
  <si>
    <t>Geami Exbox is a disposable dispenser box with 82m white Geami paper and 137m Interleaf paper</t>
  </si>
  <si>
    <t>White/White</t>
  </si>
  <si>
    <t>24*EXBOX Mini Wh DC100%/Wh.IL</t>
  </si>
  <si>
    <t>GE Exbox 0.51*164m 80gsm PK</t>
  </si>
  <si>
    <t>Geami Exbox is a disposable dispenser box with 164m brown Geami paper</t>
  </si>
  <si>
    <t xml:space="preserve">NA
</t>
  </si>
  <si>
    <t>80gsm</t>
  </si>
  <si>
    <t>80,0 g/m2 +/- 3,0 g/m²</t>
  </si>
  <si>
    <t>0.51 x  164m</t>
  </si>
  <si>
    <t>30*EXBOX Mini Br DC100%/No.IL</t>
  </si>
  <si>
    <t>0.80 x 1.20 x 1.30m</t>
  </si>
  <si>
    <t>Void Fill</t>
  </si>
  <si>
    <t>FillPak Go</t>
  </si>
  <si>
    <t>FP Box 1p 0.38*360m 70gsm EL</t>
  </si>
  <si>
    <t>Fillpak Go</t>
  </si>
  <si>
    <t>Ecoline</t>
  </si>
  <si>
    <t>48*Fillpak Go 70 360m</t>
  </si>
  <si>
    <t>0.80 x 1.20 x 1.35m</t>
  </si>
  <si>
    <t>484 ±19</t>
  </si>
  <si>
    <t>FSC Recycled 100%</t>
  </si>
  <si>
    <t>Void Fill is a paper filler material, used to close up the free space in your shipping box and lock products in place. When items are prevented from moving during transit, the chances of breakage go down. A paper-based filler offers excellent physical properties in terms of absorbing shocks and protecting sensitive products, and is also more sustainable than plastic alternatives.</t>
  </si>
  <si>
    <t>Ecoline protects boxed items in the most economical way while using 100% recycled post-consumer waste materials. Consumer waste is the same paper that can be recycled in your curbside recycling bin, making Ecoline an exceptionally eco-friendly solution.</t>
  </si>
  <si>
    <t>Not active</t>
  </si>
  <si>
    <t>FillPak</t>
  </si>
  <si>
    <t>FP Pack 1p 0.76*430m 60gsm PK W.</t>
  </si>
  <si>
    <t>60gsm</t>
  </si>
  <si>
    <t>60,0 g/m2 +/- 2,0 g/m²</t>
  </si>
  <si>
    <t>0.76 x  430m</t>
  </si>
  <si>
    <t>24*FS 60 430m white</t>
  </si>
  <si>
    <t>FP Pack 1p 0.76*400m 50gsm PK</t>
  </si>
  <si>
    <t>Fillpak ; FillPak High speed ; Fillpak Accufill ; PadPak Senior ; PadPak Senior Plus ; PadPak Senior coiler ; PadPak Senior Plus coiler ; PadPak Light Cushioning</t>
  </si>
  <si>
    <t>50gsm</t>
  </si>
  <si>
    <t>50,0 g/m2 +/- 2,0 g/m²</t>
  </si>
  <si>
    <t>0.76 x  400m</t>
  </si>
  <si>
    <t>400 ± 4</t>
  </si>
  <si>
    <t>760 -1 +5</t>
  </si>
  <si>
    <t>21 ± 3</t>
  </si>
  <si>
    <t>24*FH 50 400m</t>
  </si>
  <si>
    <t>391 ±14</t>
  </si>
  <si>
    <t>FP Bulkpack 1p 0.76*12000m 50gsm PK</t>
  </si>
  <si>
    <t xml:space="preserve">Fillpak bulk ; FillPak High speed ; Fillpak Accufill ;  ;  ;  ;  ; </t>
  </si>
  <si>
    <t>Bulk</t>
  </si>
  <si>
    <t>0.76 x  12000m</t>
  </si>
  <si>
    <t>12000 ± 120</t>
  </si>
  <si>
    <t>BULK</t>
  </si>
  <si>
    <t>24*FS 50 500m FP BULK</t>
  </si>
  <si>
    <t>482 ±18</t>
  </si>
  <si>
    <t>6,049</t>
  </si>
  <si>
    <t>FP Pack 1p 0.57*500m 50gsm RK</t>
  </si>
  <si>
    <t xml:space="preserve">Fillpak Stream line ;  ;  ;  ;  ;  ;  ; </t>
  </si>
  <si>
    <t>Recycled Kraft</t>
  </si>
  <si>
    <t>0.57 x  500m</t>
  </si>
  <si>
    <t>500 ± 5</t>
  </si>
  <si>
    <t>570 -1 +5</t>
  </si>
  <si>
    <t>32*FSL 50 500m R 22,5"</t>
  </si>
  <si>
    <t>482 ±19</t>
  </si>
  <si>
    <t>FP Pack 1p 0.57*360m 70gsm RK</t>
  </si>
  <si>
    <t>0.57 x  360m</t>
  </si>
  <si>
    <t>32*FSL 70 360m R 22,5"</t>
  </si>
  <si>
    <t>486 ±16</t>
  </si>
  <si>
    <t>08/16/2024 11:04 AM</t>
  </si>
  <si>
    <t>FP Pack 1p 0.57*360m 70gsm EL</t>
  </si>
  <si>
    <t>32*FSLG 70 360m 22,5"Greenline</t>
  </si>
  <si>
    <t>Geami Wrap'n Go</t>
  </si>
  <si>
    <t>GE Roll DC 0.51*164m 80gsm PK</t>
  </si>
  <si>
    <t>Roll with 164m brown Geami paper</t>
  </si>
  <si>
    <t>Geami MV, Geami Wrap 'n Go</t>
  </si>
  <si>
    <t>Geami HV, Geami MV, Geami Wrap 'n Go</t>
  </si>
  <si>
    <t>17,1 ± 1</t>
  </si>
  <si>
    <t>30 * DC 20" 164m</t>
  </si>
  <si>
    <t>0.80 x 1.20 x 0.66m</t>
  </si>
  <si>
    <t>Geami HV</t>
  </si>
  <si>
    <t>GE 500 pc DC 0.51*0.4m 80gsm PK</t>
  </si>
  <si>
    <t>Geami sheets with in size 50.8 x 40cm that are packed with 500 sheets per box</t>
  </si>
  <si>
    <t>Carton</t>
  </si>
  <si>
    <t>0.51 x  0.4m</t>
  </si>
  <si>
    <t>Sheets</t>
  </si>
  <si>
    <t>48 * DC 20” Sheets 500*0.4m</t>
  </si>
  <si>
    <t>GE Roll DC 0.51*250m 80gsm PK</t>
  </si>
  <si>
    <t>Roll with 250m brown Geami paper</t>
  </si>
  <si>
    <t>0.51 x  250m</t>
  </si>
  <si>
    <t>20,7 ± 1</t>
  </si>
  <si>
    <t>40 * DC 20" 250m</t>
  </si>
  <si>
    <t>0.80 x 1.20 x 1.17m</t>
  </si>
  <si>
    <t>GE Roll DC 0.51*250m 80gsm PK W.</t>
  </si>
  <si>
    <t>Roll with 250m white Geami paper</t>
  </si>
  <si>
    <t>40 * DC 20" 250m white</t>
  </si>
  <si>
    <t>GE Roll IL 0.3*840m 22gsm PK</t>
  </si>
  <si>
    <t>Roll with 840m white Interleaf paper</t>
  </si>
  <si>
    <t>22gsm</t>
  </si>
  <si>
    <t>22,0 g/m2 +/- 1,0 g/m²</t>
  </si>
  <si>
    <t>0.3 x  840m</t>
  </si>
  <si>
    <t>19,9 ± 1</t>
  </si>
  <si>
    <t>20 * IL 12" 840m white</t>
  </si>
  <si>
    <t>0.80 x 1.20 x 0.46m</t>
  </si>
  <si>
    <t>GE Roll IL 0.3*840m 22gsm PK B.</t>
  </si>
  <si>
    <t>Roll with 840m black Interleaf paper</t>
  </si>
  <si>
    <t>Black</t>
  </si>
  <si>
    <t>20*IL 12" 840m BLACK</t>
  </si>
  <si>
    <t>PadPak Junior</t>
  </si>
  <si>
    <t>PP Roll 2p 0.69*215m 50/50gsm PK/PK</t>
  </si>
  <si>
    <t xml:space="preserve">PadPak Junior ;  ;  ;  ;  ;  ;  ; </t>
  </si>
  <si>
    <t>50/50gsm</t>
  </si>
  <si>
    <t>50,0 g/m2 +/- 2,0 g/m²(inner layer) ; 50,0 g/m2 +/- 2,0 g/m²(outer layer)</t>
  </si>
  <si>
    <t>0.69 x  215m</t>
  </si>
  <si>
    <t>215 ± 2</t>
  </si>
  <si>
    <t>680 -1 +5</t>
  </si>
  <si>
    <t>20*PJS 50/50 215m junior</t>
  </si>
  <si>
    <t>0.80 x 1.20 x 0.83m</t>
  </si>
  <si>
    <t>318 ±12</t>
  </si>
  <si>
    <t>70/70gsm</t>
  </si>
  <si>
    <t>70,0 g/m2 +/- 2,5 g/m²(inner layer) ; 70,0 g/m2 +/- 2,5 g/m²(outer layer)</t>
  </si>
  <si>
    <t>175 ± 2</t>
  </si>
  <si>
    <t>PadPak LC</t>
  </si>
  <si>
    <t>PP Bulkpack 1p 0.76*8640m 70gsm EL</t>
  </si>
  <si>
    <t xml:space="preserve">PadPak Light Cushioning Plus Bulk ;  ;  ;  ;  ;  ;  ; </t>
  </si>
  <si>
    <t>0.76 x  8640m</t>
  </si>
  <si>
    <t>8640 ± 86</t>
  </si>
  <si>
    <t>105 ± 10</t>
  </si>
  <si>
    <t>PF 70 8.640m 30" Ecoline BULK</t>
  </si>
  <si>
    <t>4,422</t>
  </si>
  <si>
    <t>Ecoline protects boxed items in the most economical way while using 100% recycled post-consumer waste materials. Consumer waste is the same paper that can be recycled in your curbside recycling bin, making Ecoline an exceptionally eco-friendly solution</t>
  </si>
  <si>
    <t>PP Bulkpack 1p 0.76*8640m 70gsm PK</t>
  </si>
  <si>
    <t xml:space="preserve">PadPak Light Cushioning Bulk ; PadPak Light Cushioning Plus Bulk ;  ;  ;  ;  ;  ; </t>
  </si>
  <si>
    <t>24*PF 70 360m LC BULK</t>
  </si>
  <si>
    <t>6,097</t>
  </si>
  <si>
    <t>PP Bulk Pack 2p 0.76*4320m 70gsm PK/PK</t>
  </si>
  <si>
    <t>PadPak Light Cushioning ; PadPak Light Cushioning Bulk ; PadPak Light Cushioning plus ; PadPak Light Cushioning plus Bulk ; PadPak Senior bulk_beneath ; PadPak Senior plus bulk_beneath ; PadPak Senior auto coiler ; PadPak Senior coiler</t>
  </si>
  <si>
    <t>0.76 x  4320m</t>
  </si>
  <si>
    <t>4320 ± 43</t>
  </si>
  <si>
    <t>2*12 PF 70 360m double layer</t>
  </si>
  <si>
    <t>PP Bulk Pack 2p 0.76*4320m 70gsm RK/PK</t>
  </si>
  <si>
    <t>2*4.320m PF 70 30" R/V BULK</t>
  </si>
  <si>
    <t>5,725</t>
  </si>
  <si>
    <t>PP Bulkpack 1p 0.76*7200m 90gsm EL</t>
  </si>
  <si>
    <t>90gsm</t>
  </si>
  <si>
    <t>90,0 g/m2 +/- 3,0 g/m²</t>
  </si>
  <si>
    <t>0.76 x  7200m</t>
  </si>
  <si>
    <t>7200 ± 72</t>
  </si>
  <si>
    <t>PF 90 7.200m 30" Ecoline BULK</t>
  </si>
  <si>
    <t>518 ±16</t>
  </si>
  <si>
    <t>4,732</t>
  </si>
  <si>
    <t>300 ± 3</t>
  </si>
  <si>
    <t>518 ±17</t>
  </si>
  <si>
    <t>PadPak Guardian</t>
  </si>
  <si>
    <t>PP Pack 1CF 0.38*300m 90gsm PK</t>
  </si>
  <si>
    <t xml:space="preserve">PadPak Guardian ;  ;  ;  ;  ;  ;  ; </t>
  </si>
  <si>
    <t>0.38 x  300m</t>
  </si>
  <si>
    <t>35 ± 5</t>
  </si>
  <si>
    <t>24*NC 90 300m 15" Vir</t>
  </si>
  <si>
    <t>PP Pack 1CF 0.38*300m 90gsm EL</t>
  </si>
  <si>
    <t>24*NC 90 300m 15" Ecoline</t>
  </si>
  <si>
    <t>PP Pack 1CF 0.38*360m 70gsm PK</t>
  </si>
  <si>
    <t>24*NC 70 360m 15" Vir</t>
  </si>
  <si>
    <t>486 ±17</t>
  </si>
  <si>
    <t>PP Pack 2CF 0.38*180m 70/70gsm RK/PK</t>
  </si>
  <si>
    <t>24*NC 70/70 180m 15" REC/VIR</t>
  </si>
  <si>
    <t>PP Pack 2CF 0.38*180m 70/75gsm RK/EL</t>
  </si>
  <si>
    <t>70/75gsm</t>
  </si>
  <si>
    <t>70,0 g/m2 +/- 2,5 g/m² (inner layer)
75,0 g/m2 +/- 2,5 g/m²(outer layer)</t>
  </si>
  <si>
    <t>Recycled Kraft / Ecoline</t>
  </si>
  <si>
    <t>24*NC 70/75 180m 15" REC/ECO</t>
  </si>
  <si>
    <t>502 ±14</t>
  </si>
  <si>
    <t>0 x  0m</t>
  </si>
  <si>
    <t>PadPak Senior</t>
  </si>
  <si>
    <t>PP Roll 2p 0.76*160m 70/70gsm RK/PK</t>
  </si>
  <si>
    <t>PadPak Senior ; PadPak Senior Plus ; PadPak Senior under table ; PadPak Senior Plus under table ; PadPak Senior with roll cart ; PadPak Senior Plus with roll cart ; PadPak Senior auto coiler ; PadPak Senior coiler</t>
  </si>
  <si>
    <t>0.76 x  160m</t>
  </si>
  <si>
    <t>160 ± 2</t>
  </si>
  <si>
    <t>20,9 ± 1</t>
  </si>
  <si>
    <t>20*PL 70/70 160m</t>
  </si>
  <si>
    <t>367 ±12</t>
  </si>
  <si>
    <t>PP Roll 2p 0.76*180m 50/70gsm RK/PK</t>
  </si>
  <si>
    <t>0.76 x  180m</t>
  </si>
  <si>
    <t>20,6 ± 1</t>
  </si>
  <si>
    <t>20*PL 50/70 180m</t>
  </si>
  <si>
    <t>355 ±12</t>
  </si>
  <si>
    <t>08/16/2024 11:05 AM</t>
  </si>
  <si>
    <t>PP Roll 2p 0.76*215m 50/50gsm PK/PK</t>
  </si>
  <si>
    <t>0.76 x  215m</t>
  </si>
  <si>
    <t>20*PL 50/50 215m</t>
  </si>
  <si>
    <t>354 ±12</t>
  </si>
  <si>
    <t>PP Roll 2p 0.76*290m 70/70gsm RK/PK</t>
  </si>
  <si>
    <t>0.76 x  290m</t>
  </si>
  <si>
    <t>290 ± 3</t>
  </si>
  <si>
    <t>27,8 ± 1</t>
  </si>
  <si>
    <t>11*PS 70/70 290m</t>
  </si>
  <si>
    <t>364 ±12</t>
  </si>
  <si>
    <t>PP Roll 2p 0.76*250m 70/75gsm RK/EL</t>
  </si>
  <si>
    <t xml:space="preserve">PadPak Senior ; PadPak Senior Plus ; PadPak Senior with roll cart ; PadPak Senior Plus with roll cart ;  ;  ;  ; </t>
  </si>
  <si>
    <t>0.76 x  250m</t>
  </si>
  <si>
    <t>250 ± 3</t>
  </si>
  <si>
    <t>26,9 ± 1</t>
  </si>
  <si>
    <t>11*PS 70/75 250m Ecoline</t>
  </si>
  <si>
    <t>328 ±11</t>
  </si>
  <si>
    <t>PP Roll 2p 0.76*290m 70/70gsm RK/RK</t>
  </si>
  <si>
    <t xml:space="preserve">PadPak Senior Plus ;  ;  ;  ;  ;  ;  ; </t>
  </si>
  <si>
    <t>Recycled Kraft/Recycled Kraft</t>
  </si>
  <si>
    <t>28,3 ± 1</t>
  </si>
  <si>
    <t>11*PS 70/70 290m R/R</t>
  </si>
  <si>
    <t>PP Roll 2p 0.76*335m 50/70gsm RK/PK</t>
  </si>
  <si>
    <t>0.76 x  335m</t>
  </si>
  <si>
    <t>335 ± 3</t>
  </si>
  <si>
    <t>27,7 ± 1</t>
  </si>
  <si>
    <t>11*PS 50/70 335m</t>
  </si>
  <si>
    <t>361 ±13</t>
  </si>
  <si>
    <t>PP Roll 2p 0.76*335m 50/70gsm RK/PK T.</t>
  </si>
  <si>
    <t>11*PS 50/70 335m tape</t>
  </si>
  <si>
    <t>PP Roll 2p 0.76*400m 50/50gsm PK/PK</t>
  </si>
  <si>
    <t>28 ± 1</t>
  </si>
  <si>
    <t>11*PS 50/50 400m</t>
  </si>
  <si>
    <t>359 ±13</t>
  </si>
  <si>
    <t>PP Roll 2p 0.76*400m 70/70gsm RK/PK</t>
  </si>
  <si>
    <t>32,5 ± 1</t>
  </si>
  <si>
    <t>7*PH 70/70 400m</t>
  </si>
  <si>
    <t>322 ±11</t>
  </si>
  <si>
    <t>PP Roll 2p 0.76*400m 70/70gsm RK/PK T.</t>
  </si>
  <si>
    <t>7*PH 70/70 400m tape</t>
  </si>
  <si>
    <t>PP Roll 1p 0.76*325m 90gsm PK</t>
  </si>
  <si>
    <t xml:space="preserve">PadPak Senior ;  ;  ;  ;  ;  ;  ; </t>
  </si>
  <si>
    <t>0.76 x  325m</t>
  </si>
  <si>
    <t>325 ± 3</t>
  </si>
  <si>
    <t>23 ± 1</t>
  </si>
  <si>
    <t>15*PH 90 325m</t>
  </si>
  <si>
    <t>359 ±11</t>
  </si>
  <si>
    <t>0.76 x  500m</t>
  </si>
  <si>
    <t>PP Bulk Pack 2p 0.76*4320m 70gsm EL/EL</t>
  </si>
  <si>
    <t xml:space="preserve">PadPak Senior Plus bulk beneath ;  ;  ;  ;  ;  ;  ; </t>
  </si>
  <si>
    <t>Bulk pack</t>
  </si>
  <si>
    <t>Ecoline/Ecoline</t>
  </si>
  <si>
    <t>2*4.320m PF 70 30" Ecoline BULK</t>
  </si>
  <si>
    <t>100% PCR fibers</t>
  </si>
  <si>
    <t>PP Bulk Pack 2p 0.76*4320m 70gsm RK/RK</t>
  </si>
  <si>
    <t>2*4.320m PF 70 30” R/R BULK</t>
  </si>
  <si>
    <t>5,353</t>
  </si>
  <si>
    <t>PP Roll 2p 0.76*175m 70/70gsm RK/PK</t>
  </si>
  <si>
    <t>0.76 x  175m</t>
  </si>
  <si>
    <t>21,8 ± 1</t>
  </si>
  <si>
    <t>25*PL 70/70 175m</t>
  </si>
  <si>
    <t>1.00 x 1.20 x 0.92m</t>
  </si>
  <si>
    <t>499 ±15</t>
  </si>
  <si>
    <t>PP Roll 2p 0.76*200m 50/70gsm RK/PK</t>
  </si>
  <si>
    <t>0.76 x  200m</t>
  </si>
  <si>
    <t>200 ± 2</t>
  </si>
  <si>
    <t>21,6 ± 1</t>
  </si>
  <si>
    <t>25*PL 50/70 200m</t>
  </si>
  <si>
    <t>489 ±15</t>
  </si>
  <si>
    <t>PP Roll 2p 0.76*325m 70/70gsm RK/PK</t>
  </si>
  <si>
    <t>29,4 ± 1</t>
  </si>
  <si>
    <t>12*PS 70/70 325m</t>
  </si>
  <si>
    <t>445 ±16</t>
  </si>
  <si>
    <t>FillPak TT</t>
  </si>
  <si>
    <t>FP Pack 1p 0.38*500m 50gsm RK</t>
  </si>
  <si>
    <t xml:space="preserve">Fillpak Table Top ; Fillpak Table Top cutter ; Fillpak Manual ; Fillpak Trident ; FillpakTrident bulk ; FillpakTrident mini ; FillpakTrident mini bulk ; </t>
  </si>
  <si>
    <t>0.38 x  500m</t>
  </si>
  <si>
    <t>48*FT 50 500m</t>
  </si>
  <si>
    <t>FP Pack 1p 0.38*500m 50gsm RK T.</t>
  </si>
  <si>
    <t>48*FT 50 500m tape</t>
  </si>
  <si>
    <t>481 ±19</t>
  </si>
  <si>
    <t>FP Pack 1p 0.38*500m 60gsm PK W.</t>
  </si>
  <si>
    <t>48*FT 60 500m white</t>
  </si>
  <si>
    <t>573 ±19</t>
  </si>
  <si>
    <t>08/16/2024 11:06 AM</t>
  </si>
  <si>
    <t>FP Pack 1p 0.38*360m 70gsm PK</t>
  </si>
  <si>
    <t>48*FT 70 360m</t>
  </si>
  <si>
    <t>FP Pack 1p 0.38*360m 70gsm PK T.</t>
  </si>
  <si>
    <t>48*FT 70 360m tape</t>
  </si>
  <si>
    <t>FP Pack 1p 0.38*360m 70gsm RK</t>
  </si>
  <si>
    <t>48*FT 70 360m R</t>
  </si>
  <si>
    <t>FP Pack 1p 0.38*360m 70gsm RK T.</t>
  </si>
  <si>
    <t>48*FT 70 360m R tape</t>
  </si>
  <si>
    <t>FP Pack 1p 0.38*360m 70gsm EL</t>
  </si>
  <si>
    <t>48*FTG 70 360m Greenline</t>
  </si>
  <si>
    <t>FP Pack 1p 0.38*360m 70gsm EL T.</t>
  </si>
  <si>
    <t>48*FTG 70 360m Greenline tape</t>
  </si>
  <si>
    <t>Box-lining</t>
  </si>
  <si>
    <t>WrapPak Protector</t>
  </si>
  <si>
    <t>WP Pack 1p 0.38*360m 70gsm PK T.</t>
  </si>
  <si>
    <t>Pack with 360m brown 70gsm fanfolded paper</t>
  </si>
  <si>
    <t xml:space="preserve">WrapPak Protector; PadPak Compact; Fillpak Trident; Fillpak Trident mini; Fillpak Table Top, FillPak Table Top cutter </t>
  </si>
  <si>
    <t>48*FWFS 70 360m tape</t>
  </si>
  <si>
    <t xml:space="preserve">The strong waved paper pad has high cushioning performance which is ideal for boxlining solutions covering the full width of a box with only one protective paper pad. It can also be used for blocking&amp;bracing or for wrapping products so they arrive undamaged and scratch-free. </t>
  </si>
  <si>
    <t>WP Pack 1p 0.38*300m 90gsm PK T.</t>
  </si>
  <si>
    <t>Pack with 300m brown 90gsm fanfolded paper</t>
  </si>
  <si>
    <t>48*FWFS 90 300m tape</t>
  </si>
  <si>
    <t>Cold Chain</t>
  </si>
  <si>
    <t>RecyCold Coolpack</t>
  </si>
  <si>
    <t>RC Cool Pack 125 pc CB Tray 100g</t>
  </si>
  <si>
    <t>CB Tray Euro</t>
  </si>
  <si>
    <t>Cool Pack 100 gr CB Tray 44*125 Euro</t>
  </si>
  <si>
    <t>Cold chain solutions are used to protect packages from temperature fluctuations and physical damages during shipment. RecyCold cool packs and climaliner use environmentally friendly paper for reliable temperature control when packing groceries, meal kits or specialty food. Alongside cost savings and environmental benefits, the right packaging solution must support global goals of minimizing food waste.</t>
  </si>
  <si>
    <t>Made using a paper pouch with polyethylene (PE) coating, and inside each pouch is a 100% biodegradable cooling gel – creating a product that reflect using materials that have a low environmental impact both during production and after use.</t>
  </si>
  <si>
    <t>08/29/2024 05:15 AM</t>
  </si>
  <si>
    <t>RecyCold climaliner</t>
  </si>
  <si>
    <t>RC climaliner roll 0.38*622m 70gsm PK</t>
  </si>
  <si>
    <t>Climaliner</t>
  </si>
  <si>
    <t>0.38 x  622m</t>
  </si>
  <si>
    <t>622 ± 6</t>
  </si>
  <si>
    <t>28,2 ± 1</t>
  </si>
  <si>
    <t>22*CL 70 622m 15" Vir</t>
  </si>
  <si>
    <t>389 ±11</t>
  </si>
  <si>
    <t>Made using fresh renewable fibers from sustainably managed forests, Ranpak’s Premium kraft paper provides superior protective performance. Designed to minimize CO2 emissions while fully curbside recyclable, Premium Kraft protects the planet as well as your goods.</t>
  </si>
  <si>
    <t>FP Pack 1p 0.76*500m 50gsm PK</t>
  </si>
  <si>
    <t>24*FS 50 500m</t>
  </si>
  <si>
    <t>FP Pack 1p 0.76*500m 50gsm RK</t>
  </si>
  <si>
    <t xml:space="preserve">Fillpak ; Fillpak Accufill ;  ;  ;  ;  ;  ; </t>
  </si>
  <si>
    <t>24*FS 50 500m R</t>
  </si>
  <si>
    <t>FP Pack 1p 0.76*360m 70gsm EL</t>
  </si>
  <si>
    <t>0.76 x  360m</t>
  </si>
  <si>
    <t>24*FSG 70 360m 30" Greenline</t>
  </si>
  <si>
    <t>FP Bulkpack 1p 0.76*12000m 50gsm RK</t>
  </si>
  <si>
    <t xml:space="preserve">Fillpak bulk ; Fillpak Accufill ; PadPak Light Cushioning Plus Bulk </t>
  </si>
  <si>
    <t>PF 50 12.000m 30" FP R BULK</t>
  </si>
  <si>
    <t>4,307</t>
  </si>
  <si>
    <t>PP Roll 2p 0.69*160m 70/70gsm PK/PK</t>
  </si>
  <si>
    <t>0.69 x  160m</t>
  </si>
  <si>
    <t>20,5 ± 1</t>
  </si>
  <si>
    <t>20*PJS70/70 160mjunior</t>
  </si>
  <si>
    <t>331 ±10</t>
  </si>
  <si>
    <t>PP Pack 1p 0.76*360m 70gsm PK</t>
  </si>
  <si>
    <t xml:space="preserve">PadPak Light Cushioning ; PadPak Light Cushioning Plus ;  ;  ;  ;  ;  ; </t>
  </si>
  <si>
    <t>24*PF 70 360m</t>
  </si>
  <si>
    <t>46*FT 70 360m</t>
  </si>
  <si>
    <t>466 ±18</t>
  </si>
  <si>
    <t>GE Roll IL 0.3*137m 22gsm PK</t>
  </si>
  <si>
    <t>Roll with 137m white Interleaf paper</t>
  </si>
  <si>
    <t>Geami Wrap 'n Go</t>
  </si>
  <si>
    <t>0.3 x  137m</t>
  </si>
  <si>
    <t>9,5 ± 1</t>
  </si>
  <si>
    <t>60 * IL 12" 137m white</t>
  </si>
  <si>
    <t>False</t>
  </si>
  <si>
    <t>GE Roll IL 0.3*268m 22gsm PK</t>
  </si>
  <si>
    <t>Roll with 268m white Interleaf paper</t>
  </si>
  <si>
    <t>0.3 x  268m</t>
  </si>
  <si>
    <t>12,1 ± 1</t>
  </si>
  <si>
    <t>30 * IL 12" 268m white</t>
  </si>
  <si>
    <t>GE Roll DC 0.51*82m 80gsm PK</t>
  </si>
  <si>
    <t>Roll with 82m brown Geami paper</t>
  </si>
  <si>
    <t>12,7 ± 1</t>
  </si>
  <si>
    <t>60 * DC 20" 82m</t>
  </si>
  <si>
    <t>Mailers</t>
  </si>
  <si>
    <t>NatureMailer</t>
  </si>
  <si>
    <t>Nature Mailer 300 pc 0.15*0.22m</t>
  </si>
  <si>
    <t>0.15 x  0.22m</t>
  </si>
  <si>
    <t>8* NatureMailer 150x215mm 300pc/box</t>
  </si>
  <si>
    <t>Nature Mailer 200 pc 0.18*0.26m</t>
  </si>
  <si>
    <t>0.18 x  0.26m</t>
  </si>
  <si>
    <t>12* NatureMailer 180x260mm 200pc/box</t>
  </si>
  <si>
    <t>Nature Mailer 100 pc 0.23*0.34m</t>
  </si>
  <si>
    <t>0.23 x  0.34m</t>
  </si>
  <si>
    <t>12* NatureMailer 230x340mm 100pc/box</t>
  </si>
  <si>
    <t>Nature Mailer 50 pc 0.28*0.33m</t>
  </si>
  <si>
    <t>0.28 x  0.33m</t>
  </si>
  <si>
    <t>18* NatureMailer 280x330mm 50pc/box</t>
  </si>
  <si>
    <t>Nature Mailer 50 pc 0.48*0.32m</t>
  </si>
  <si>
    <t>0.48 x  0.32m</t>
  </si>
  <si>
    <t>12* NatureMailer 480x320mm 50pc/box</t>
  </si>
  <si>
    <t>FP Pack 1p 0.38*360m 70gsm RK gr.</t>
  </si>
  <si>
    <t>Grass</t>
  </si>
  <si>
    <t>TTC 70 Rec pack 38 360m EP Grass</t>
  </si>
  <si>
    <t>PP Pack 2CF 0.38*180m 70/70gsm RK/RK gr.</t>
  </si>
  <si>
    <t>Gdn 70/70 Rec pack 38 180m EP Grass</t>
  </si>
  <si>
    <t>PP Pack 1CF 0.38*250m 100gsm RK gr.</t>
  </si>
  <si>
    <t>100gsm</t>
  </si>
  <si>
    <t>100,0 g/m2 +/- 3,5 g/m²</t>
  </si>
  <si>
    <t>0.38 x  250m</t>
  </si>
  <si>
    <t>Gdn 100 Rec pack 38 250m EP Grass</t>
  </si>
  <si>
    <t>482 ±456</t>
  </si>
  <si>
    <t>0.15 x  0.11m</t>
  </si>
  <si>
    <t>0.80 x 1.20 x 1.83m</t>
  </si>
  <si>
    <t>RC Cool Pack 70 pc CB Tray 200g</t>
  </si>
  <si>
    <t>0.15 x  0.13m</t>
  </si>
  <si>
    <t>Cool Pack 200 gr CB Tray 44*70 Euro</t>
  </si>
  <si>
    <t>RC Cool Pack 40 pc CB Tray 400g</t>
  </si>
  <si>
    <t>0.15 x  0.2m</t>
  </si>
  <si>
    <t>Cool Pack 400 gr CB Tray 44*40 Euro</t>
  </si>
  <si>
    <t>RC Cool Pack 32 pc CB Tray 500g</t>
  </si>
  <si>
    <t>Cool Pack 500 gr CB Tray 44*32 Euro</t>
  </si>
  <si>
    <t>RC Cool Pack 24 pc CB Tray 600g</t>
  </si>
  <si>
    <t>0.15 x  0.24m</t>
  </si>
  <si>
    <t>Cool Pack 600 gr CB Tray 44*24 Euro</t>
  </si>
  <si>
    <t>RC Cool Pack 40 pc IFCO-EU 400g</t>
  </si>
  <si>
    <t>IFCO-EU Euro</t>
  </si>
  <si>
    <t>Cool Pack 400 gr IFCO-EU 44*40 Euro</t>
  </si>
  <si>
    <t>RC Cool Pack 32 pc IFCO-EU 500g</t>
  </si>
  <si>
    <t>Cool Pack 500 gr IFCO-EU 44*32 Euro</t>
  </si>
  <si>
    <t>RC Cool Pack 24 pc IFCO-EU 600g</t>
  </si>
  <si>
    <t>IFCO EU Euro</t>
  </si>
  <si>
    <t>Cool Pack 600 gr IFCO-EU 44*24 Euro</t>
  </si>
  <si>
    <t>CB Tray Block</t>
  </si>
  <si>
    <t>Block</t>
  </si>
  <si>
    <t>Cool Pack 100 gr CB Tray 50*125 Block</t>
  </si>
  <si>
    <t>1.00 x 1.20 x 1.80m</t>
  </si>
  <si>
    <t>Cool Pack 200 gr CB Tray 50*70 Block</t>
  </si>
  <si>
    <t>Cool Pack 400 gr CB Tray 50*40 Block</t>
  </si>
  <si>
    <t>Cool Pack 500 gr CB Tray 50*32 Block</t>
  </si>
  <si>
    <t>Cool Pack 600 gr CB Tray 50*24 Block</t>
  </si>
  <si>
    <t>RC Cool Pack 40 pc IFCO-UK 400g</t>
  </si>
  <si>
    <t>IFCO-UK Block</t>
  </si>
  <si>
    <t>Cool Pack 400 gr IFCO-UK 50*40 Block</t>
  </si>
  <si>
    <t>RC Cool Pack 32 pc IFCO-UK 500g</t>
  </si>
  <si>
    <t>Cool Pack 500 gr IFCO-UK 50*32 Block</t>
  </si>
  <si>
    <t>1.00 x 1.20 x 1.66m</t>
  </si>
  <si>
    <t>RC Cool Pack 24 pc IFCO-UK 600g</t>
  </si>
  <si>
    <t>Cool Pack 600 gr IFCO-UK 50*24 Block</t>
  </si>
  <si>
    <t>RC Cool Chainbag 2*450g CB Tray</t>
  </si>
  <si>
    <t>0.15 x  0.21m</t>
  </si>
  <si>
    <t>Cool Chainbag 2*450 gr CB Tray Euro</t>
  </si>
  <si>
    <t>RC Cool Pack 50 pc CB Tray 300g</t>
  </si>
  <si>
    <t>0.15 x  0.17m</t>
  </si>
  <si>
    <t>Cool Pack 300 gr CB Tray 44*50 Euro</t>
  </si>
  <si>
    <t>RC Cool Chainbag 2*150g IFCO-UK</t>
  </si>
  <si>
    <t>Cool Chainbag 2*150 gr IFCO-UK Block</t>
  </si>
  <si>
    <t>75gsm</t>
  </si>
  <si>
    <t>75,0 g/m2 +/- 2,5 g/m²</t>
  </si>
  <si>
    <t>GE Roll DC 0.51*164m 80gsm PK W.</t>
  </si>
  <si>
    <t>Roll with 164m white Geami paper</t>
  </si>
  <si>
    <t>30 * DC 20" 164m white</t>
  </si>
  <si>
    <t>RC Cool Pack 20 pc CB Tray 800g</t>
  </si>
  <si>
    <t>Cool Pack 800 gr CB Tray 50*20 Block</t>
  </si>
  <si>
    <t>RC Cool Pack 20 pc IFCO Tray 800g</t>
  </si>
  <si>
    <t>Cool Pack 800 gr IFCO-UK 50*20 Block</t>
  </si>
  <si>
    <t>FP Pack 1p 0.38*360m 75gsm EL</t>
  </si>
  <si>
    <t>48*FTG 75 360m</t>
  </si>
  <si>
    <t>517 ±19</t>
  </si>
  <si>
    <t>FP Pack 1p 0.38*500m50gsm RK gr</t>
  </si>
  <si>
    <t>GrasiKraft</t>
  </si>
  <si>
    <t>Light brown</t>
  </si>
  <si>
    <t>48*FT 50 500m GR</t>
  </si>
  <si>
    <t>09/27/2024 09:39 AM</t>
  </si>
  <si>
    <t>60 * DC 20" 164m</t>
  </si>
  <si>
    <t>01/14/2025 12:39 PM</t>
  </si>
  <si>
    <t>LDPE 4</t>
  </si>
  <si>
    <t>PP 5</t>
  </si>
  <si>
    <t>??</t>
  </si>
  <si>
    <t>PET 1</t>
  </si>
  <si>
    <t>Check</t>
  </si>
  <si>
    <t>x</t>
  </si>
  <si>
    <t>HDPE</t>
  </si>
  <si>
    <t>LDPE</t>
  </si>
  <si>
    <t>Primary</t>
  </si>
  <si>
    <t xml:space="preserve">Primary </t>
  </si>
  <si>
    <t>Tertairy</t>
  </si>
  <si>
    <t>Tert</t>
  </si>
  <si>
    <t>Sec</t>
  </si>
  <si>
    <t>Individual weights</t>
  </si>
  <si>
    <t># of items</t>
  </si>
  <si>
    <t>material</t>
  </si>
  <si>
    <t>Total weights</t>
  </si>
  <si>
    <t>Total weight</t>
  </si>
  <si>
    <t>Unit</t>
  </si>
  <si>
    <t>Wood</t>
  </si>
  <si>
    <t>Corner posts</t>
  </si>
  <si>
    <t>Corrug tray</t>
  </si>
  <si>
    <t>Strap bands</t>
  </si>
  <si>
    <t>Stretch film</t>
  </si>
  <si>
    <t>L shape</t>
  </si>
  <si>
    <t>Strapband</t>
  </si>
  <si>
    <t>Roll core</t>
  </si>
  <si>
    <t>Roll end caps</t>
  </si>
  <si>
    <t>CC  box/tray</t>
  </si>
  <si>
    <t>CC tray</t>
  </si>
  <si>
    <t>CC Box</t>
  </si>
  <si>
    <t>L-shape</t>
  </si>
  <si>
    <t>Strap</t>
  </si>
  <si>
    <t>Roll plugs</t>
  </si>
  <si>
    <t>Sticker</t>
  </si>
  <si>
    <t>Pallet</t>
  </si>
  <si>
    <t>Top posts</t>
  </si>
  <si>
    <t>Corrug sheet</t>
  </si>
  <si>
    <t>Paper</t>
  </si>
  <si>
    <t>roll</t>
  </si>
  <si>
    <t>roll_30</t>
  </si>
  <si>
    <t>HDPE 2</t>
  </si>
  <si>
    <t>CL_box</t>
  </si>
  <si>
    <t>roll_27</t>
  </si>
  <si>
    <t>CC_tray</t>
  </si>
  <si>
    <t>roll_15</t>
  </si>
  <si>
    <t>pack_30</t>
  </si>
  <si>
    <t>PP</t>
  </si>
  <si>
    <t>pack_15</t>
  </si>
  <si>
    <t>pack_22.5</t>
  </si>
  <si>
    <t>Geami_EX</t>
  </si>
  <si>
    <t>Geami_HV</t>
  </si>
  <si>
    <t>pack_GD</t>
  </si>
  <si>
    <t>roll_DC</t>
  </si>
  <si>
    <t>roll_IL</t>
  </si>
  <si>
    <t>PAP</t>
  </si>
  <si>
    <t>Secondary</t>
  </si>
  <si>
    <t>Article number</t>
  </si>
  <si>
    <t>PET</t>
  </si>
  <si>
    <t>Plastic 4</t>
  </si>
  <si>
    <t>Totals</t>
  </si>
  <si>
    <t>Quantity</t>
  </si>
  <si>
    <t>CPAP</t>
  </si>
  <si>
    <t>PRIMARY</t>
  </si>
  <si>
    <t>SECONDARY</t>
  </si>
  <si>
    <t>#PPperSP</t>
  </si>
  <si>
    <t>TERTIARY</t>
  </si>
  <si>
    <t>FOR</t>
  </si>
  <si>
    <t>#SPperTP</t>
  </si>
  <si>
    <t>TOTAL PER PALLET</t>
  </si>
  <si>
    <t>TOTAL PER ORDER</t>
  </si>
  <si>
    <t>CL 1ply 80 - Euro</t>
  </si>
  <si>
    <t>CL 1ply 100 - Euro</t>
  </si>
  <si>
    <t>CL 1ply 115 - Euro</t>
  </si>
  <si>
    <t>CL 2ply 80 - Euro</t>
  </si>
  <si>
    <t>CL 2ply 100 - Euro</t>
  </si>
  <si>
    <t>C L2ply 115 - Euro</t>
  </si>
  <si>
    <t>CL 1ply 80 - Blok</t>
  </si>
  <si>
    <t>CL 1ply 100 - Blok</t>
  </si>
  <si>
    <t>CL 1ply 115 - Blok</t>
  </si>
  <si>
    <t>CL 2ply 80 - Blok</t>
  </si>
  <si>
    <t>CL 2ply 100 - Blok</t>
  </si>
  <si>
    <t>C L2ply 115 - Blok</t>
  </si>
  <si>
    <t>HDPE (returnable)</t>
  </si>
  <si>
    <t>totals</t>
  </si>
  <si>
    <t>100 Tray - Euro</t>
  </si>
  <si>
    <t>200 Tray - Euro</t>
  </si>
  <si>
    <t>300 Tray - Euro</t>
  </si>
  <si>
    <t>400 Tray - Euro</t>
  </si>
  <si>
    <t>500 Tray - Euro</t>
  </si>
  <si>
    <t>600 Tray - Euro</t>
  </si>
  <si>
    <t>800 Tray - Euro</t>
  </si>
  <si>
    <t>100 IFCO - Euro</t>
  </si>
  <si>
    <t>200 IFCO - Euro</t>
  </si>
  <si>
    <t>300 IFCO - Euro</t>
  </si>
  <si>
    <t>400 IFCO - Euro</t>
  </si>
  <si>
    <t>500 IFCO - Euro</t>
  </si>
  <si>
    <t>600 IFCO - Euro</t>
  </si>
  <si>
    <t>800 IFCO - Euro</t>
  </si>
  <si>
    <t>100 Tray - Block</t>
  </si>
  <si>
    <t>200 Tray - Block</t>
  </si>
  <si>
    <t>300 Tray - Block</t>
  </si>
  <si>
    <t>400 Tray - Block</t>
  </si>
  <si>
    <t>500 Tray - Block</t>
  </si>
  <si>
    <t>600 Tray - Block</t>
  </si>
  <si>
    <t>800 Tray - Block</t>
  </si>
  <si>
    <t>100 IFCO - Block</t>
  </si>
  <si>
    <t>200 IFCO - Block</t>
  </si>
  <si>
    <t>300 IFCO - Block</t>
  </si>
  <si>
    <t>400 IFCO - Block</t>
  </si>
  <si>
    <t>500 IFCO - Block</t>
  </si>
  <si>
    <t>600 IFCO - Block</t>
  </si>
  <si>
    <t>800 IFCO - Block</t>
  </si>
  <si>
    <t>List Pierre</t>
  </si>
  <si>
    <t>Pricelist Wendy</t>
  </si>
  <si>
    <t>24*PF 90 300m LC BULK</t>
  </si>
  <si>
    <t>32*PF 70 360M 22,5"</t>
  </si>
  <si>
    <t>32*PF 90 300m 22,5" Ecoline</t>
  </si>
  <si>
    <t>32*PF 90 300m 22,5"</t>
  </si>
  <si>
    <t>24*PF 70 360m 30" Ecoline</t>
  </si>
  <si>
    <t>24*PF 90 300m 30" Ecoline</t>
  </si>
  <si>
    <t>24*PF 90 300m 30" R</t>
  </si>
  <si>
    <t>24*PF 90 300m</t>
  </si>
  <si>
    <t>6 * TCL 15" Sheets 150*0.800M</t>
  </si>
  <si>
    <t>5 * TCL 15" Sheets 150*1.000M</t>
  </si>
  <si>
    <t>4 * TCL 15" Sheets 150*1.150M</t>
  </si>
  <si>
    <t>6 * TCL 15" SHEETS 2DC 100*0.800M</t>
  </si>
  <si>
    <t>5 * TCL 15" SHEETS 2DC 100*1.000M</t>
  </si>
  <si>
    <t>4 * TCL 15" SHEETS 2DC 100*1.150M</t>
  </si>
  <si>
    <t>48*FTG 75 330m</t>
  </si>
  <si>
    <t>PF 90 7.200m 30" Rec BULK</t>
  </si>
  <si>
    <t>Cool Chainbag 3*100 gr CB Tray Euro</t>
  </si>
  <si>
    <t>FP*46 Pack 1p 0.38*300m 90gsm EL</t>
  </si>
  <si>
    <t>FP*48 Pack 1p 0.38*300m 90gsm EL</t>
  </si>
  <si>
    <t>22 * DC 18" 418m</t>
  </si>
  <si>
    <t>12* NatureMailer 180x260mm 200pc/box SA</t>
  </si>
  <si>
    <t>28* NatureMailer S 150x215mm 300pc/box</t>
  </si>
  <si>
    <t>28* NatureMailer S 180x260mm 200pc/box</t>
  </si>
  <si>
    <t>42* NatureMailer S 230x340mm 100pc/box</t>
  </si>
  <si>
    <t>63* NatureMailer S 280x330mm 50pc/box</t>
  </si>
  <si>
    <t>42* NatureMailer S 480x320mm 50pc/box</t>
  </si>
  <si>
    <t>Cool Pack 800 gr CB Tray 44*20 Euro</t>
  </si>
  <si>
    <t>Lid tray RecyCold cool packs</t>
  </si>
  <si>
    <t>LDPE 5</t>
  </si>
  <si>
    <t>LDPE 6</t>
  </si>
  <si>
    <t>LDPE 7</t>
  </si>
  <si>
    <t>LDPE 8</t>
  </si>
  <si>
    <t>LDPE 9</t>
  </si>
  <si>
    <t>LDPE 10</t>
  </si>
  <si>
    <t>GE Roll DC 0.51*250m 80gsm PK Box</t>
  </si>
  <si>
    <t>80.0 g/m2 +/- 3.0 g/m²</t>
  </si>
  <si>
    <t>30 * DC 20" 250m BOX</t>
  </si>
  <si>
    <t xml:space="preserve">GE Roll DC 0.51*250m 80gsm PK </t>
  </si>
  <si>
    <t>80</t>
  </si>
  <si>
    <t>PP per SP</t>
  </si>
  <si>
    <t>SP per TP</t>
  </si>
  <si>
    <t>Double roll</t>
  </si>
  <si>
    <t>Single roll</t>
  </si>
  <si>
    <t>Corrugated 1</t>
  </si>
  <si>
    <t>Corrugated 2</t>
  </si>
  <si>
    <t>Corrugated 3</t>
  </si>
  <si>
    <t>Corrugated 4</t>
  </si>
  <si>
    <t>Corrugated 5</t>
  </si>
  <si>
    <t>Corrugated 6</t>
  </si>
  <si>
    <t>Corrugated 7</t>
  </si>
  <si>
    <t>Corrugated 8</t>
  </si>
  <si>
    <t>Corrugated 9</t>
  </si>
  <si>
    <t>Metal</t>
  </si>
  <si>
    <t>HDPE 1</t>
  </si>
  <si>
    <t>Cord</t>
  </si>
  <si>
    <t>ExBox Mini</t>
  </si>
  <si>
    <t>2e pricelist Wendy</t>
  </si>
  <si>
    <t>Material number</t>
  </si>
  <si>
    <t xml:space="preserve">Totals per </t>
  </si>
  <si>
    <t>PALLET</t>
  </si>
  <si>
    <t>ORDER</t>
  </si>
  <si>
    <t xml:space="preserve">Quantity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</si>
</sst>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0.000"/>
    <numFmt numFmtId="166" formatCode="0\ &quot;g&quot;"/>
    <numFmt numFmtId="167" formatCode="0.000\ &quot;kg&quot;"/>
    <numFmt numFmtId="168" formatCode="0.0"/>
    <numFmt numFmtId="169" formatCode="#,##0\ &quot;kg&quot;"/>
    <numFmt numFmtId="170" formatCode="#,##0.0\ &quot;g&quot;"/>
    <numFmt numFmtId="171" formatCode="&quot;# &quot;0"/>
    <numFmt numFmtId="172" formatCode="#,##0.000\ &quot;kg&quot;"/>
    <numFmt numFmtId="173" formatCode="#,##0.00\ &quot;kg&quot;"/>
    <numFmt numFmtId="174" formatCode="General\ &quot;g&quot;"/>
    <numFmt numFmtId="175" formatCode="#,##0\ &quot;g&quot;"/>
    <numFmt numFmtId="176" formatCode="_-&quot;£&quot;* #,##0.00_-;\-&quot;£&quot;* #,##0.00_-;_-&quot;£&quot;* &quot;-&quot;??_-;_-@_-"/>
    <numFmt numFmtId="177" formatCode="_-* #,##0.00_-;\-* #,##0.00_-;_-* &quot;-&quot;??_-;_-@_-"/>
  </numFmts>
  <fonts count="23">
    <font>
      <sz val="10"/>
      <color indexed="8"/>
      <name val="Helvetica Neue"/>
    </font>
    <font>
      <sz val="11"/>
      <color theme="1"/>
      <name val="Helvetica Neue"/>
      <family val="2"/>
      <scheme val="minor"/>
    </font>
    <font>
      <sz val="11"/>
      <color theme="1"/>
      <name val="Helvetica Neue"/>
      <family val="2"/>
      <scheme val="minor"/>
    </font>
    <font>
      <b/>
      <sz val="10"/>
      <color indexed="8"/>
      <name val="Helvetica Neue"/>
    </font>
    <font>
      <sz val="10"/>
      <color theme="0"/>
      <name val="Helvetica Neue"/>
    </font>
    <font>
      <sz val="10"/>
      <color indexed="8"/>
      <name val="Helvetica Neue"/>
    </font>
    <font>
      <sz val="9"/>
      <color indexed="81"/>
      <name val="Tahoma"/>
      <family val="2"/>
    </font>
    <font>
      <b/>
      <sz val="9"/>
      <color indexed="81"/>
      <name val="Tahoma"/>
      <family val="2"/>
    </font>
    <font>
      <b/>
      <sz val="11"/>
      <color theme="0"/>
      <name val="Calibri"/>
      <family val="2"/>
    </font>
    <font>
      <sz val="11"/>
      <name val="Calibri"/>
      <family val="2"/>
    </font>
    <font>
      <sz val="11"/>
      <color rgb="FFFF0000"/>
      <name val="Calibri"/>
      <family val="2"/>
    </font>
    <font>
      <b/>
      <sz val="11"/>
      <color rgb="FFFF0000"/>
      <name val="Calibri"/>
      <family val="2"/>
    </font>
    <font>
      <b/>
      <sz val="10"/>
      <color rgb="FF000000"/>
      <name val="Helvetica Neue"/>
    </font>
    <font>
      <sz val="8"/>
      <name val="Helvetica Neue"/>
    </font>
    <font>
      <b/>
      <sz val="16"/>
      <color indexed="8"/>
      <name val="Helvetica Neue"/>
    </font>
    <font>
      <b/>
      <sz val="10"/>
      <color rgb="FF000000"/>
      <name val="Arial"/>
      <family val="2"/>
    </font>
    <font>
      <b/>
      <sz val="11"/>
      <color indexed="8"/>
      <name val="Helvetica Neue"/>
    </font>
    <font>
      <sz val="10"/>
      <name val="Calibri"/>
      <family val="2"/>
    </font>
    <font>
      <sz val="10"/>
      <name val="Arial"/>
      <family val="2"/>
    </font>
    <font>
      <b/>
      <sz val="10"/>
      <color theme="0"/>
      <name val="Helvetica Neue"/>
    </font>
    <font>
      <b/>
      <sz val="14"/>
      <color indexed="8"/>
      <name val="Helvetica Neue"/>
    </font>
    <font>
      <sz val="11"/>
      <color rgb="FF000000"/>
      <name val="Calibri"/>
      <family val="2"/>
    </font>
    <font>
      <sz val="10"/>
      <color rgb="FF000000"/>
      <name val="Arial"/>
      <family val="2"/>
    </font>
  </fonts>
  <fills count="13">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1"/>
        <bgColor indexed="64"/>
      </patternFill>
    </fill>
    <fill>
      <patternFill patternType="solid">
        <fgColor theme="0" tint="-0.499984740745262"/>
        <bgColor indexed="64"/>
      </patternFill>
    </fill>
    <fill>
      <patternFill patternType="solid">
        <fgColor theme="9"/>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8"/>
        <bgColor indexed="64"/>
      </patternFill>
    </fill>
    <fill>
      <patternFill patternType="solid">
        <fgColor theme="9" tint="0.79998168889431442"/>
        <bgColor indexed="64"/>
      </patternFill>
    </fill>
    <fill>
      <patternFill patternType="solid">
        <fgColor rgb="FFFF0000"/>
        <bgColor indexed="64"/>
      </patternFill>
    </fill>
    <fill>
      <patternFill patternType="solid">
        <fgColor theme="7" tint="0.79998168889431442"/>
        <bgColor indexed="64"/>
      </patternFill>
    </fill>
  </fills>
  <borders count="30">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right/>
      <top/>
      <bottom style="thin">
        <color auto="1"/>
      </bottom>
      <diagonal/>
    </border>
    <border>
      <left/>
      <right style="thin">
        <color indexed="64"/>
      </right>
      <top/>
      <bottom style="thin">
        <color indexed="64"/>
      </bottom>
      <diagonal/>
    </border>
    <border>
      <left/>
      <right style="medium">
        <color indexed="64"/>
      </right>
      <top/>
      <bottom style="thin">
        <color auto="1"/>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s>
  <cellStyleXfs count="11">
    <xf numFmtId="0" fontId="0" fillId="0" borderId="0" applyNumberFormat="0" applyFill="0" applyBorder="0" applyProtection="0">
      <alignment vertical="top" wrapText="1"/>
    </xf>
    <xf numFmtId="9" fontId="5" fillId="0" borderId="0" applyFont="0" applyFill="0" applyBorder="0" applyAlignment="0" applyProtection="0"/>
    <xf numFmtId="0" fontId="2" fillId="0" borderId="0"/>
    <xf numFmtId="0" fontId="21" fillId="0" borderId="0"/>
    <xf numFmtId="0" fontId="21" fillId="0" borderId="0" applyNumberFormat="0" applyFont="0" applyBorder="0" applyProtection="0"/>
    <xf numFmtId="0" fontId="22" fillId="0" borderId="0" applyNumberFormat="0" applyBorder="0" applyProtection="0"/>
    <xf numFmtId="0" fontId="21" fillId="0" borderId="0" applyNumberFormat="0" applyFont="0" applyBorder="0" applyProtection="0"/>
    <xf numFmtId="0" fontId="1" fillId="0" borderId="0"/>
    <xf numFmtId="0" fontId="1" fillId="0" borderId="0"/>
    <xf numFmtId="176" fontId="1" fillId="0" borderId="0" applyFont="0" applyFill="0" applyBorder="0" applyAlignment="0" applyProtection="0"/>
    <xf numFmtId="177" fontId="1" fillId="0" borderId="0" applyFont="0" applyFill="0" applyBorder="0" applyAlignment="0" applyProtection="0"/>
  </cellStyleXfs>
  <cellXfs count="138">
    <xf numFmtId="0" fontId="0" fillId="0" borderId="0" xfId="0">
      <alignment vertical="top" wrapText="1"/>
    </xf>
    <xf numFmtId="0" fontId="0" fillId="0" borderId="0" xfId="0" applyNumberFormat="1" applyAlignment="1">
      <alignment vertical="top"/>
    </xf>
    <xf numFmtId="49" fontId="3" fillId="2" borderId="1" xfId="0" applyNumberFormat="1" applyFont="1" applyFill="1" applyBorder="1" applyAlignment="1">
      <alignment vertical="top"/>
    </xf>
    <xf numFmtId="0" fontId="3"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0" fillId="0" borderId="4" xfId="0" applyNumberFormat="1" applyBorder="1" applyAlignment="1">
      <alignment vertical="top"/>
    </xf>
    <xf numFmtId="9" fontId="0" fillId="0" borderId="4" xfId="0" applyNumberFormat="1" applyBorder="1" applyAlignment="1">
      <alignment vertical="top"/>
    </xf>
    <xf numFmtId="49" fontId="0" fillId="0" borderId="4" xfId="0" applyNumberFormat="1" applyBorder="1">
      <alignment vertical="top" wrapText="1"/>
    </xf>
    <xf numFmtId="0" fontId="3"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0" fontId="0" fillId="0" borderId="7" xfId="0" applyNumberFormat="1" applyBorder="1" applyAlignment="1">
      <alignment vertical="top"/>
    </xf>
    <xf numFmtId="9" fontId="0" fillId="0" borderId="7" xfId="0" applyNumberFormat="1" applyBorder="1" applyAlignment="1">
      <alignment vertical="top"/>
    </xf>
    <xf numFmtId="49" fontId="0" fillId="0" borderId="7" xfId="0" applyNumberFormat="1" applyBorder="1">
      <alignment vertical="top" wrapText="1"/>
    </xf>
    <xf numFmtId="0" fontId="0" fillId="0" borderId="6" xfId="0" applyBorder="1" applyAlignment="1">
      <alignment vertical="top"/>
    </xf>
    <xf numFmtId="164" fontId="0" fillId="0" borderId="7" xfId="0" applyNumberFormat="1" applyBorder="1" applyAlignment="1">
      <alignment vertical="top"/>
    </xf>
    <xf numFmtId="0" fontId="0" fillId="0" borderId="10" xfId="0" applyBorder="1">
      <alignment vertical="top" wrapText="1"/>
    </xf>
    <xf numFmtId="0" fontId="4" fillId="0" borderId="0" xfId="0" applyFont="1">
      <alignment vertical="top" wrapText="1"/>
    </xf>
    <xf numFmtId="0" fontId="0" fillId="0" borderId="11" xfId="0" applyNumberFormat="1" applyBorder="1" applyAlignment="1">
      <alignment vertical="top"/>
    </xf>
    <xf numFmtId="9" fontId="0" fillId="0" borderId="0" xfId="1" applyFont="1" applyAlignment="1">
      <alignment vertical="top"/>
    </xf>
    <xf numFmtId="0" fontId="0" fillId="0" borderId="0" xfId="0" applyNumberFormat="1" applyBorder="1" applyAlignment="1">
      <alignment vertical="top"/>
    </xf>
    <xf numFmtId="0" fontId="0" fillId="0" borderId="0" xfId="0" applyAlignment="1"/>
    <xf numFmtId="0" fontId="0" fillId="4" borderId="0" xfId="0" applyFill="1" applyAlignment="1"/>
    <xf numFmtId="0" fontId="0" fillId="0" borderId="12" xfId="0" applyBorder="1" applyAlignment="1"/>
    <xf numFmtId="0" fontId="9" fillId="0" borderId="0" xfId="0" applyFont="1" applyAlignment="1"/>
    <xf numFmtId="0" fontId="0" fillId="0" borderId="0" xfId="0" applyFill="1" applyAlignment="1"/>
    <xf numFmtId="0" fontId="9" fillId="0" borderId="15" xfId="0" applyFont="1" applyBorder="1" applyAlignment="1"/>
    <xf numFmtId="0" fontId="0" fillId="0" borderId="16" xfId="0" applyBorder="1" applyAlignment="1"/>
    <xf numFmtId="0" fontId="0" fillId="0" borderId="17" xfId="0" applyBorder="1" applyAlignment="1"/>
    <xf numFmtId="0" fontId="9" fillId="0" borderId="17" xfId="0" applyFont="1" applyBorder="1" applyAlignment="1"/>
    <xf numFmtId="0" fontId="9" fillId="0" borderId="16" xfId="0" applyFont="1" applyBorder="1" applyAlignment="1"/>
    <xf numFmtId="0" fontId="0" fillId="0" borderId="18" xfId="0" applyBorder="1" applyAlignment="1"/>
    <xf numFmtId="0" fontId="0" fillId="0" borderId="10" xfId="0" applyBorder="1" applyAlignment="1"/>
    <xf numFmtId="0" fontId="0" fillId="0" borderId="0" xfId="0" applyBorder="1" applyAlignment="1"/>
    <xf numFmtId="0" fontId="0" fillId="4" borderId="0" xfId="0" applyFill="1" applyBorder="1" applyAlignment="1"/>
    <xf numFmtId="0" fontId="0" fillId="0" borderId="10" xfId="0" applyFill="1" applyBorder="1" applyAlignment="1"/>
    <xf numFmtId="0" fontId="0" fillId="0" borderId="19" xfId="0" applyBorder="1" applyAlignment="1"/>
    <xf numFmtId="2" fontId="0" fillId="0" borderId="0" xfId="0" applyNumberFormat="1" applyBorder="1" applyAlignment="1"/>
    <xf numFmtId="2" fontId="0" fillId="0" borderId="11" xfId="0" applyNumberFormat="1" applyBorder="1" applyAlignment="1"/>
    <xf numFmtId="0" fontId="0" fillId="0" borderId="11" xfId="0" applyBorder="1" applyAlignment="1"/>
    <xf numFmtId="2" fontId="0" fillId="0" borderId="20" xfId="0" applyNumberFormat="1" applyBorder="1" applyAlignment="1"/>
    <xf numFmtId="2" fontId="10" fillId="0" borderId="0" xfId="0" applyNumberFormat="1" applyFont="1" applyBorder="1" applyAlignment="1"/>
    <xf numFmtId="2" fontId="9" fillId="0" borderId="0" xfId="0" applyNumberFormat="1" applyFont="1" applyBorder="1" applyAlignment="1"/>
    <xf numFmtId="2" fontId="11" fillId="0" borderId="0" xfId="0" applyNumberFormat="1" applyFont="1" applyBorder="1" applyAlignment="1"/>
    <xf numFmtId="2" fontId="11" fillId="0" borderId="11" xfId="0" applyNumberFormat="1" applyFont="1" applyBorder="1" applyAlignment="1"/>
    <xf numFmtId="0" fontId="0" fillId="0" borderId="21" xfId="0" applyBorder="1" applyAlignment="1"/>
    <xf numFmtId="2" fontId="0" fillId="0" borderId="10" xfId="0" applyNumberFormat="1" applyBorder="1" applyAlignment="1"/>
    <xf numFmtId="2" fontId="0" fillId="0" borderId="22" xfId="0" applyNumberFormat="1" applyBorder="1" applyAlignment="1"/>
    <xf numFmtId="0" fontId="0" fillId="0" borderId="22" xfId="0" applyBorder="1" applyAlignment="1"/>
    <xf numFmtId="2" fontId="0" fillId="0" borderId="23" xfId="0" applyNumberFormat="1" applyBorder="1" applyAlignment="1"/>
    <xf numFmtId="0" fontId="9" fillId="0" borderId="10" xfId="0" applyFont="1" applyBorder="1" applyAlignment="1"/>
    <xf numFmtId="0" fontId="3" fillId="0" borderId="0" xfId="0" applyNumberFormat="1" applyFont="1" applyAlignment="1">
      <alignment vertical="top"/>
    </xf>
    <xf numFmtId="0" fontId="12" fillId="0" borderId="0" xfId="0" applyNumberFormat="1" applyFont="1" applyAlignment="1">
      <alignment vertical="top"/>
    </xf>
    <xf numFmtId="49" fontId="0" fillId="6" borderId="7" xfId="0" applyNumberFormat="1" applyFill="1" applyBorder="1" applyAlignment="1">
      <alignment vertical="top"/>
    </xf>
    <xf numFmtId="0" fontId="0" fillId="0" borderId="24" xfId="0" applyBorder="1">
      <alignment vertical="top" wrapText="1"/>
    </xf>
    <xf numFmtId="165" fontId="0" fillId="0" borderId="24" xfId="0" applyNumberFormat="1" applyBorder="1">
      <alignment vertical="top" wrapText="1"/>
    </xf>
    <xf numFmtId="1" fontId="0" fillId="0" borderId="24" xfId="0" applyNumberFormat="1" applyBorder="1">
      <alignment vertical="top" wrapText="1"/>
    </xf>
    <xf numFmtId="0" fontId="0" fillId="7" borderId="0" xfId="0" applyNumberFormat="1" applyFill="1" applyAlignment="1">
      <alignment vertical="top"/>
    </xf>
    <xf numFmtId="0" fontId="0" fillId="7" borderId="0" xfId="0" applyNumberFormat="1" applyFill="1" applyBorder="1" applyAlignment="1">
      <alignment vertical="top"/>
    </xf>
    <xf numFmtId="0" fontId="0" fillId="8" borderId="0" xfId="0" applyNumberFormat="1" applyFill="1" applyAlignment="1">
      <alignment vertical="top"/>
    </xf>
    <xf numFmtId="0" fontId="0" fillId="8" borderId="0" xfId="0" applyNumberFormat="1" applyFill="1" applyBorder="1" applyAlignment="1">
      <alignment vertical="top"/>
    </xf>
    <xf numFmtId="0" fontId="3" fillId="7" borderId="0" xfId="0" applyNumberFormat="1" applyFont="1" applyFill="1" applyAlignment="1">
      <alignment vertical="top"/>
    </xf>
    <xf numFmtId="0" fontId="3" fillId="8" borderId="0" xfId="0" applyNumberFormat="1" applyFont="1" applyFill="1" applyAlignment="1">
      <alignment vertical="top"/>
    </xf>
    <xf numFmtId="0" fontId="0" fillId="7" borderId="11" xfId="0" applyNumberFormat="1" applyFill="1" applyBorder="1" applyAlignment="1">
      <alignment vertical="top"/>
    </xf>
    <xf numFmtId="165" fontId="0" fillId="8" borderId="0" xfId="0" applyNumberFormat="1" applyFill="1" applyAlignment="1">
      <alignment vertical="top"/>
    </xf>
    <xf numFmtId="0" fontId="0" fillId="7" borderId="10" xfId="0" applyNumberFormat="1" applyFill="1" applyBorder="1" applyAlignment="1">
      <alignment vertical="top"/>
    </xf>
    <xf numFmtId="0" fontId="0" fillId="8" borderId="10" xfId="0" applyNumberFormat="1" applyFill="1" applyBorder="1" applyAlignment="1">
      <alignment vertical="top"/>
    </xf>
    <xf numFmtId="0" fontId="14" fillId="0" borderId="0" xfId="0" applyNumberFormat="1" applyFont="1" applyAlignment="1">
      <alignment horizontal="right" vertical="top"/>
    </xf>
    <xf numFmtId="0" fontId="14" fillId="7" borderId="0" xfId="0" applyNumberFormat="1" applyFont="1" applyFill="1" applyAlignment="1">
      <alignment horizontal="right" vertical="top"/>
    </xf>
    <xf numFmtId="0" fontId="14" fillId="8" borderId="0" xfId="0" applyNumberFormat="1" applyFont="1" applyFill="1" applyAlignment="1">
      <alignment horizontal="right" vertical="top"/>
    </xf>
    <xf numFmtId="169" fontId="0" fillId="0" borderId="0" xfId="0" applyNumberFormat="1">
      <alignment vertical="top" wrapText="1"/>
    </xf>
    <xf numFmtId="0" fontId="0" fillId="7" borderId="0" xfId="0" applyFill="1">
      <alignment vertical="top" wrapText="1"/>
    </xf>
    <xf numFmtId="165" fontId="0" fillId="7" borderId="0" xfId="0" applyNumberFormat="1" applyFill="1">
      <alignment vertical="top" wrapText="1"/>
    </xf>
    <xf numFmtId="1" fontId="0" fillId="7" borderId="0" xfId="0" applyNumberFormat="1" applyFill="1">
      <alignment vertical="top" wrapText="1"/>
    </xf>
    <xf numFmtId="168" fontId="0" fillId="7" borderId="0" xfId="0" applyNumberFormat="1" applyFill="1">
      <alignment vertical="top" wrapText="1"/>
    </xf>
    <xf numFmtId="0" fontId="0" fillId="8" borderId="0" xfId="0" applyFill="1">
      <alignment vertical="top" wrapText="1"/>
    </xf>
    <xf numFmtId="1" fontId="0" fillId="8" borderId="0" xfId="0" applyNumberFormat="1" applyFill="1">
      <alignment vertical="top" wrapText="1"/>
    </xf>
    <xf numFmtId="165" fontId="0" fillId="8" borderId="0" xfId="0" applyNumberFormat="1" applyFill="1">
      <alignment vertical="top" wrapText="1"/>
    </xf>
    <xf numFmtId="170" fontId="0" fillId="0" borderId="0" xfId="0" applyNumberFormat="1" applyAlignment="1"/>
    <xf numFmtId="0" fontId="0" fillId="9" borderId="0" xfId="0" applyFill="1" applyAlignment="1"/>
    <xf numFmtId="1" fontId="0" fillId="0" borderId="0" xfId="0" applyNumberFormat="1" applyAlignment="1"/>
    <xf numFmtId="0" fontId="15" fillId="0" borderId="0" xfId="0" applyFont="1" applyAlignment="1">
      <alignment vertical="top"/>
    </xf>
    <xf numFmtId="0" fontId="15" fillId="10" borderId="0" xfId="0" applyFont="1" applyFill="1" applyAlignment="1">
      <alignment vertical="top"/>
    </xf>
    <xf numFmtId="0" fontId="3" fillId="10" borderId="5" xfId="0" applyNumberFormat="1" applyFont="1" applyFill="1" applyBorder="1" applyAlignment="1">
      <alignment vertical="top"/>
    </xf>
    <xf numFmtId="0" fontId="16" fillId="0" borderId="0" xfId="0" applyNumberFormat="1" applyFont="1" applyAlignment="1">
      <alignment vertical="top"/>
    </xf>
    <xf numFmtId="0" fontId="17" fillId="0" borderId="0" xfId="0" applyNumberFormat="1" applyFont="1" applyAlignment="1">
      <alignment vertical="top"/>
    </xf>
    <xf numFmtId="0" fontId="18" fillId="0" borderId="0" xfId="0" applyFont="1" applyAlignment="1">
      <alignment vertical="top"/>
    </xf>
    <xf numFmtId="0" fontId="15" fillId="11" borderId="0" xfId="0" applyFont="1" applyFill="1" applyAlignment="1">
      <alignment vertical="top"/>
    </xf>
    <xf numFmtId="0" fontId="3" fillId="8" borderId="5" xfId="0" applyNumberFormat="1" applyFont="1" applyFill="1" applyBorder="1" applyAlignment="1">
      <alignment vertical="top"/>
    </xf>
    <xf numFmtId="0" fontId="3" fillId="8" borderId="0" xfId="0" applyNumberFormat="1" applyFont="1" applyFill="1" applyBorder="1" applyAlignment="1">
      <alignment vertical="top"/>
    </xf>
    <xf numFmtId="49" fontId="0" fillId="0" borderId="25" xfId="0" applyNumberFormat="1" applyFill="1" applyBorder="1" applyAlignment="1">
      <alignment vertical="top"/>
    </xf>
    <xf numFmtId="0" fontId="0" fillId="0" borderId="25" xfId="0" applyNumberFormat="1" applyFill="1" applyBorder="1" applyAlignment="1">
      <alignment vertical="top"/>
    </xf>
    <xf numFmtId="0" fontId="0" fillId="0" borderId="25" xfId="0" applyFill="1" applyBorder="1" applyAlignment="1">
      <alignment vertical="top"/>
    </xf>
    <xf numFmtId="0" fontId="0" fillId="0" borderId="26" xfId="0" applyBorder="1">
      <alignment vertical="top" wrapText="1"/>
    </xf>
    <xf numFmtId="0" fontId="0" fillId="0" borderId="0" xfId="0" applyBorder="1">
      <alignment vertical="top" wrapText="1"/>
    </xf>
    <xf numFmtId="0" fontId="0" fillId="0" borderId="11" xfId="0" applyBorder="1">
      <alignment vertical="top" wrapText="1"/>
    </xf>
    <xf numFmtId="0" fontId="0" fillId="0" borderId="27" xfId="0" applyBorder="1">
      <alignment vertical="top" wrapText="1"/>
    </xf>
    <xf numFmtId="0" fontId="0" fillId="0" borderId="28" xfId="0" applyBorder="1">
      <alignment vertical="top" wrapText="1"/>
    </xf>
    <xf numFmtId="0" fontId="19" fillId="4" borderId="12" xfId="0" applyFont="1" applyFill="1" applyBorder="1">
      <alignment vertical="top" wrapText="1"/>
    </xf>
    <xf numFmtId="0" fontId="19" fillId="4" borderId="14" xfId="0" applyFont="1" applyFill="1" applyBorder="1">
      <alignment vertical="top" wrapText="1"/>
    </xf>
    <xf numFmtId="0" fontId="3" fillId="0" borderId="0" xfId="0" applyFont="1" applyAlignment="1"/>
    <xf numFmtId="0" fontId="19" fillId="0" borderId="0" xfId="0" applyFont="1" applyFill="1" applyBorder="1">
      <alignment vertical="top" wrapText="1"/>
    </xf>
    <xf numFmtId="0" fontId="0" fillId="0" borderId="0" xfId="0" applyFill="1" applyBorder="1">
      <alignment vertical="top" wrapText="1"/>
    </xf>
    <xf numFmtId="1" fontId="0" fillId="0" borderId="0" xfId="0" applyNumberFormat="1" applyFill="1" applyBorder="1">
      <alignment vertical="top" wrapText="1"/>
    </xf>
    <xf numFmtId="165" fontId="0" fillId="0" borderId="0" xfId="0" applyNumberFormat="1" applyFill="1" applyBorder="1">
      <alignment vertical="top" wrapText="1"/>
    </xf>
    <xf numFmtId="0" fontId="19" fillId="4" borderId="8" xfId="0" applyFont="1" applyFill="1" applyBorder="1">
      <alignment vertical="top" wrapText="1"/>
    </xf>
    <xf numFmtId="0" fontId="19" fillId="4" borderId="9" xfId="0" applyFont="1" applyFill="1" applyBorder="1">
      <alignment vertical="top" wrapText="1"/>
    </xf>
    <xf numFmtId="0" fontId="20" fillId="0" borderId="0" xfId="0" applyFont="1">
      <alignment vertical="top" wrapText="1"/>
    </xf>
    <xf numFmtId="166" fontId="0" fillId="0" borderId="0" xfId="0" applyNumberFormat="1" applyBorder="1">
      <alignment vertical="top" wrapText="1"/>
    </xf>
    <xf numFmtId="167" fontId="0" fillId="0" borderId="0" xfId="0" applyNumberFormat="1" applyBorder="1">
      <alignment vertical="top" wrapText="1"/>
    </xf>
    <xf numFmtId="0" fontId="0" fillId="0" borderId="0" xfId="0" applyFill="1">
      <alignment vertical="top" wrapText="1"/>
    </xf>
    <xf numFmtId="166" fontId="0" fillId="0" borderId="0" xfId="0" applyNumberFormat="1" applyFill="1" applyBorder="1">
      <alignment vertical="top" wrapText="1"/>
    </xf>
    <xf numFmtId="167" fontId="0" fillId="0" borderId="0" xfId="0" applyNumberFormat="1" applyFill="1" applyBorder="1">
      <alignment vertical="top" wrapText="1"/>
    </xf>
    <xf numFmtId="171" fontId="19" fillId="0" borderId="0" xfId="0" applyNumberFormat="1" applyFont="1" applyFill="1" applyBorder="1">
      <alignment vertical="top" wrapText="1"/>
    </xf>
    <xf numFmtId="0" fontId="19" fillId="4" borderId="14" xfId="0" applyFont="1" applyFill="1" applyBorder="1" applyAlignment="1">
      <alignment horizontal="right" vertical="top" wrapText="1"/>
    </xf>
    <xf numFmtId="171" fontId="19" fillId="4" borderId="14" xfId="0" applyNumberFormat="1" applyFont="1" applyFill="1" applyBorder="1" applyAlignment="1">
      <alignment horizontal="right" vertical="top" wrapText="1"/>
    </xf>
    <xf numFmtId="0" fontId="3" fillId="0" borderId="10" xfId="0" applyFont="1" applyBorder="1">
      <alignment vertical="top" wrapText="1"/>
    </xf>
    <xf numFmtId="0" fontId="3" fillId="0" borderId="10" xfId="0" applyFont="1" applyBorder="1" applyAlignment="1">
      <alignment horizontal="right" vertical="top" wrapText="1" indent="1"/>
    </xf>
    <xf numFmtId="0" fontId="19" fillId="4" borderId="29" xfId="0" applyFont="1" applyFill="1" applyBorder="1">
      <alignment vertical="top" wrapText="1"/>
    </xf>
    <xf numFmtId="169" fontId="0" fillId="0" borderId="20" xfId="0" applyNumberFormat="1" applyBorder="1">
      <alignment vertical="top" wrapText="1"/>
    </xf>
    <xf numFmtId="169" fontId="0" fillId="0" borderId="23" xfId="0" applyNumberFormat="1" applyBorder="1">
      <alignment vertical="top" wrapText="1"/>
    </xf>
    <xf numFmtId="172" fontId="0" fillId="0" borderId="0" xfId="0" applyNumberFormat="1" applyBorder="1">
      <alignment vertical="top" wrapText="1"/>
    </xf>
    <xf numFmtId="172" fontId="0" fillId="0" borderId="10" xfId="0" applyNumberFormat="1" applyBorder="1">
      <alignment vertical="top" wrapText="1"/>
    </xf>
    <xf numFmtId="173" fontId="0" fillId="0" borderId="20" xfId="0" applyNumberFormat="1" applyBorder="1">
      <alignment vertical="top" wrapText="1"/>
    </xf>
    <xf numFmtId="173" fontId="0" fillId="0" borderId="23" xfId="0" applyNumberFormat="1" applyBorder="1">
      <alignment vertical="top" wrapText="1"/>
    </xf>
    <xf numFmtId="174" fontId="0" fillId="0" borderId="23" xfId="0" applyNumberFormat="1" applyBorder="1">
      <alignment vertical="top" wrapText="1"/>
    </xf>
    <xf numFmtId="0" fontId="17" fillId="12" borderId="0" xfId="0" applyNumberFormat="1" applyFont="1" applyFill="1" applyAlignment="1">
      <alignment vertical="top"/>
    </xf>
    <xf numFmtId="0" fontId="0" fillId="12" borderId="0" xfId="0" applyFill="1">
      <alignment vertical="top" wrapText="1"/>
    </xf>
    <xf numFmtId="175" fontId="0" fillId="0" borderId="20" xfId="0" applyNumberFormat="1" applyBorder="1">
      <alignment vertical="top" wrapText="1"/>
    </xf>
    <xf numFmtId="175" fontId="0" fillId="0" borderId="23" xfId="0" applyNumberFormat="1" applyBorder="1">
      <alignment vertical="top" wrapText="1"/>
    </xf>
    <xf numFmtId="0" fontId="15" fillId="0" borderId="0" xfId="0" applyFont="1" applyAlignment="1"/>
    <xf numFmtId="0" fontId="22" fillId="0" borderId="0" xfId="0" applyFont="1" applyAlignment="1"/>
    <xf numFmtId="0" fontId="8" fillId="4" borderId="13" xfId="0" applyFont="1" applyFill="1" applyBorder="1" applyAlignment="1">
      <alignment horizontal="center"/>
    </xf>
    <xf numFmtId="0" fontId="8" fillId="5" borderId="13" xfId="0" applyFont="1" applyFill="1" applyBorder="1" applyAlignment="1">
      <alignment horizontal="center"/>
    </xf>
    <xf numFmtId="0" fontId="8" fillId="4" borderId="14" xfId="0" applyFont="1" applyFill="1" applyBorder="1" applyAlignment="1">
      <alignment horizontal="center"/>
    </xf>
  </cellXfs>
  <cellStyles count="11">
    <cellStyle name="Comma 2" xfId="10" xr:uid="{81BBAE37-A209-4EC7-A657-C53FF7299857}"/>
    <cellStyle name="Currency 2" xfId="9" xr:uid="{BEA6FD3F-2CA4-4308-8401-87FA767489CE}"/>
    <cellStyle name="Normal" xfId="0" builtinId="0"/>
    <cellStyle name="Normal 2" xfId="2" xr:uid="{E924BF2D-B104-45D3-BD1B-03B5A97067DB}"/>
    <cellStyle name="Normal 2 2" xfId="7" xr:uid="{1A09FA7D-CA34-4C41-ABE9-F73087A6CC09}"/>
    <cellStyle name="Normal 3" xfId="8" xr:uid="{5C43567E-2D2C-4F61-BF86-64A2AAE29524}"/>
    <cellStyle name="Normal 3 2" xfId="5" xr:uid="{416C69D2-E7FC-45EE-A234-BEE85AD20C85}"/>
    <cellStyle name="Normal 4" xfId="4" xr:uid="{D680C736-C1F8-4ADB-8B3E-F06220E6F7FD}"/>
    <cellStyle name="Normal 4 2" xfId="6" xr:uid="{5772B6D8-D7F6-409A-A73D-4BCF650528BB}"/>
    <cellStyle name="Normal 5" xfId="3" xr:uid="{A63D6A05-D789-4EA9-8219-0BF33EB060B6}"/>
    <cellStyle name="Percent" xfId="1" builtinId="5"/>
  </cellStyles>
  <dxfs count="21">
    <dxf>
      <font>
        <color theme="8" tint="0.79998168889431442"/>
      </font>
    </dxf>
    <dxf>
      <font>
        <color theme="8" tint="0.79998168889431442"/>
      </font>
    </dxf>
    <dxf>
      <font>
        <color theme="7" tint="0.59996337778862885"/>
      </font>
    </dxf>
    <dxf>
      <font>
        <color theme="8" tint="0.79998168889431442"/>
      </font>
    </dxf>
    <dxf>
      <font>
        <color theme="8" tint="0.79998168889431442"/>
      </font>
    </dxf>
    <dxf>
      <font>
        <color theme="7" tint="0.59996337778862885"/>
      </font>
    </dxf>
    <dxf>
      <font>
        <color theme="7" tint="0.59996337778862885"/>
      </font>
    </dxf>
    <dxf>
      <font>
        <color theme="8" tint="0.79998168889431442"/>
      </font>
    </dxf>
    <dxf>
      <font>
        <color theme="8" tint="0.79998168889431442"/>
      </font>
    </dxf>
    <dxf>
      <font>
        <color theme="0"/>
      </font>
    </dxf>
    <dxf>
      <font>
        <color theme="0"/>
      </font>
    </dxf>
    <dxf>
      <font>
        <color theme="7" tint="0.59996337778862885"/>
      </font>
    </dxf>
    <dxf>
      <font>
        <color theme="9" tint="0.79998168889431442"/>
      </font>
    </dxf>
    <dxf>
      <font>
        <color theme="0"/>
      </font>
    </dxf>
    <dxf>
      <font>
        <color theme="0"/>
      </font>
    </dxf>
    <dxf>
      <font>
        <color theme="0"/>
      </font>
    </dxf>
    <dxf>
      <font>
        <color theme="1"/>
      </font>
    </dxf>
    <dxf>
      <font>
        <color theme="0"/>
      </font>
    </dxf>
    <dxf>
      <font>
        <color theme="1"/>
      </font>
    </dxf>
    <dxf>
      <font>
        <color theme="0"/>
      </font>
    </dxf>
    <dxf>
      <font>
        <color theme="0"/>
      </font>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2019679</xdr:colOff>
      <xdr:row>4</xdr:row>
      <xdr:rowOff>239279</xdr:rowOff>
    </xdr:from>
    <xdr:to>
      <xdr:col>3</xdr:col>
      <xdr:colOff>102251</xdr:colOff>
      <xdr:row>6</xdr:row>
      <xdr:rowOff>98719</xdr:rowOff>
    </xdr:to>
    <xdr:sp macro="" textlink="">
      <xdr:nvSpPr>
        <xdr:cNvPr id="2" name="Speech Bubble: Rectangle with Corners Rounded 1">
          <a:extLst>
            <a:ext uri="{FF2B5EF4-FFF2-40B4-BE49-F238E27FC236}">
              <a16:creationId xmlns:a16="http://schemas.microsoft.com/office/drawing/2014/main" id="{93DC8612-1635-40EF-83B4-A6983AD49AC1}"/>
            </a:ext>
          </a:extLst>
        </xdr:cNvPr>
        <xdr:cNvSpPr/>
      </xdr:nvSpPr>
      <xdr:spPr>
        <a:xfrm>
          <a:off x="2019679" y="794214"/>
          <a:ext cx="2207311" cy="323266"/>
        </a:xfrm>
        <a:prstGeom prst="wedgeRoundRectCallout">
          <a:avLst>
            <a:gd name="adj1" fmla="val -82621"/>
            <a:gd name="adj2" fmla="val -204011"/>
            <a:gd name="adj3" fmla="val 16667"/>
          </a:avLst>
        </a:prstGeom>
        <a:ln>
          <a:solidFill>
            <a:schemeClr val="dk1">
              <a:alpha val="25000"/>
            </a:schemeClr>
          </a:solidFill>
        </a:ln>
      </xdr:spPr>
      <xdr:style>
        <a:lnRef idx="2">
          <a:schemeClr val="dk1"/>
        </a:lnRef>
        <a:fillRef idx="1">
          <a:schemeClr val="lt1"/>
        </a:fillRef>
        <a:effectRef idx="0">
          <a:schemeClr val="dk1"/>
        </a:effectRef>
        <a:fontRef idx="minor">
          <a:schemeClr val="dk1"/>
        </a:fontRef>
      </xdr:style>
      <xdr:txBody>
        <a:bodyPr rot="0" spcFirstLastPara="1" vertOverflow="overflow" horzOverflow="overflow" vert="horz" wrap="square" lIns="50800" tIns="50800" rIns="50800" bIns="50800" numCol="1" spcCol="38100" rtlCol="0" anchor="ctr">
          <a:spAutoFit/>
        </a:bodyPr>
        <a:lstStyle/>
        <a:p>
          <a:pPr marL="0" marR="0" indent="0" algn="ctr" defTabSz="584200" rtl="0" fontAlgn="auto" latinLnBrk="0" hangingPunct="0">
            <a:lnSpc>
              <a:spcPct val="100000"/>
            </a:lnSpc>
            <a:spcBef>
              <a:spcPts val="0"/>
            </a:spcBef>
            <a:spcAft>
              <a:spcPts val="0"/>
            </a:spcAft>
            <a:buClrTx/>
            <a:buSzTx/>
            <a:buFontTx/>
            <a:buNone/>
            <a:tabLst/>
          </a:pPr>
          <a:r>
            <a:rPr kumimoji="0" lang="en-US" sz="1200" b="0" i="0" u="none" strike="noStrike" cap="none" spc="0" normalizeH="0" baseline="0">
              <a:ln>
                <a:noFill/>
              </a:ln>
              <a:solidFill>
                <a:schemeClr val="bg2">
                  <a:lumMod val="50000"/>
                </a:schemeClr>
              </a:solidFill>
              <a:effectLst/>
              <a:uFillTx/>
              <a:latin typeface="Helvetica Neue Medium"/>
              <a:ea typeface="Helvetica Neue Medium"/>
              <a:cs typeface="Helvetica Neue Medium"/>
              <a:sym typeface="Helvetica Neue Medium"/>
            </a:rPr>
            <a:t>Fill out your item number here</a:t>
          </a:r>
        </a:p>
      </xdr:txBody>
    </xdr:sp>
    <xdr:clientData/>
  </xdr:twoCellAnchor>
  <xdr:twoCellAnchor>
    <xdr:from>
      <xdr:col>2</xdr:col>
      <xdr:colOff>762000</xdr:colOff>
      <xdr:row>2</xdr:row>
      <xdr:rowOff>17253</xdr:rowOff>
    </xdr:from>
    <xdr:to>
      <xdr:col>4</xdr:col>
      <xdr:colOff>832373</xdr:colOff>
      <xdr:row>4</xdr:row>
      <xdr:rowOff>145980</xdr:rowOff>
    </xdr:to>
    <xdr:sp macro="" textlink="">
      <xdr:nvSpPr>
        <xdr:cNvPr id="3" name="Speech Bubble: Rectangle with Corners Rounded 2">
          <a:extLst>
            <a:ext uri="{FF2B5EF4-FFF2-40B4-BE49-F238E27FC236}">
              <a16:creationId xmlns:a16="http://schemas.microsoft.com/office/drawing/2014/main" id="{744F3CE9-2575-4F79-A2BE-D2810A87E12D}"/>
            </a:ext>
          </a:extLst>
        </xdr:cNvPr>
        <xdr:cNvSpPr/>
      </xdr:nvSpPr>
      <xdr:spPr>
        <a:xfrm>
          <a:off x="3926541" y="196547"/>
          <a:ext cx="1988820" cy="505245"/>
        </a:xfrm>
        <a:prstGeom prst="wedgeRoundRectCallout">
          <a:avLst>
            <a:gd name="adj1" fmla="val -88811"/>
            <a:gd name="adj2" fmla="val -26689"/>
            <a:gd name="adj3" fmla="val 16667"/>
          </a:avLst>
        </a:prstGeom>
        <a:solidFill>
          <a:schemeClr val="lt1"/>
        </a:solidFill>
        <a:ln>
          <a:solidFill>
            <a:schemeClr val="dk1">
              <a:alpha val="25000"/>
            </a:schemeClr>
          </a:solidFill>
        </a:ln>
      </xdr:spPr>
      <xdr:style>
        <a:lnRef idx="2">
          <a:schemeClr val="dk1"/>
        </a:lnRef>
        <a:fillRef idx="1">
          <a:schemeClr val="lt1"/>
        </a:fillRef>
        <a:effectRef idx="0">
          <a:schemeClr val="dk1"/>
        </a:effectRef>
        <a:fontRef idx="minor">
          <a:schemeClr val="dk1"/>
        </a:fontRef>
      </xdr:style>
      <xdr:txBody>
        <a:bodyPr rot="0" spcFirstLastPara="1" vertOverflow="overflow" horzOverflow="overflow" vert="horz" wrap="square" lIns="50800" tIns="50800" rIns="50800" bIns="50800" numCol="1" spcCol="38100" rtlCol="0" anchor="ctr">
          <a:spAutoFit/>
        </a:bodyPr>
        <a:lstStyle/>
        <a:p>
          <a:pPr marL="0" marR="0" indent="0" algn="ctr" defTabSz="584200" rtl="0" fontAlgn="auto" latinLnBrk="0" hangingPunct="0">
            <a:lnSpc>
              <a:spcPct val="100000"/>
            </a:lnSpc>
            <a:spcBef>
              <a:spcPts val="0"/>
            </a:spcBef>
            <a:spcAft>
              <a:spcPts val="0"/>
            </a:spcAft>
            <a:buClrTx/>
            <a:buSzTx/>
            <a:buFontTx/>
            <a:buNone/>
            <a:tabLst/>
          </a:pPr>
          <a:r>
            <a:rPr kumimoji="0" lang="en-US" sz="1200" b="0" i="0" u="none" strike="noStrike" cap="none" spc="0" normalizeH="0" baseline="0">
              <a:ln>
                <a:noFill/>
              </a:ln>
              <a:solidFill>
                <a:schemeClr val="bg2">
                  <a:lumMod val="50000"/>
                </a:schemeClr>
              </a:solidFill>
              <a:effectLst/>
              <a:uFillTx/>
              <a:latin typeface="Helvetica Neue Medium"/>
              <a:ea typeface="Helvetica Neue Medium"/>
              <a:cs typeface="Helvetica Neue Medium"/>
              <a:sym typeface="Helvetica Neue Medium"/>
            </a:rPr>
            <a:t>Fill out the quantity of the ordered items here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449580</xdr:colOff>
      <xdr:row>19</xdr:row>
      <xdr:rowOff>105518</xdr:rowOff>
    </xdr:from>
    <xdr:to>
      <xdr:col>5</xdr:col>
      <xdr:colOff>373380</xdr:colOff>
      <xdr:row>22</xdr:row>
      <xdr:rowOff>84983</xdr:rowOff>
    </xdr:to>
    <xdr:sp macro="" textlink="">
      <xdr:nvSpPr>
        <xdr:cNvPr id="2" name="Speech Bubble: Rectangle with Corners Rounded 1">
          <a:extLst>
            <a:ext uri="{FF2B5EF4-FFF2-40B4-BE49-F238E27FC236}">
              <a16:creationId xmlns:a16="http://schemas.microsoft.com/office/drawing/2014/main" id="{4DD737D5-13AC-6794-E89C-7A7AD73046F7}"/>
            </a:ext>
          </a:extLst>
        </xdr:cNvPr>
        <xdr:cNvSpPr/>
      </xdr:nvSpPr>
      <xdr:spPr>
        <a:xfrm>
          <a:off x="2369820" y="3473558"/>
          <a:ext cx="2209800" cy="505245"/>
        </a:xfrm>
        <a:prstGeom prst="wedgeRoundRectCallout">
          <a:avLst>
            <a:gd name="adj1" fmla="val -130280"/>
            <a:gd name="adj2" fmla="val -674229"/>
            <a:gd name="adj3" fmla="val 16667"/>
          </a:avLst>
        </a:prstGeom>
        <a:ln>
          <a:solidFill>
            <a:schemeClr val="dk1">
              <a:alpha val="25000"/>
            </a:schemeClr>
          </a:solidFill>
        </a:ln>
      </xdr:spPr>
      <xdr:style>
        <a:lnRef idx="2">
          <a:schemeClr val="dk1"/>
        </a:lnRef>
        <a:fillRef idx="1">
          <a:schemeClr val="lt1"/>
        </a:fillRef>
        <a:effectRef idx="0">
          <a:schemeClr val="dk1"/>
        </a:effectRef>
        <a:fontRef idx="minor">
          <a:schemeClr val="dk1"/>
        </a:fontRef>
      </xdr:style>
      <xdr:txBody>
        <a:bodyPr rot="0" spcFirstLastPara="1" vertOverflow="overflow" horzOverflow="overflow" vert="horz" wrap="square" lIns="50800" tIns="50800" rIns="50800" bIns="50800" numCol="1" spcCol="38100" rtlCol="0" anchor="ctr">
          <a:spAutoFit/>
        </a:bodyPr>
        <a:lstStyle/>
        <a:p>
          <a:pPr marL="0" marR="0" indent="0" algn="ctr" defTabSz="584200" rtl="0" fontAlgn="auto" latinLnBrk="0" hangingPunct="0">
            <a:lnSpc>
              <a:spcPct val="100000"/>
            </a:lnSpc>
            <a:spcBef>
              <a:spcPts val="0"/>
            </a:spcBef>
            <a:spcAft>
              <a:spcPts val="0"/>
            </a:spcAft>
            <a:buClrTx/>
            <a:buSzTx/>
            <a:buFontTx/>
            <a:buNone/>
            <a:tabLst/>
          </a:pPr>
          <a:r>
            <a:rPr kumimoji="0" lang="en-US" sz="1200" b="0" i="0" u="none" strike="noStrike" cap="none" spc="0" normalizeH="0" baseline="0">
              <a:ln>
                <a:noFill/>
              </a:ln>
              <a:solidFill>
                <a:sysClr val="windowText" lastClr="000000"/>
              </a:solidFill>
              <a:effectLst/>
              <a:uFillTx/>
              <a:latin typeface="Helvetica Neue Medium"/>
              <a:ea typeface="Helvetica Neue Medium"/>
              <a:cs typeface="Helvetica Neue Medium"/>
              <a:sym typeface="Helvetica Neue Medium"/>
            </a:rPr>
            <a:t>Copy your list with ordered item numbers in this column</a:t>
          </a:r>
        </a:p>
      </xdr:txBody>
    </xdr:sp>
    <xdr:clientData/>
  </xdr:twoCellAnchor>
  <xdr:twoCellAnchor>
    <xdr:from>
      <xdr:col>3</xdr:col>
      <xdr:colOff>800100</xdr:colOff>
      <xdr:row>15</xdr:row>
      <xdr:rowOff>15204</xdr:rowOff>
    </xdr:from>
    <xdr:to>
      <xdr:col>6</xdr:col>
      <xdr:colOff>502920</xdr:colOff>
      <xdr:row>19</xdr:row>
      <xdr:rowOff>15278</xdr:rowOff>
    </xdr:to>
    <xdr:sp macro="" textlink="">
      <xdr:nvSpPr>
        <xdr:cNvPr id="3" name="Speech Bubble: Rectangle with Corners Rounded 2">
          <a:extLst>
            <a:ext uri="{FF2B5EF4-FFF2-40B4-BE49-F238E27FC236}">
              <a16:creationId xmlns:a16="http://schemas.microsoft.com/office/drawing/2014/main" id="{E8260CB2-D67F-49DA-99AC-1EA56C1A499E}"/>
            </a:ext>
          </a:extLst>
        </xdr:cNvPr>
        <xdr:cNvSpPr/>
      </xdr:nvSpPr>
      <xdr:spPr>
        <a:xfrm>
          <a:off x="3329940" y="2682204"/>
          <a:ext cx="1988820" cy="701114"/>
        </a:xfrm>
        <a:prstGeom prst="wedgeRoundRectCallout">
          <a:avLst>
            <a:gd name="adj1" fmla="val -145605"/>
            <a:gd name="adj2" fmla="val -383429"/>
            <a:gd name="adj3" fmla="val 16667"/>
          </a:avLst>
        </a:prstGeom>
        <a:solidFill>
          <a:schemeClr val="lt1"/>
        </a:solidFill>
        <a:ln>
          <a:solidFill>
            <a:schemeClr val="dk1">
              <a:alpha val="25000"/>
            </a:schemeClr>
          </a:solidFill>
        </a:ln>
      </xdr:spPr>
      <xdr:style>
        <a:lnRef idx="2">
          <a:schemeClr val="dk1"/>
        </a:lnRef>
        <a:fillRef idx="1">
          <a:schemeClr val="lt1"/>
        </a:fillRef>
        <a:effectRef idx="0">
          <a:schemeClr val="dk1"/>
        </a:effectRef>
        <a:fontRef idx="minor">
          <a:schemeClr val="dk1"/>
        </a:fontRef>
      </xdr:style>
      <xdr:txBody>
        <a:bodyPr rot="0" spcFirstLastPara="1" vertOverflow="overflow" horzOverflow="overflow" vert="horz" wrap="square" lIns="50800" tIns="50800" rIns="50800" bIns="50800" numCol="1" spcCol="38100" rtlCol="0" anchor="ctr">
          <a:spAutoFit/>
        </a:bodyPr>
        <a:lstStyle/>
        <a:p>
          <a:pPr marL="0" marR="0" indent="0" algn="ctr" defTabSz="584200" rtl="0" fontAlgn="auto" latinLnBrk="0" hangingPunct="0">
            <a:lnSpc>
              <a:spcPct val="100000"/>
            </a:lnSpc>
            <a:spcBef>
              <a:spcPts val="0"/>
            </a:spcBef>
            <a:spcAft>
              <a:spcPts val="0"/>
            </a:spcAft>
            <a:buClrTx/>
            <a:buSzTx/>
            <a:buFontTx/>
            <a:buNone/>
            <a:tabLst/>
          </a:pPr>
          <a:r>
            <a:rPr kumimoji="0" lang="en-US" sz="1200" b="0" i="0" u="none" strike="noStrike" cap="none" spc="0" normalizeH="0" baseline="0">
              <a:ln>
                <a:noFill/>
              </a:ln>
              <a:solidFill>
                <a:sysClr val="windowText" lastClr="000000"/>
              </a:solidFill>
              <a:effectLst/>
              <a:uFillTx/>
              <a:latin typeface="Helvetica Neue Medium"/>
              <a:ea typeface="Helvetica Neue Medium"/>
              <a:cs typeface="Helvetica Neue Medium"/>
              <a:sym typeface="Helvetica Neue Medium"/>
            </a:rPr>
            <a:t>Copy the number of the ordered item numbers in this column</a:t>
          </a:r>
        </a:p>
      </xdr:txBody>
    </xdr:sp>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2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29A28-F419-42C8-89B8-F0E22124052F}">
  <dimension ref="A1:AJ36"/>
  <sheetViews>
    <sheetView tabSelected="1" zoomScale="115" zoomScaleNormal="115" workbookViewId="0">
      <pane xSplit="11" ySplit="2" topLeftCell="AG3" activePane="bottomRight" state="frozen"/>
      <selection pane="topRight" activeCell="D1" sqref="D1"/>
      <selection pane="bottomLeft" activeCell="A3" sqref="A3"/>
      <selection pane="bottomRight" activeCell="A3" sqref="A3"/>
    </sheetView>
  </sheetViews>
  <sheetFormatPr defaultRowHeight="12.75" outlineLevelCol="1"/>
  <cols>
    <col min="1" max="1" width="49" customWidth="1"/>
    <col min="2" max="3" width="14" customWidth="1"/>
    <col min="4" max="10" width="14" style="113" customWidth="1"/>
    <col min="11" max="11" width="22" customWidth="1"/>
    <col min="12" max="14" width="13.85546875" hidden="1" customWidth="1" outlineLevel="1"/>
    <col min="15" max="15" width="3.42578125" hidden="1" customWidth="1" outlineLevel="1"/>
    <col min="16" max="18" width="14.42578125" hidden="1" customWidth="1" outlineLevel="1"/>
    <col min="19" max="19" width="9.140625" hidden="1" customWidth="1" outlineLevel="1"/>
    <col min="20" max="22" width="14.140625" hidden="1" customWidth="1" outlineLevel="1"/>
    <col min="23" max="23" width="9.140625" hidden="1" customWidth="1" outlineLevel="1"/>
    <col min="24" max="24" width="9.5703125" hidden="1" customWidth="1" outlineLevel="1"/>
    <col min="25" max="29" width="9.140625" hidden="1" customWidth="1" outlineLevel="1"/>
    <col min="30" max="30" width="8.85546875" hidden="1" customWidth="1" collapsed="1"/>
    <col min="31" max="36" width="8.85546875" hidden="1" customWidth="1"/>
  </cols>
  <sheetData>
    <row r="1" spans="1:36" hidden="1">
      <c r="L1" s="64" t="s">
        <v>622</v>
      </c>
      <c r="M1" s="60"/>
      <c r="N1" s="60"/>
      <c r="O1" s="60"/>
      <c r="P1" s="65" t="s">
        <v>623</v>
      </c>
      <c r="Q1" s="62"/>
      <c r="R1" s="64" t="s">
        <v>625</v>
      </c>
      <c r="S1" s="60"/>
      <c r="T1" s="60"/>
      <c r="U1" s="61"/>
      <c r="V1" s="61"/>
      <c r="W1" s="65" t="s">
        <v>628</v>
      </c>
      <c r="X1" s="62"/>
      <c r="Y1" s="62"/>
      <c r="Z1" s="62"/>
      <c r="AA1" s="62"/>
      <c r="AB1" s="63"/>
      <c r="AC1" s="63"/>
      <c r="AD1" s="64" t="s">
        <v>629</v>
      </c>
      <c r="AE1" s="60"/>
      <c r="AF1" s="60"/>
      <c r="AG1" s="60"/>
      <c r="AH1" s="60"/>
      <c r="AI1" s="61"/>
      <c r="AJ1" s="61"/>
    </row>
    <row r="2" spans="1:36" ht="13.5" thickBot="1">
      <c r="A2" s="119" t="s">
        <v>731</v>
      </c>
      <c r="B2" s="120" t="s">
        <v>735</v>
      </c>
      <c r="C2" s="97"/>
      <c r="D2" s="105"/>
      <c r="E2" s="105"/>
      <c r="F2" s="105"/>
      <c r="G2" s="105"/>
      <c r="H2" s="105"/>
      <c r="I2" s="105"/>
      <c r="J2" s="105"/>
      <c r="K2" s="97"/>
      <c r="L2" s="68" t="s">
        <v>614</v>
      </c>
      <c r="M2" s="68" t="s">
        <v>621</v>
      </c>
      <c r="N2" s="68" t="s">
        <v>565</v>
      </c>
      <c r="O2" s="68" t="s">
        <v>606</v>
      </c>
      <c r="P2" s="69" t="s">
        <v>614</v>
      </c>
      <c r="Q2" s="69" t="s">
        <v>624</v>
      </c>
      <c r="R2" s="68" t="s">
        <v>626</v>
      </c>
      <c r="S2" s="68" t="s">
        <v>614</v>
      </c>
      <c r="T2" s="68" t="s">
        <v>566</v>
      </c>
      <c r="U2" s="68" t="s">
        <v>617</v>
      </c>
      <c r="V2" s="68" t="s">
        <v>627</v>
      </c>
      <c r="W2" s="69" t="s">
        <v>626</v>
      </c>
      <c r="X2" s="69" t="s">
        <v>614</v>
      </c>
      <c r="Y2" s="69" t="s">
        <v>621</v>
      </c>
      <c r="Z2" s="69" t="s">
        <v>606</v>
      </c>
      <c r="AA2" s="69" t="s">
        <v>566</v>
      </c>
      <c r="AB2" s="69" t="s">
        <v>617</v>
      </c>
      <c r="AC2" s="69" t="s">
        <v>565</v>
      </c>
      <c r="AD2" s="68" t="s">
        <v>626</v>
      </c>
      <c r="AE2" s="68" t="s">
        <v>614</v>
      </c>
      <c r="AF2" s="68" t="s">
        <v>621</v>
      </c>
      <c r="AG2" s="68" t="s">
        <v>606</v>
      </c>
      <c r="AH2" s="68" t="s">
        <v>566</v>
      </c>
      <c r="AI2" s="68" t="s">
        <v>617</v>
      </c>
      <c r="AJ2" s="68" t="s">
        <v>565</v>
      </c>
    </row>
    <row r="3" spans="1:36" ht="16.5" customHeight="1">
      <c r="A3" s="129"/>
      <c r="B3" s="130"/>
      <c r="C3" s="113"/>
      <c r="K3" s="20" t="e">
        <f>VLOOKUP($A3,Data!$D$3:$CJ$128,30,FALSE)</f>
        <v>#N/A</v>
      </c>
      <c r="L3" s="74" t="e">
        <f>VLOOKUP($A3,Data!$D$3:$CJ$128,64,FALSE)</f>
        <v>#N/A</v>
      </c>
      <c r="M3" s="74" t="e">
        <f>VLOOKUP($A3,Data!$D$3:$CJ$128,65,FALSE)</f>
        <v>#N/A</v>
      </c>
      <c r="N3" s="74" t="e">
        <f>VLOOKUP($A3,Data!$D$3:$CJ$128,66,FALSE)</f>
        <v>#N/A</v>
      </c>
      <c r="O3" s="74" t="e">
        <f>VLOOKUP($A3,Data!$D$3:$CJ$128,67,FALSE)</f>
        <v>#N/A</v>
      </c>
      <c r="P3" s="78" t="e">
        <f>VLOOKUP($A3,Data!$D$3:$CJ$128,68,FALSE)</f>
        <v>#N/A</v>
      </c>
      <c r="Q3" s="78" t="e">
        <f>VLOOKUP($A3,Data!$D$3:$CJ$128,69,FALSE)</f>
        <v>#N/A</v>
      </c>
      <c r="R3" s="74" t="e">
        <f>VLOOKUP($A3,Data!$D$3:$CJ$128,70,FALSE)</f>
        <v>#N/A</v>
      </c>
      <c r="S3" s="74" t="e">
        <f>VLOOKUP($A3,Data!$D$3:$CJ$128,71,FALSE)</f>
        <v>#N/A</v>
      </c>
      <c r="T3" s="74" t="e">
        <f>VLOOKUP($A3,Data!$D$3:$CJ$128,72,FALSE)</f>
        <v>#N/A</v>
      </c>
      <c r="U3" s="74" t="e">
        <f>VLOOKUP($A3,Data!$D$3:$CJ$128,73,FALSE)</f>
        <v>#N/A</v>
      </c>
      <c r="V3" s="74" t="e">
        <f>VLOOKUP($A3,Data!$D$3:$CJ$128,74,FALSE)</f>
        <v>#N/A</v>
      </c>
      <c r="W3" s="79" t="e">
        <f t="shared" ref="W3" si="0">R3</f>
        <v>#N/A</v>
      </c>
      <c r="X3" s="80" t="e">
        <f>(((L3/1000)*Q3)+((P3/1000)*V3)+(S3/1000))</f>
        <v>#N/A</v>
      </c>
      <c r="Y3" s="79" t="e">
        <f t="shared" ref="Y3" si="1">(((M3/1000)*Q3)*V3)</f>
        <v>#N/A</v>
      </c>
      <c r="Z3" s="80" t="e">
        <f t="shared" ref="Z3" si="2">(O3/1000)*Q3</f>
        <v>#N/A</v>
      </c>
      <c r="AA3" s="80" t="e">
        <f t="shared" ref="AA3:AB3" si="3">T3/1000</f>
        <v>#N/A</v>
      </c>
      <c r="AB3" s="80" t="e">
        <f t="shared" si="3"/>
        <v>#N/A</v>
      </c>
      <c r="AC3" s="80" t="e">
        <f t="shared" ref="AC3" si="4">(N3/1000)*Q3</f>
        <v>#N/A</v>
      </c>
      <c r="AD3" s="76" t="e">
        <f>$B3*W3</f>
        <v>#N/A</v>
      </c>
      <c r="AE3" s="77" t="e">
        <f t="shared" ref="AE3:AJ3" si="5">$B3*X3</f>
        <v>#N/A</v>
      </c>
      <c r="AF3" s="75" t="e">
        <f t="shared" si="5"/>
        <v>#N/A</v>
      </c>
      <c r="AG3" s="75" t="e">
        <f t="shared" si="5"/>
        <v>#N/A</v>
      </c>
      <c r="AH3" s="74" t="e">
        <f t="shared" si="5"/>
        <v>#N/A</v>
      </c>
      <c r="AI3" s="74" t="e">
        <f t="shared" si="5"/>
        <v>#N/A</v>
      </c>
      <c r="AJ3" s="74" t="e">
        <f t="shared" si="5"/>
        <v>#N/A</v>
      </c>
    </row>
    <row r="4" spans="1:36">
      <c r="C4" s="113"/>
    </row>
    <row r="5" spans="1:36" ht="22.5" customHeight="1">
      <c r="A5" s="110" t="e">
        <f>K3</f>
        <v>#N/A</v>
      </c>
      <c r="C5" s="113"/>
    </row>
    <row r="6" spans="1:36">
      <c r="C6" s="113"/>
    </row>
    <row r="7" spans="1:36" ht="13.5" thickBot="1">
      <c r="E7" s="104"/>
      <c r="F7" s="104"/>
      <c r="G7" s="104"/>
      <c r="K7" s="97"/>
      <c r="O7" s="97"/>
      <c r="T7" s="104"/>
      <c r="U7" s="104"/>
      <c r="V7" s="104"/>
    </row>
    <row r="8" spans="1:36">
      <c r="A8" s="101" t="s">
        <v>732</v>
      </c>
      <c r="B8" s="117" t="s">
        <v>733</v>
      </c>
      <c r="C8" s="118" t="s">
        <v>734</v>
      </c>
      <c r="E8" s="104"/>
      <c r="G8" s="114"/>
      <c r="K8" s="97"/>
      <c r="T8" s="105"/>
      <c r="U8" s="106"/>
      <c r="V8" s="105"/>
    </row>
    <row r="9" spans="1:36" ht="13.9" customHeight="1">
      <c r="A9" s="99" t="s">
        <v>626</v>
      </c>
      <c r="B9" s="124" t="e">
        <f>W3</f>
        <v>#N/A</v>
      </c>
      <c r="C9" s="126" t="e">
        <f>AD3</f>
        <v>#N/A</v>
      </c>
      <c r="E9" s="105"/>
      <c r="G9" s="114"/>
      <c r="T9" s="105"/>
      <c r="U9" s="107"/>
      <c r="V9" s="105"/>
    </row>
    <row r="10" spans="1:36" ht="13.9" customHeight="1">
      <c r="A10" s="99" t="s">
        <v>614</v>
      </c>
      <c r="B10" s="124" t="e">
        <f>X3</f>
        <v>#N/A</v>
      </c>
      <c r="C10" s="126" t="e">
        <f>AE3</f>
        <v>#N/A</v>
      </c>
      <c r="E10" s="105"/>
      <c r="G10" s="114"/>
      <c r="T10" s="105"/>
      <c r="U10" s="107"/>
      <c r="V10" s="105"/>
    </row>
    <row r="11" spans="1:36" ht="13.9" customHeight="1">
      <c r="A11" s="99" t="s">
        <v>566</v>
      </c>
      <c r="B11" s="124" t="e">
        <f>AA3</f>
        <v>#N/A</v>
      </c>
      <c r="C11" s="126" t="e">
        <f>AH3</f>
        <v>#N/A</v>
      </c>
      <c r="E11" s="105"/>
      <c r="G11" s="114"/>
      <c r="T11" s="105"/>
      <c r="U11" s="107"/>
      <c r="V11" s="105"/>
    </row>
    <row r="12" spans="1:36" ht="13.9" customHeight="1">
      <c r="A12" s="99" t="s">
        <v>617</v>
      </c>
      <c r="B12" s="124" t="e">
        <f>AB3</f>
        <v>#N/A</v>
      </c>
      <c r="C12" s="126" t="e">
        <f>AI3</f>
        <v>#N/A</v>
      </c>
      <c r="E12" s="105"/>
    </row>
    <row r="13" spans="1:36" ht="13.9" customHeight="1">
      <c r="A13" s="99" t="s">
        <v>565</v>
      </c>
      <c r="B13" s="124" t="e">
        <f>AC3</f>
        <v>#N/A</v>
      </c>
      <c r="C13" s="126" t="e">
        <f>AJ3</f>
        <v>#N/A</v>
      </c>
      <c r="E13" s="105"/>
      <c r="G13" s="104"/>
    </row>
    <row r="14" spans="1:36" ht="13.9" customHeight="1" thickBot="1">
      <c r="A14" s="100" t="s">
        <v>606</v>
      </c>
      <c r="B14" s="125" t="e">
        <f>Z3</f>
        <v>#N/A</v>
      </c>
      <c r="C14" s="127" t="e">
        <f>AG3</f>
        <v>#N/A</v>
      </c>
      <c r="E14" s="105"/>
      <c r="G14" s="105"/>
    </row>
    <row r="15" spans="1:36" ht="13.5" thickBot="1">
      <c r="E15" s="105"/>
      <c r="F15" s="105"/>
      <c r="G15" s="105"/>
    </row>
    <row r="16" spans="1:36" ht="13.5" thickBot="1">
      <c r="A16" s="108" t="s">
        <v>622</v>
      </c>
      <c r="B16" s="109"/>
      <c r="C16" s="104"/>
      <c r="E16" s="104"/>
      <c r="F16" s="104"/>
      <c r="G16" s="104"/>
    </row>
    <row r="17" spans="1:11" ht="13.9" customHeight="1">
      <c r="A17" s="99" t="str">
        <f>L2</f>
        <v>PAP</v>
      </c>
      <c r="B17" s="131" t="e">
        <f>L3</f>
        <v>#N/A</v>
      </c>
      <c r="C17" s="114"/>
      <c r="E17" s="115"/>
      <c r="F17" s="115"/>
      <c r="G17" s="115"/>
      <c r="K17" s="97"/>
    </row>
    <row r="18" spans="1:11" ht="13.9" customHeight="1">
      <c r="A18" s="99" t="str">
        <f>M2</f>
        <v>CPAP</v>
      </c>
      <c r="B18" s="131" t="e">
        <f>M3</f>
        <v>#N/A</v>
      </c>
      <c r="C18" s="114"/>
      <c r="E18" s="114"/>
      <c r="F18" s="114"/>
      <c r="G18" s="114"/>
      <c r="K18" s="97"/>
    </row>
    <row r="19" spans="1:11" ht="13.9" customHeight="1">
      <c r="A19" s="99" t="str">
        <f>N2</f>
        <v>HDPE</v>
      </c>
      <c r="B19" s="131" t="e">
        <f>N3</f>
        <v>#N/A</v>
      </c>
      <c r="C19" s="111"/>
      <c r="E19" s="114"/>
      <c r="F19" s="114"/>
      <c r="G19" s="114"/>
      <c r="K19" s="97"/>
    </row>
    <row r="20" spans="1:11" ht="13.9" customHeight="1" thickBot="1">
      <c r="A20" s="100" t="str">
        <f>O2</f>
        <v>PP</v>
      </c>
      <c r="B20" s="132" t="e">
        <f>O3</f>
        <v>#N/A</v>
      </c>
      <c r="C20" s="111"/>
      <c r="D20" s="114"/>
      <c r="E20" s="114"/>
      <c r="F20" s="114"/>
      <c r="G20" s="114"/>
      <c r="H20" s="114"/>
      <c r="I20" s="114"/>
      <c r="J20" s="114"/>
      <c r="K20" s="97"/>
    </row>
    <row r="21" spans="1:11" ht="13.5" customHeight="1" thickBot="1">
      <c r="D21" s="105"/>
      <c r="E21" s="105"/>
      <c r="F21" s="105"/>
      <c r="G21" s="105"/>
      <c r="H21" s="105"/>
      <c r="I21" s="105"/>
      <c r="J21" s="105"/>
      <c r="K21" s="98"/>
    </row>
    <row r="22" spans="1:11" ht="13.5" thickBot="1">
      <c r="A22" s="108" t="s">
        <v>623</v>
      </c>
      <c r="B22" s="109" t="e">
        <f>Q3</f>
        <v>#N/A</v>
      </c>
      <c r="C22" s="102" t="s">
        <v>713</v>
      </c>
      <c r="D22" s="104"/>
      <c r="E22" s="104"/>
      <c r="F22" s="104"/>
      <c r="G22" s="104"/>
      <c r="H22" s="104"/>
      <c r="I22" s="104"/>
      <c r="J22" s="104"/>
      <c r="K22" s="97"/>
    </row>
    <row r="23" spans="1:11" ht="13.9" customHeight="1" thickBot="1">
      <c r="A23" s="100" t="str">
        <f>P2</f>
        <v>PAP</v>
      </c>
      <c r="B23" s="128" t="e">
        <f>P3</f>
        <v>#N/A</v>
      </c>
      <c r="C23" s="97"/>
      <c r="D23" s="115"/>
      <c r="E23" s="115"/>
      <c r="F23" s="115"/>
      <c r="G23" s="115"/>
      <c r="H23" s="115"/>
      <c r="I23" s="115"/>
      <c r="J23" s="115"/>
    </row>
    <row r="24" spans="1:11" ht="13.5" thickBot="1">
      <c r="A24" s="96"/>
      <c r="B24" s="97"/>
      <c r="C24" s="97"/>
      <c r="D24" s="115"/>
      <c r="E24" s="115"/>
      <c r="F24" s="115"/>
      <c r="G24" s="115"/>
      <c r="H24" s="115"/>
      <c r="I24" s="115"/>
      <c r="J24" s="115"/>
    </row>
    <row r="25" spans="1:11" ht="13.5" thickBot="1">
      <c r="A25" s="108" t="s">
        <v>625</v>
      </c>
      <c r="B25" s="109" t="e">
        <f>V3</f>
        <v>#N/A</v>
      </c>
      <c r="C25" s="109" t="s">
        <v>714</v>
      </c>
      <c r="D25" s="115"/>
      <c r="E25" s="115"/>
      <c r="F25" s="115"/>
      <c r="G25" s="115"/>
      <c r="H25" s="115"/>
      <c r="I25" s="115"/>
      <c r="J25" s="115"/>
    </row>
    <row r="26" spans="1:11" ht="13.9" customHeight="1">
      <c r="A26" s="99" t="str">
        <f>R2</f>
        <v>FOR</v>
      </c>
      <c r="B26" s="126" t="e">
        <f>R3</f>
        <v>#N/A</v>
      </c>
      <c r="C26" s="112"/>
      <c r="D26" s="115"/>
      <c r="E26" s="115"/>
      <c r="F26" s="115"/>
      <c r="G26" s="115"/>
      <c r="H26" s="115"/>
      <c r="I26" s="115"/>
      <c r="J26" s="115"/>
    </row>
    <row r="27" spans="1:11" ht="13.9" customHeight="1">
      <c r="A27" s="99" t="str">
        <f>S2</f>
        <v>PAP</v>
      </c>
      <c r="B27" s="131" t="e">
        <f>S3</f>
        <v>#N/A</v>
      </c>
      <c r="C27" s="111"/>
      <c r="D27" s="115"/>
      <c r="E27" s="115"/>
      <c r="F27" s="115"/>
      <c r="G27" s="115"/>
      <c r="H27" s="115"/>
      <c r="I27" s="115"/>
      <c r="J27" s="115"/>
    </row>
    <row r="28" spans="1:11" ht="13.9" customHeight="1">
      <c r="A28" s="99" t="str">
        <f>T2</f>
        <v>LDPE</v>
      </c>
      <c r="B28" s="131" t="e">
        <f>T3</f>
        <v>#N/A</v>
      </c>
      <c r="C28" s="111"/>
      <c r="D28" s="115"/>
      <c r="E28" s="115"/>
      <c r="F28" s="115"/>
      <c r="G28" s="115"/>
      <c r="H28" s="115"/>
      <c r="I28" s="115"/>
      <c r="J28" s="115"/>
    </row>
    <row r="29" spans="1:11" ht="13.9" customHeight="1" thickBot="1">
      <c r="A29" s="100" t="str">
        <f>U2</f>
        <v>PET</v>
      </c>
      <c r="B29" s="132" t="e">
        <f>U3</f>
        <v>#N/A</v>
      </c>
      <c r="C29" s="111"/>
    </row>
    <row r="30" spans="1:11">
      <c r="C30" s="116"/>
      <c r="D30" s="116"/>
      <c r="E30" s="116"/>
      <c r="F30" s="116"/>
      <c r="G30" s="116"/>
      <c r="H30" s="116"/>
      <c r="I30" s="116"/>
      <c r="J30" s="116"/>
    </row>
    <row r="31" spans="1:11">
      <c r="C31" s="115"/>
      <c r="D31" s="115"/>
      <c r="E31" s="115"/>
      <c r="F31" s="115"/>
      <c r="G31" s="115"/>
      <c r="H31" s="115"/>
      <c r="I31" s="115"/>
      <c r="J31" s="115"/>
    </row>
    <row r="32" spans="1:11">
      <c r="C32" s="115"/>
      <c r="D32" s="115"/>
      <c r="E32" s="115"/>
      <c r="F32" s="115"/>
      <c r="G32" s="115"/>
      <c r="H32" s="115"/>
      <c r="I32" s="115"/>
      <c r="J32" s="115"/>
    </row>
    <row r="33" spans="3:10">
      <c r="C33" s="112"/>
      <c r="D33" s="115"/>
      <c r="E33" s="115"/>
      <c r="F33" s="115"/>
      <c r="G33" s="115"/>
      <c r="H33" s="115"/>
      <c r="I33" s="115"/>
      <c r="J33" s="115"/>
    </row>
    <row r="34" spans="3:10">
      <c r="C34" s="112"/>
      <c r="D34" s="115"/>
      <c r="E34" s="115"/>
      <c r="F34" s="115"/>
      <c r="G34" s="115"/>
      <c r="H34" s="115"/>
      <c r="I34" s="115"/>
      <c r="J34" s="115"/>
    </row>
    <row r="35" spans="3:10">
      <c r="C35" s="112"/>
      <c r="D35" s="115"/>
      <c r="E35" s="115"/>
      <c r="F35" s="115"/>
      <c r="G35" s="115"/>
      <c r="H35" s="115"/>
      <c r="I35" s="115"/>
      <c r="J35" s="115"/>
    </row>
    <row r="36" spans="3:10">
      <c r="C36" s="112"/>
      <c r="D36" s="115"/>
      <c r="E36" s="115"/>
      <c r="F36" s="115"/>
      <c r="G36" s="115"/>
      <c r="H36" s="115"/>
      <c r="I36" s="115"/>
      <c r="J36" s="115"/>
    </row>
  </sheetData>
  <conditionalFormatting sqref="A5">
    <cfRule type="expression" dxfId="20" priority="8">
      <formula>ISNA(A5)</formula>
    </cfRule>
  </conditionalFormatting>
  <conditionalFormatting sqref="B17:B20">
    <cfRule type="expression" dxfId="19" priority="6">
      <formula>ISNA(B17)</formula>
    </cfRule>
  </conditionalFormatting>
  <conditionalFormatting sqref="B22">
    <cfRule type="expression" dxfId="18" priority="3">
      <formula>ISNA(B22)</formula>
    </cfRule>
  </conditionalFormatting>
  <conditionalFormatting sqref="B23">
    <cfRule type="expression" dxfId="17" priority="5">
      <formula>ISNA(B23)</formula>
    </cfRule>
  </conditionalFormatting>
  <conditionalFormatting sqref="B25">
    <cfRule type="expression" dxfId="16" priority="2">
      <formula>ISNA(B25)</formula>
    </cfRule>
  </conditionalFormatting>
  <conditionalFormatting sqref="B26:B29">
    <cfRule type="expression" dxfId="15" priority="1">
      <formula>ISNA(B26)</formula>
    </cfRule>
  </conditionalFormatting>
  <conditionalFormatting sqref="B9:C14">
    <cfRule type="expression" dxfId="14" priority="7">
      <formula>ISNA(B9)</formula>
    </cfRule>
  </conditionalFormatting>
  <conditionalFormatting sqref="E17:G17 D23:J28 C26 C31:J36">
    <cfRule type="cellIs" dxfId="13" priority="10" operator="equal">
      <formula>0</formula>
    </cfRule>
  </conditionalFormatting>
  <conditionalFormatting sqref="L3:O3 R3:V3 AD3:AJ3">
    <cfRule type="cellIs" dxfId="12" priority="17" operator="equal">
      <formula>0</formula>
    </cfRule>
  </conditionalFormatting>
  <conditionalFormatting sqref="P3:Q3 W3:AC3">
    <cfRule type="cellIs" dxfId="11" priority="16" operator="equal">
      <formula>0</formula>
    </cfRule>
  </conditionalFormatting>
  <pageMargins left="0.7" right="0.7" top="0.75" bottom="0.75" header="0.3" footer="0.3"/>
  <pageSetup paperSize="9" orientation="portrait" r:id="rId1"/>
  <ignoredErrors>
    <ignoredError sqref="B9:C14 B17:B20 B25:B29 B22:B23 A5 K3" evalError="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1674253A-8340-4048-A91B-8595B061D4FD}">
          <x14:formula1>
            <xm:f>Data!$B$3:$B$140</xm:f>
          </x14:formula1>
          <xm:sqref>A3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E54F8-8BA6-4208-8F8C-2B6070F912B5}">
  <dimension ref="A1:M427"/>
  <sheetViews>
    <sheetView workbookViewId="0">
      <selection activeCell="H38" sqref="H38"/>
    </sheetView>
  </sheetViews>
  <sheetFormatPr defaultRowHeight="12.75"/>
  <cols>
    <col min="1" max="2" width="14" customWidth="1"/>
    <col min="4" max="4" width="13.5703125" customWidth="1"/>
    <col min="5" max="5" width="10.85546875" customWidth="1"/>
  </cols>
  <sheetData>
    <row r="1" spans="1:5" ht="16.149999999999999" customHeight="1">
      <c r="A1" s="101" t="s">
        <v>731</v>
      </c>
      <c r="B1" s="101" t="s">
        <v>620</v>
      </c>
      <c r="D1" s="101" t="s">
        <v>619</v>
      </c>
      <c r="E1" s="121"/>
    </row>
    <row r="2" spans="1:5">
      <c r="A2" s="133"/>
      <c r="B2" s="134"/>
      <c r="D2" s="99" t="s">
        <v>626</v>
      </c>
      <c r="E2" s="122">
        <f>('Batch details'!B432)/5</f>
        <v>0</v>
      </c>
    </row>
    <row r="3" spans="1:5">
      <c r="A3" s="133"/>
      <c r="B3" s="134"/>
      <c r="D3" s="99" t="s">
        <v>614</v>
      </c>
      <c r="E3" s="122">
        <f>'Batch details'!B431</f>
        <v>0</v>
      </c>
    </row>
    <row r="4" spans="1:5">
      <c r="A4" s="133"/>
      <c r="B4" s="134"/>
      <c r="D4" s="99" t="s">
        <v>566</v>
      </c>
      <c r="E4" s="122">
        <f>'Batch details'!B434</f>
        <v>0</v>
      </c>
    </row>
    <row r="5" spans="1:5">
      <c r="A5" s="133"/>
      <c r="B5" s="134"/>
      <c r="D5" s="99" t="s">
        <v>617</v>
      </c>
      <c r="E5" s="122">
        <f>'Batch details'!B433</f>
        <v>0</v>
      </c>
    </row>
    <row r="6" spans="1:5">
      <c r="A6" s="133"/>
      <c r="B6" s="134"/>
      <c r="D6" s="99" t="s">
        <v>565</v>
      </c>
      <c r="E6" s="122">
        <f>'Batch details'!B436</f>
        <v>0</v>
      </c>
    </row>
    <row r="7" spans="1:5" ht="13.5" thickBot="1">
      <c r="A7" s="133"/>
      <c r="B7" s="134"/>
      <c r="D7" s="100" t="s">
        <v>606</v>
      </c>
      <c r="E7" s="123">
        <f>'Batch details'!B435</f>
        <v>0</v>
      </c>
    </row>
    <row r="8" spans="1:5">
      <c r="A8" s="133"/>
      <c r="B8" s="134"/>
    </row>
    <row r="9" spans="1:5">
      <c r="A9" s="133"/>
      <c r="B9" s="134"/>
    </row>
    <row r="10" spans="1:5">
      <c r="A10" s="133"/>
      <c r="B10" s="134"/>
    </row>
    <row r="11" spans="1:5">
      <c r="A11" s="133"/>
      <c r="B11" s="134"/>
    </row>
    <row r="12" spans="1:5">
      <c r="A12" s="133"/>
      <c r="B12" s="134"/>
    </row>
    <row r="13" spans="1:5">
      <c r="A13" s="133"/>
      <c r="B13" s="134"/>
    </row>
    <row r="14" spans="1:5">
      <c r="A14" s="133"/>
      <c r="B14" s="134"/>
    </row>
    <row r="15" spans="1:5">
      <c r="A15" s="133"/>
      <c r="B15" s="134"/>
    </row>
    <row r="16" spans="1:5">
      <c r="A16" s="133"/>
      <c r="B16" s="134"/>
    </row>
    <row r="17" spans="1:13">
      <c r="A17" s="133"/>
      <c r="B17" s="134"/>
      <c r="M17" s="88"/>
    </row>
    <row r="18" spans="1:13">
      <c r="A18" s="133"/>
      <c r="B18" s="134"/>
      <c r="M18" s="88"/>
    </row>
    <row r="19" spans="1:13">
      <c r="A19" s="133"/>
      <c r="B19" s="134"/>
      <c r="M19" s="88"/>
    </row>
    <row r="20" spans="1:13">
      <c r="A20" s="133"/>
      <c r="B20" s="134"/>
    </row>
    <row r="21" spans="1:13">
      <c r="A21" s="133"/>
      <c r="B21" s="134"/>
    </row>
    <row r="22" spans="1:13">
      <c r="A22" s="133"/>
      <c r="B22" s="134"/>
    </row>
    <row r="23" spans="1:13">
      <c r="A23" s="133"/>
      <c r="B23" s="134"/>
    </row>
    <row r="24" spans="1:13">
      <c r="A24" s="133"/>
      <c r="B24" s="134"/>
    </row>
    <row r="25" spans="1:13">
      <c r="A25" s="133"/>
      <c r="B25" s="134"/>
    </row>
    <row r="26" spans="1:13">
      <c r="A26" s="133"/>
      <c r="B26" s="134"/>
    </row>
    <row r="27" spans="1:13">
      <c r="A27" s="133"/>
      <c r="B27" s="134"/>
    </row>
    <row r="28" spans="1:13">
      <c r="A28" s="133"/>
      <c r="B28" s="134"/>
    </row>
    <row r="29" spans="1:13">
      <c r="A29" s="133"/>
      <c r="B29" s="134"/>
    </row>
    <row r="30" spans="1:13">
      <c r="A30" s="133"/>
      <c r="B30" s="134"/>
    </row>
    <row r="31" spans="1:13">
      <c r="A31" s="133"/>
      <c r="B31" s="134"/>
    </row>
    <row r="32" spans="1:13">
      <c r="A32" s="133"/>
      <c r="B32" s="134"/>
    </row>
    <row r="33" spans="1:2">
      <c r="A33" s="133"/>
      <c r="B33" s="134"/>
    </row>
    <row r="34" spans="1:2">
      <c r="A34" s="133"/>
      <c r="B34" s="134"/>
    </row>
    <row r="35" spans="1:2">
      <c r="A35" s="133"/>
      <c r="B35" s="134"/>
    </row>
    <row r="36" spans="1:2">
      <c r="A36" s="133"/>
      <c r="B36" s="134"/>
    </row>
    <row r="37" spans="1:2">
      <c r="A37" s="133"/>
      <c r="B37" s="134"/>
    </row>
    <row r="38" spans="1:2">
      <c r="A38" s="133"/>
      <c r="B38" s="134"/>
    </row>
    <row r="39" spans="1:2">
      <c r="A39" s="133"/>
      <c r="B39" s="134"/>
    </row>
    <row r="40" spans="1:2">
      <c r="A40" s="133"/>
      <c r="B40" s="134"/>
    </row>
    <row r="41" spans="1:2">
      <c r="A41" s="133"/>
      <c r="B41" s="134"/>
    </row>
    <row r="42" spans="1:2">
      <c r="A42" s="133"/>
      <c r="B42" s="134"/>
    </row>
    <row r="43" spans="1:2">
      <c r="A43" s="133"/>
      <c r="B43" s="134"/>
    </row>
    <row r="44" spans="1:2">
      <c r="A44" s="133"/>
      <c r="B44" s="134"/>
    </row>
    <row r="45" spans="1:2">
      <c r="A45" s="133"/>
      <c r="B45" s="134"/>
    </row>
    <row r="46" spans="1:2">
      <c r="A46" s="133"/>
      <c r="B46" s="134"/>
    </row>
    <row r="47" spans="1:2">
      <c r="A47" s="133"/>
      <c r="B47" s="134"/>
    </row>
    <row r="48" spans="1:2">
      <c r="A48" s="133"/>
      <c r="B48" s="134"/>
    </row>
    <row r="49" spans="1:2">
      <c r="A49" s="133"/>
      <c r="B49" s="134"/>
    </row>
    <row r="50" spans="1:2">
      <c r="A50" s="133"/>
      <c r="B50" s="134"/>
    </row>
    <row r="51" spans="1:2">
      <c r="A51" s="133"/>
      <c r="B51" s="134"/>
    </row>
    <row r="52" spans="1:2">
      <c r="A52" s="133"/>
      <c r="B52" s="134"/>
    </row>
    <row r="53" spans="1:2">
      <c r="A53" s="133"/>
      <c r="B53" s="134"/>
    </row>
    <row r="54" spans="1:2">
      <c r="A54" s="133"/>
      <c r="B54" s="134"/>
    </row>
    <row r="55" spans="1:2">
      <c r="A55" s="133"/>
      <c r="B55" s="134"/>
    </row>
    <row r="56" spans="1:2">
      <c r="A56" s="133"/>
      <c r="B56" s="134"/>
    </row>
    <row r="57" spans="1:2">
      <c r="A57" s="133"/>
      <c r="B57" s="134"/>
    </row>
    <row r="58" spans="1:2">
      <c r="A58" s="133"/>
      <c r="B58" s="134"/>
    </row>
    <row r="59" spans="1:2">
      <c r="A59" s="133"/>
      <c r="B59" s="134"/>
    </row>
    <row r="60" spans="1:2">
      <c r="A60" s="133"/>
      <c r="B60" s="134"/>
    </row>
    <row r="61" spans="1:2">
      <c r="A61" s="133"/>
      <c r="B61" s="134"/>
    </row>
    <row r="62" spans="1:2">
      <c r="A62" s="133"/>
      <c r="B62" s="134"/>
    </row>
    <row r="63" spans="1:2">
      <c r="A63" s="133"/>
      <c r="B63" s="134"/>
    </row>
    <row r="64" spans="1:2">
      <c r="A64" s="133"/>
      <c r="B64" s="134"/>
    </row>
    <row r="65" spans="1:2">
      <c r="A65" s="133"/>
      <c r="B65" s="134"/>
    </row>
    <row r="66" spans="1:2">
      <c r="A66" s="133"/>
      <c r="B66" s="134"/>
    </row>
    <row r="67" spans="1:2">
      <c r="A67" s="133"/>
      <c r="B67" s="134"/>
    </row>
    <row r="68" spans="1:2">
      <c r="A68" s="133"/>
      <c r="B68" s="134"/>
    </row>
    <row r="69" spans="1:2">
      <c r="A69" s="133"/>
      <c r="B69" s="134"/>
    </row>
    <row r="70" spans="1:2">
      <c r="A70" s="133"/>
      <c r="B70" s="134"/>
    </row>
    <row r="71" spans="1:2">
      <c r="A71" s="133"/>
      <c r="B71" s="134"/>
    </row>
    <row r="72" spans="1:2">
      <c r="A72" s="133"/>
      <c r="B72" s="134"/>
    </row>
    <row r="73" spans="1:2">
      <c r="A73" s="133"/>
      <c r="B73" s="134"/>
    </row>
    <row r="74" spans="1:2">
      <c r="A74" s="133"/>
      <c r="B74" s="134"/>
    </row>
    <row r="75" spans="1:2">
      <c r="A75" s="133"/>
      <c r="B75" s="134"/>
    </row>
    <row r="76" spans="1:2">
      <c r="A76" s="133"/>
      <c r="B76" s="134"/>
    </row>
    <row r="77" spans="1:2">
      <c r="A77" s="133"/>
      <c r="B77" s="134"/>
    </row>
    <row r="78" spans="1:2">
      <c r="A78" s="133"/>
      <c r="B78" s="134"/>
    </row>
    <row r="79" spans="1:2">
      <c r="A79" s="133"/>
      <c r="B79" s="134"/>
    </row>
    <row r="80" spans="1:2">
      <c r="A80" s="133"/>
      <c r="B80" s="134"/>
    </row>
    <row r="81" spans="1:2">
      <c r="A81" s="133"/>
      <c r="B81" s="134"/>
    </row>
    <row r="82" spans="1:2">
      <c r="A82" s="133"/>
      <c r="B82" s="134"/>
    </row>
    <row r="83" spans="1:2">
      <c r="A83" s="133"/>
      <c r="B83" s="134"/>
    </row>
    <row r="84" spans="1:2">
      <c r="A84" s="133"/>
      <c r="B84" s="134"/>
    </row>
    <row r="85" spans="1:2">
      <c r="A85" s="133"/>
      <c r="B85" s="134"/>
    </row>
    <row r="86" spans="1:2">
      <c r="A86" s="133"/>
      <c r="B86" s="134"/>
    </row>
    <row r="87" spans="1:2">
      <c r="A87" s="133"/>
      <c r="B87" s="134"/>
    </row>
    <row r="88" spans="1:2">
      <c r="A88" s="133"/>
      <c r="B88" s="134"/>
    </row>
    <row r="89" spans="1:2">
      <c r="A89" s="133"/>
      <c r="B89" s="134"/>
    </row>
    <row r="90" spans="1:2">
      <c r="A90" s="133"/>
      <c r="B90" s="134"/>
    </row>
    <row r="91" spans="1:2">
      <c r="A91" s="133"/>
      <c r="B91" s="134"/>
    </row>
    <row r="92" spans="1:2">
      <c r="A92" s="133"/>
      <c r="B92" s="134"/>
    </row>
    <row r="93" spans="1:2">
      <c r="A93" s="133"/>
      <c r="B93" s="134"/>
    </row>
    <row r="94" spans="1:2">
      <c r="A94" s="133"/>
      <c r="B94" s="134"/>
    </row>
    <row r="95" spans="1:2">
      <c r="A95" s="133"/>
      <c r="B95" s="134"/>
    </row>
    <row r="96" spans="1:2">
      <c r="A96" s="133"/>
      <c r="B96" s="134"/>
    </row>
    <row r="97" spans="1:2">
      <c r="A97" s="133"/>
      <c r="B97" s="134"/>
    </row>
    <row r="98" spans="1:2">
      <c r="A98" s="133"/>
      <c r="B98" s="134"/>
    </row>
    <row r="99" spans="1:2">
      <c r="A99" s="133"/>
      <c r="B99" s="134"/>
    </row>
    <row r="100" spans="1:2">
      <c r="A100" s="133"/>
      <c r="B100" s="134"/>
    </row>
    <row r="101" spans="1:2">
      <c r="A101" s="133"/>
      <c r="B101" s="134"/>
    </row>
    <row r="102" spans="1:2">
      <c r="A102" s="133"/>
      <c r="B102" s="134"/>
    </row>
    <row r="103" spans="1:2">
      <c r="A103" s="133"/>
      <c r="B103" s="134"/>
    </row>
    <row r="104" spans="1:2">
      <c r="A104" s="133"/>
      <c r="B104" s="134"/>
    </row>
    <row r="105" spans="1:2">
      <c r="A105" s="133"/>
      <c r="B105" s="134"/>
    </row>
    <row r="106" spans="1:2">
      <c r="A106" s="133"/>
      <c r="B106" s="134"/>
    </row>
    <row r="107" spans="1:2">
      <c r="A107" s="133"/>
      <c r="B107" s="134"/>
    </row>
    <row r="108" spans="1:2">
      <c r="A108" s="133"/>
      <c r="B108" s="134"/>
    </row>
    <row r="109" spans="1:2">
      <c r="A109" s="133"/>
      <c r="B109" s="134"/>
    </row>
    <row r="110" spans="1:2">
      <c r="A110" s="133"/>
      <c r="B110" s="134"/>
    </row>
    <row r="111" spans="1:2">
      <c r="A111" s="133"/>
      <c r="B111" s="134"/>
    </row>
    <row r="112" spans="1:2">
      <c r="A112" s="133"/>
      <c r="B112" s="134"/>
    </row>
    <row r="113" spans="1:2">
      <c r="A113" s="133"/>
      <c r="B113" s="134"/>
    </row>
    <row r="114" spans="1:2">
      <c r="A114" s="133"/>
      <c r="B114" s="134"/>
    </row>
    <row r="115" spans="1:2">
      <c r="A115" s="133"/>
      <c r="B115" s="134"/>
    </row>
    <row r="116" spans="1:2">
      <c r="A116" s="133"/>
      <c r="B116" s="134"/>
    </row>
    <row r="117" spans="1:2">
      <c r="A117" s="133"/>
      <c r="B117" s="134"/>
    </row>
    <row r="118" spans="1:2">
      <c r="A118" s="133"/>
      <c r="B118" s="134"/>
    </row>
    <row r="119" spans="1:2">
      <c r="A119" s="133"/>
      <c r="B119" s="134"/>
    </row>
    <row r="120" spans="1:2">
      <c r="A120" s="133"/>
      <c r="B120" s="134"/>
    </row>
    <row r="121" spans="1:2">
      <c r="A121" s="133"/>
      <c r="B121" s="134"/>
    </row>
    <row r="122" spans="1:2">
      <c r="A122" s="133"/>
      <c r="B122" s="134"/>
    </row>
    <row r="123" spans="1:2">
      <c r="A123" s="133"/>
      <c r="B123" s="134"/>
    </row>
    <row r="124" spans="1:2">
      <c r="A124" s="133"/>
      <c r="B124" s="134"/>
    </row>
    <row r="125" spans="1:2">
      <c r="A125" s="133"/>
      <c r="B125" s="134"/>
    </row>
    <row r="126" spans="1:2">
      <c r="A126" s="133"/>
      <c r="B126" s="134"/>
    </row>
    <row r="127" spans="1:2">
      <c r="A127" s="133"/>
      <c r="B127" s="134"/>
    </row>
    <row r="128" spans="1:2">
      <c r="A128" s="133"/>
      <c r="B128" s="134"/>
    </row>
    <row r="129" spans="1:2">
      <c r="A129" s="133"/>
      <c r="B129" s="134"/>
    </row>
    <row r="130" spans="1:2">
      <c r="A130" s="133"/>
      <c r="B130" s="134"/>
    </row>
    <row r="131" spans="1:2">
      <c r="A131" s="133"/>
      <c r="B131" s="134"/>
    </row>
    <row r="132" spans="1:2">
      <c r="A132" s="133"/>
      <c r="B132" s="134"/>
    </row>
    <row r="133" spans="1:2">
      <c r="A133" s="133"/>
      <c r="B133" s="134"/>
    </row>
    <row r="134" spans="1:2">
      <c r="A134" s="133"/>
      <c r="B134" s="134"/>
    </row>
    <row r="135" spans="1:2">
      <c r="A135" s="133"/>
      <c r="B135" s="134"/>
    </row>
    <row r="136" spans="1:2">
      <c r="A136" s="133"/>
      <c r="B136" s="134"/>
    </row>
    <row r="137" spans="1:2">
      <c r="A137" s="133"/>
      <c r="B137" s="134"/>
    </row>
    <row r="138" spans="1:2">
      <c r="A138" s="133"/>
      <c r="B138" s="134"/>
    </row>
    <row r="139" spans="1:2">
      <c r="A139" s="133"/>
      <c r="B139" s="134"/>
    </row>
    <row r="140" spans="1:2">
      <c r="A140" s="133"/>
      <c r="B140" s="134"/>
    </row>
    <row r="141" spans="1:2">
      <c r="A141" s="133"/>
      <c r="B141" s="134"/>
    </row>
    <row r="142" spans="1:2">
      <c r="A142" s="133"/>
      <c r="B142" s="134"/>
    </row>
    <row r="143" spans="1:2">
      <c r="A143" s="133"/>
      <c r="B143" s="134"/>
    </row>
    <row r="144" spans="1:2">
      <c r="A144" s="133"/>
      <c r="B144" s="134"/>
    </row>
    <row r="145" spans="1:2">
      <c r="A145" s="133"/>
      <c r="B145" s="134"/>
    </row>
    <row r="146" spans="1:2">
      <c r="A146" s="133"/>
      <c r="B146" s="134"/>
    </row>
    <row r="147" spans="1:2">
      <c r="A147" s="133"/>
      <c r="B147" s="134"/>
    </row>
    <row r="148" spans="1:2">
      <c r="A148" s="133"/>
      <c r="B148" s="134"/>
    </row>
    <row r="149" spans="1:2">
      <c r="A149" s="133"/>
      <c r="B149" s="134"/>
    </row>
    <row r="150" spans="1:2">
      <c r="A150" s="133"/>
      <c r="B150" s="134"/>
    </row>
    <row r="151" spans="1:2">
      <c r="A151" s="133"/>
      <c r="B151" s="134"/>
    </row>
    <row r="152" spans="1:2">
      <c r="A152" s="133"/>
      <c r="B152" s="134"/>
    </row>
    <row r="153" spans="1:2">
      <c r="A153" s="133"/>
      <c r="B153" s="134"/>
    </row>
    <row r="154" spans="1:2">
      <c r="A154" s="133"/>
      <c r="B154" s="134"/>
    </row>
    <row r="155" spans="1:2">
      <c r="A155" s="133"/>
      <c r="B155" s="134"/>
    </row>
    <row r="156" spans="1:2">
      <c r="A156" s="133"/>
      <c r="B156" s="134"/>
    </row>
    <row r="157" spans="1:2">
      <c r="A157" s="133"/>
      <c r="B157" s="134"/>
    </row>
    <row r="158" spans="1:2">
      <c r="A158" s="133"/>
      <c r="B158" s="134"/>
    </row>
    <row r="159" spans="1:2">
      <c r="A159" s="133"/>
      <c r="B159" s="134"/>
    </row>
    <row r="160" spans="1:2">
      <c r="A160" s="133"/>
      <c r="B160" s="134"/>
    </row>
    <row r="161" spans="1:2">
      <c r="A161" s="133"/>
      <c r="B161" s="134"/>
    </row>
    <row r="162" spans="1:2">
      <c r="A162" s="133"/>
      <c r="B162" s="134"/>
    </row>
    <row r="163" spans="1:2">
      <c r="A163" s="133"/>
      <c r="B163" s="134"/>
    </row>
    <row r="164" spans="1:2">
      <c r="A164" s="133"/>
      <c r="B164" s="134"/>
    </row>
    <row r="165" spans="1:2">
      <c r="A165" s="133"/>
      <c r="B165" s="134"/>
    </row>
    <row r="166" spans="1:2">
      <c r="A166" s="133"/>
      <c r="B166" s="134"/>
    </row>
    <row r="167" spans="1:2">
      <c r="A167" s="133"/>
      <c r="B167" s="134"/>
    </row>
    <row r="168" spans="1:2">
      <c r="A168" s="133"/>
      <c r="B168" s="134"/>
    </row>
    <row r="169" spans="1:2">
      <c r="A169" s="133"/>
      <c r="B169" s="134"/>
    </row>
    <row r="170" spans="1:2">
      <c r="A170" s="133"/>
      <c r="B170" s="134"/>
    </row>
    <row r="171" spans="1:2">
      <c r="A171" s="133"/>
      <c r="B171" s="134"/>
    </row>
    <row r="172" spans="1:2">
      <c r="A172" s="133"/>
      <c r="B172" s="134"/>
    </row>
    <row r="173" spans="1:2">
      <c r="A173" s="133"/>
      <c r="B173" s="134"/>
    </row>
    <row r="174" spans="1:2">
      <c r="A174" s="133"/>
      <c r="B174" s="134"/>
    </row>
    <row r="175" spans="1:2">
      <c r="A175" s="133"/>
      <c r="B175" s="134"/>
    </row>
    <row r="176" spans="1:2">
      <c r="A176" s="133"/>
      <c r="B176" s="134"/>
    </row>
    <row r="177" spans="1:2">
      <c r="A177" s="133"/>
      <c r="B177" s="134"/>
    </row>
    <row r="178" spans="1:2">
      <c r="A178" s="133"/>
      <c r="B178" s="134"/>
    </row>
    <row r="179" spans="1:2">
      <c r="A179" s="133"/>
      <c r="B179" s="134"/>
    </row>
    <row r="180" spans="1:2">
      <c r="A180" s="133"/>
      <c r="B180" s="134"/>
    </row>
    <row r="181" spans="1:2">
      <c r="A181" s="133"/>
      <c r="B181" s="134"/>
    </row>
    <row r="182" spans="1:2">
      <c r="A182" s="133"/>
      <c r="B182" s="134"/>
    </row>
    <row r="183" spans="1:2">
      <c r="A183" s="133"/>
      <c r="B183" s="134"/>
    </row>
    <row r="184" spans="1:2">
      <c r="A184" s="133"/>
      <c r="B184" s="134"/>
    </row>
    <row r="185" spans="1:2">
      <c r="A185" s="133"/>
      <c r="B185" s="134"/>
    </row>
    <row r="186" spans="1:2">
      <c r="A186" s="133"/>
      <c r="B186" s="134"/>
    </row>
    <row r="187" spans="1:2">
      <c r="A187" s="133"/>
      <c r="B187" s="134"/>
    </row>
    <row r="188" spans="1:2">
      <c r="A188" s="133"/>
      <c r="B188" s="134"/>
    </row>
    <row r="189" spans="1:2">
      <c r="A189" s="133"/>
      <c r="B189" s="134"/>
    </row>
    <row r="190" spans="1:2">
      <c r="A190" s="133"/>
      <c r="B190" s="134"/>
    </row>
    <row r="191" spans="1:2">
      <c r="A191" s="133"/>
      <c r="B191" s="134"/>
    </row>
    <row r="192" spans="1:2">
      <c r="A192" s="133"/>
      <c r="B192" s="134"/>
    </row>
    <row r="193" spans="1:2">
      <c r="A193" s="133"/>
      <c r="B193" s="134"/>
    </row>
    <row r="194" spans="1:2">
      <c r="A194" s="133"/>
      <c r="B194" s="134"/>
    </row>
    <row r="195" spans="1:2">
      <c r="A195" s="133"/>
      <c r="B195" s="134"/>
    </row>
    <row r="196" spans="1:2">
      <c r="A196" s="133"/>
      <c r="B196" s="134"/>
    </row>
    <row r="197" spans="1:2">
      <c r="A197" s="133"/>
      <c r="B197" s="134"/>
    </row>
    <row r="198" spans="1:2">
      <c r="A198" s="133"/>
      <c r="B198" s="134"/>
    </row>
    <row r="199" spans="1:2">
      <c r="A199" s="133"/>
      <c r="B199" s="134"/>
    </row>
    <row r="200" spans="1:2">
      <c r="A200" s="133"/>
      <c r="B200" s="134"/>
    </row>
    <row r="201" spans="1:2">
      <c r="A201" s="133"/>
      <c r="B201" s="134"/>
    </row>
    <row r="202" spans="1:2">
      <c r="A202" s="133"/>
      <c r="B202" s="134"/>
    </row>
    <row r="203" spans="1:2">
      <c r="A203" s="133"/>
      <c r="B203" s="134"/>
    </row>
    <row r="204" spans="1:2">
      <c r="A204" s="133"/>
      <c r="B204" s="134"/>
    </row>
    <row r="205" spans="1:2">
      <c r="A205" s="133"/>
      <c r="B205" s="134"/>
    </row>
    <row r="206" spans="1:2">
      <c r="A206" s="133"/>
      <c r="B206" s="134"/>
    </row>
    <row r="207" spans="1:2">
      <c r="A207" s="133"/>
      <c r="B207" s="134"/>
    </row>
    <row r="208" spans="1:2">
      <c r="A208" s="133"/>
      <c r="B208" s="134"/>
    </row>
    <row r="209" spans="1:2">
      <c r="A209" s="133"/>
      <c r="B209" s="134"/>
    </row>
    <row r="210" spans="1:2">
      <c r="A210" s="133"/>
      <c r="B210" s="134"/>
    </row>
    <row r="211" spans="1:2">
      <c r="A211" s="133"/>
      <c r="B211" s="134"/>
    </row>
    <row r="212" spans="1:2">
      <c r="A212" s="133"/>
      <c r="B212" s="134"/>
    </row>
    <row r="213" spans="1:2">
      <c r="A213" s="133"/>
      <c r="B213" s="134"/>
    </row>
    <row r="214" spans="1:2">
      <c r="A214" s="133"/>
      <c r="B214" s="134"/>
    </row>
    <row r="215" spans="1:2">
      <c r="A215" s="133"/>
      <c r="B215" s="134"/>
    </row>
    <row r="216" spans="1:2">
      <c r="A216" s="133"/>
      <c r="B216" s="134"/>
    </row>
    <row r="217" spans="1:2">
      <c r="A217" s="133"/>
      <c r="B217" s="134"/>
    </row>
    <row r="218" spans="1:2">
      <c r="A218" s="133"/>
      <c r="B218" s="134"/>
    </row>
    <row r="219" spans="1:2">
      <c r="A219" s="133"/>
      <c r="B219" s="134"/>
    </row>
    <row r="220" spans="1:2">
      <c r="A220" s="133"/>
      <c r="B220" s="134"/>
    </row>
    <row r="221" spans="1:2">
      <c r="A221" s="133"/>
      <c r="B221" s="134"/>
    </row>
    <row r="222" spans="1:2">
      <c r="A222" s="133"/>
      <c r="B222" s="134"/>
    </row>
    <row r="223" spans="1:2">
      <c r="A223" s="133"/>
      <c r="B223" s="134"/>
    </row>
    <row r="224" spans="1:2">
      <c r="A224" s="133"/>
      <c r="B224" s="134"/>
    </row>
    <row r="225" spans="1:2">
      <c r="A225" s="133"/>
      <c r="B225" s="134"/>
    </row>
    <row r="226" spans="1:2">
      <c r="A226" s="133"/>
      <c r="B226" s="134"/>
    </row>
    <row r="227" spans="1:2">
      <c r="A227" s="133"/>
      <c r="B227" s="134"/>
    </row>
    <row r="228" spans="1:2">
      <c r="A228" s="133"/>
      <c r="B228" s="134"/>
    </row>
    <row r="229" spans="1:2">
      <c r="A229" s="133"/>
      <c r="B229" s="134"/>
    </row>
    <row r="230" spans="1:2">
      <c r="A230" s="133"/>
      <c r="B230" s="134"/>
    </row>
    <row r="231" spans="1:2">
      <c r="A231" s="133"/>
      <c r="B231" s="134"/>
    </row>
    <row r="232" spans="1:2">
      <c r="A232" s="133"/>
      <c r="B232" s="134"/>
    </row>
    <row r="233" spans="1:2">
      <c r="A233" s="133"/>
      <c r="B233" s="134"/>
    </row>
    <row r="234" spans="1:2">
      <c r="A234" s="133"/>
      <c r="B234" s="134"/>
    </row>
    <row r="235" spans="1:2">
      <c r="A235" s="133"/>
      <c r="B235" s="134"/>
    </row>
    <row r="236" spans="1:2">
      <c r="A236" s="133"/>
      <c r="B236" s="134"/>
    </row>
    <row r="237" spans="1:2">
      <c r="A237" s="133"/>
      <c r="B237" s="134"/>
    </row>
    <row r="238" spans="1:2">
      <c r="A238" s="133"/>
      <c r="B238" s="134"/>
    </row>
    <row r="239" spans="1:2">
      <c r="A239" s="133"/>
      <c r="B239" s="134"/>
    </row>
    <row r="240" spans="1:2">
      <c r="A240" s="133"/>
      <c r="B240" s="134"/>
    </row>
    <row r="241" spans="1:2">
      <c r="A241" s="133"/>
      <c r="B241" s="134"/>
    </row>
    <row r="242" spans="1:2">
      <c r="A242" s="133"/>
      <c r="B242" s="134"/>
    </row>
    <row r="243" spans="1:2">
      <c r="A243" s="133"/>
      <c r="B243" s="134"/>
    </row>
    <row r="244" spans="1:2">
      <c r="A244" s="133"/>
      <c r="B244" s="134"/>
    </row>
    <row r="245" spans="1:2">
      <c r="A245" s="133"/>
      <c r="B245" s="134"/>
    </row>
    <row r="246" spans="1:2">
      <c r="A246" s="133"/>
      <c r="B246" s="134"/>
    </row>
    <row r="247" spans="1:2">
      <c r="A247" s="133"/>
      <c r="B247" s="134"/>
    </row>
    <row r="248" spans="1:2">
      <c r="A248" s="133"/>
      <c r="B248" s="134"/>
    </row>
    <row r="249" spans="1:2">
      <c r="A249" s="133"/>
      <c r="B249" s="134"/>
    </row>
    <row r="250" spans="1:2">
      <c r="A250" s="133"/>
      <c r="B250" s="134"/>
    </row>
    <row r="251" spans="1:2">
      <c r="A251" s="133"/>
      <c r="B251" s="134"/>
    </row>
    <row r="252" spans="1:2">
      <c r="A252" s="133"/>
      <c r="B252" s="134"/>
    </row>
    <row r="253" spans="1:2">
      <c r="A253" s="133"/>
      <c r="B253" s="134"/>
    </row>
    <row r="254" spans="1:2">
      <c r="A254" s="133"/>
      <c r="B254" s="134"/>
    </row>
    <row r="255" spans="1:2">
      <c r="A255" s="133"/>
      <c r="B255" s="134"/>
    </row>
    <row r="256" spans="1:2">
      <c r="A256" s="133"/>
      <c r="B256" s="134"/>
    </row>
    <row r="257" spans="1:2">
      <c r="A257" s="133"/>
      <c r="B257" s="134"/>
    </row>
    <row r="258" spans="1:2">
      <c r="A258" s="133"/>
      <c r="B258" s="134"/>
    </row>
    <row r="259" spans="1:2">
      <c r="A259" s="133"/>
      <c r="B259" s="134"/>
    </row>
    <row r="260" spans="1:2">
      <c r="A260" s="133"/>
      <c r="B260" s="134"/>
    </row>
    <row r="261" spans="1:2">
      <c r="A261" s="133"/>
      <c r="B261" s="134"/>
    </row>
    <row r="262" spans="1:2">
      <c r="A262" s="133"/>
      <c r="B262" s="134"/>
    </row>
    <row r="263" spans="1:2">
      <c r="A263" s="133"/>
      <c r="B263" s="134"/>
    </row>
    <row r="264" spans="1:2">
      <c r="A264" s="133"/>
      <c r="B264" s="134"/>
    </row>
    <row r="265" spans="1:2">
      <c r="A265" s="133"/>
      <c r="B265" s="134"/>
    </row>
    <row r="266" spans="1:2">
      <c r="A266" s="133"/>
      <c r="B266" s="134"/>
    </row>
    <row r="267" spans="1:2">
      <c r="A267" s="133"/>
      <c r="B267" s="134"/>
    </row>
    <row r="268" spans="1:2">
      <c r="A268" s="133"/>
      <c r="B268" s="134"/>
    </row>
    <row r="269" spans="1:2">
      <c r="A269" s="133"/>
      <c r="B269" s="134"/>
    </row>
    <row r="270" spans="1:2">
      <c r="A270" s="133"/>
      <c r="B270" s="134"/>
    </row>
    <row r="271" spans="1:2">
      <c r="A271" s="133"/>
      <c r="B271" s="134"/>
    </row>
    <row r="272" spans="1:2">
      <c r="A272" s="133"/>
      <c r="B272" s="134"/>
    </row>
    <row r="273" spans="1:2">
      <c r="A273" s="133"/>
      <c r="B273" s="134"/>
    </row>
    <row r="274" spans="1:2">
      <c r="A274" s="133"/>
      <c r="B274" s="134"/>
    </row>
    <row r="275" spans="1:2">
      <c r="A275" s="133"/>
      <c r="B275" s="134"/>
    </row>
    <row r="276" spans="1:2">
      <c r="A276" s="133"/>
      <c r="B276" s="134"/>
    </row>
    <row r="277" spans="1:2">
      <c r="A277" s="133"/>
      <c r="B277" s="134"/>
    </row>
    <row r="278" spans="1:2">
      <c r="A278" s="133"/>
      <c r="B278" s="134"/>
    </row>
    <row r="279" spans="1:2">
      <c r="A279" s="133"/>
      <c r="B279" s="134"/>
    </row>
    <row r="280" spans="1:2">
      <c r="A280" s="133"/>
      <c r="B280" s="134"/>
    </row>
    <row r="281" spans="1:2">
      <c r="A281" s="133"/>
      <c r="B281" s="134"/>
    </row>
    <row r="282" spans="1:2">
      <c r="A282" s="133"/>
      <c r="B282" s="134"/>
    </row>
    <row r="283" spans="1:2">
      <c r="A283" s="133"/>
      <c r="B283" s="134"/>
    </row>
    <row r="284" spans="1:2">
      <c r="A284" s="133"/>
      <c r="B284" s="134"/>
    </row>
    <row r="285" spans="1:2">
      <c r="A285" s="133"/>
      <c r="B285" s="134"/>
    </row>
    <row r="286" spans="1:2">
      <c r="A286" s="133"/>
      <c r="B286" s="134"/>
    </row>
    <row r="287" spans="1:2">
      <c r="A287" s="133"/>
      <c r="B287" s="134"/>
    </row>
    <row r="288" spans="1:2">
      <c r="A288" s="133"/>
      <c r="B288" s="134"/>
    </row>
    <row r="289" spans="1:2">
      <c r="A289" s="133"/>
      <c r="B289" s="134"/>
    </row>
    <row r="290" spans="1:2">
      <c r="A290" s="133"/>
      <c r="B290" s="134"/>
    </row>
    <row r="291" spans="1:2">
      <c r="A291" s="133"/>
      <c r="B291" s="134"/>
    </row>
    <row r="292" spans="1:2">
      <c r="A292" s="133"/>
      <c r="B292" s="134"/>
    </row>
    <row r="293" spans="1:2">
      <c r="A293" s="133"/>
      <c r="B293" s="134"/>
    </row>
    <row r="294" spans="1:2">
      <c r="A294" s="133"/>
      <c r="B294" s="134"/>
    </row>
    <row r="295" spans="1:2">
      <c r="A295" s="133"/>
      <c r="B295" s="134"/>
    </row>
    <row r="296" spans="1:2">
      <c r="A296" s="133"/>
      <c r="B296" s="134"/>
    </row>
    <row r="297" spans="1:2">
      <c r="A297" s="133"/>
      <c r="B297" s="134"/>
    </row>
    <row r="298" spans="1:2">
      <c r="A298" s="133"/>
      <c r="B298" s="134"/>
    </row>
    <row r="299" spans="1:2">
      <c r="A299" s="133"/>
      <c r="B299" s="134"/>
    </row>
    <row r="300" spans="1:2">
      <c r="A300" s="133"/>
      <c r="B300" s="134"/>
    </row>
    <row r="301" spans="1:2">
      <c r="A301" s="133"/>
      <c r="B301" s="134"/>
    </row>
    <row r="302" spans="1:2">
      <c r="A302" s="133"/>
      <c r="B302" s="134"/>
    </row>
    <row r="303" spans="1:2">
      <c r="A303" s="133"/>
      <c r="B303" s="134"/>
    </row>
    <row r="304" spans="1:2">
      <c r="A304" s="133"/>
      <c r="B304" s="134"/>
    </row>
    <row r="305" spans="1:2">
      <c r="A305" s="133"/>
      <c r="B305" s="134"/>
    </row>
    <row r="306" spans="1:2">
      <c r="A306" s="133"/>
      <c r="B306" s="134"/>
    </row>
    <row r="307" spans="1:2">
      <c r="A307" s="133"/>
      <c r="B307" s="134"/>
    </row>
    <row r="308" spans="1:2">
      <c r="A308" s="133"/>
      <c r="B308" s="134"/>
    </row>
    <row r="309" spans="1:2">
      <c r="A309" s="133"/>
      <c r="B309" s="134"/>
    </row>
    <row r="310" spans="1:2">
      <c r="A310" s="133"/>
      <c r="B310" s="134"/>
    </row>
    <row r="311" spans="1:2">
      <c r="A311" s="133"/>
      <c r="B311" s="134"/>
    </row>
    <row r="312" spans="1:2">
      <c r="A312" s="133"/>
      <c r="B312" s="134"/>
    </row>
    <row r="313" spans="1:2">
      <c r="A313" s="133"/>
      <c r="B313" s="134"/>
    </row>
    <row r="314" spans="1:2">
      <c r="A314" s="133"/>
      <c r="B314" s="134"/>
    </row>
    <row r="315" spans="1:2">
      <c r="A315" s="133"/>
      <c r="B315" s="134"/>
    </row>
    <row r="316" spans="1:2">
      <c r="A316" s="133"/>
      <c r="B316" s="134"/>
    </row>
    <row r="317" spans="1:2">
      <c r="A317" s="133"/>
      <c r="B317" s="134"/>
    </row>
    <row r="318" spans="1:2">
      <c r="A318" s="133"/>
      <c r="B318" s="134"/>
    </row>
    <row r="319" spans="1:2">
      <c r="A319" s="133"/>
      <c r="B319" s="134"/>
    </row>
    <row r="320" spans="1:2">
      <c r="A320" s="133"/>
      <c r="B320" s="134"/>
    </row>
    <row r="321" spans="1:2">
      <c r="A321" s="133"/>
      <c r="B321" s="134"/>
    </row>
    <row r="322" spans="1:2">
      <c r="A322" s="133"/>
      <c r="B322" s="134"/>
    </row>
    <row r="323" spans="1:2">
      <c r="A323" s="133"/>
      <c r="B323" s="134"/>
    </row>
    <row r="324" spans="1:2">
      <c r="A324" s="133"/>
      <c r="B324" s="134"/>
    </row>
    <row r="325" spans="1:2">
      <c r="A325" s="133"/>
      <c r="B325" s="134"/>
    </row>
    <row r="326" spans="1:2">
      <c r="A326" s="133"/>
      <c r="B326" s="134"/>
    </row>
    <row r="327" spans="1:2">
      <c r="A327" s="133"/>
      <c r="B327" s="134"/>
    </row>
    <row r="328" spans="1:2">
      <c r="A328" s="133"/>
      <c r="B328" s="134"/>
    </row>
    <row r="329" spans="1:2">
      <c r="A329" s="133"/>
      <c r="B329" s="134"/>
    </row>
    <row r="330" spans="1:2">
      <c r="A330" s="133"/>
      <c r="B330" s="134"/>
    </row>
    <row r="331" spans="1:2">
      <c r="A331" s="133"/>
      <c r="B331" s="134"/>
    </row>
    <row r="332" spans="1:2">
      <c r="A332" s="133"/>
      <c r="B332" s="134"/>
    </row>
    <row r="333" spans="1:2">
      <c r="A333" s="133"/>
      <c r="B333" s="134"/>
    </row>
    <row r="334" spans="1:2">
      <c r="A334" s="133"/>
      <c r="B334" s="134"/>
    </row>
    <row r="335" spans="1:2">
      <c r="A335" s="133"/>
      <c r="B335" s="134"/>
    </row>
    <row r="336" spans="1:2">
      <c r="A336" s="133"/>
      <c r="B336" s="134"/>
    </row>
    <row r="337" spans="1:2">
      <c r="A337" s="133"/>
      <c r="B337" s="134"/>
    </row>
    <row r="338" spans="1:2">
      <c r="A338" s="133"/>
      <c r="B338" s="134"/>
    </row>
    <row r="339" spans="1:2">
      <c r="A339" s="133"/>
      <c r="B339" s="134"/>
    </row>
    <row r="340" spans="1:2">
      <c r="A340" s="133"/>
      <c r="B340" s="134"/>
    </row>
    <row r="341" spans="1:2">
      <c r="A341" s="133"/>
      <c r="B341" s="134"/>
    </row>
    <row r="342" spans="1:2">
      <c r="A342" s="133"/>
      <c r="B342" s="134"/>
    </row>
    <row r="343" spans="1:2">
      <c r="A343" s="133"/>
      <c r="B343" s="134"/>
    </row>
    <row r="344" spans="1:2">
      <c r="A344" s="133"/>
      <c r="B344" s="134"/>
    </row>
    <row r="345" spans="1:2">
      <c r="A345" s="133"/>
      <c r="B345" s="134"/>
    </row>
    <row r="346" spans="1:2">
      <c r="A346" s="133"/>
      <c r="B346" s="134"/>
    </row>
    <row r="347" spans="1:2">
      <c r="A347" s="133"/>
      <c r="B347" s="134"/>
    </row>
    <row r="348" spans="1:2">
      <c r="A348" s="133"/>
      <c r="B348" s="134"/>
    </row>
    <row r="349" spans="1:2">
      <c r="A349" s="133"/>
      <c r="B349" s="134"/>
    </row>
    <row r="350" spans="1:2">
      <c r="A350" s="133"/>
      <c r="B350" s="134"/>
    </row>
    <row r="351" spans="1:2">
      <c r="A351" s="133"/>
      <c r="B351" s="134"/>
    </row>
    <row r="352" spans="1:2">
      <c r="A352" s="133"/>
      <c r="B352" s="134"/>
    </row>
    <row r="353" spans="1:2">
      <c r="A353" s="133"/>
      <c r="B353" s="134"/>
    </row>
    <row r="354" spans="1:2">
      <c r="A354" s="133"/>
      <c r="B354" s="134"/>
    </row>
    <row r="355" spans="1:2">
      <c r="A355" s="133"/>
      <c r="B355" s="134"/>
    </row>
    <row r="356" spans="1:2">
      <c r="A356" s="133"/>
      <c r="B356" s="134"/>
    </row>
    <row r="357" spans="1:2">
      <c r="A357" s="133"/>
      <c r="B357" s="134"/>
    </row>
    <row r="358" spans="1:2">
      <c r="A358" s="133"/>
      <c r="B358" s="134"/>
    </row>
    <row r="359" spans="1:2">
      <c r="A359" s="133"/>
      <c r="B359" s="134"/>
    </row>
    <row r="360" spans="1:2">
      <c r="A360" s="133"/>
      <c r="B360" s="134"/>
    </row>
    <row r="361" spans="1:2">
      <c r="A361" s="133"/>
      <c r="B361" s="134"/>
    </row>
    <row r="362" spans="1:2">
      <c r="A362" s="133"/>
      <c r="B362" s="134"/>
    </row>
    <row r="363" spans="1:2">
      <c r="A363" s="133"/>
      <c r="B363" s="134"/>
    </row>
    <row r="364" spans="1:2">
      <c r="A364" s="133"/>
      <c r="B364" s="134"/>
    </row>
    <row r="365" spans="1:2">
      <c r="A365" s="133"/>
      <c r="B365" s="134"/>
    </row>
    <row r="366" spans="1:2">
      <c r="A366" s="133"/>
      <c r="B366" s="134"/>
    </row>
    <row r="367" spans="1:2">
      <c r="A367" s="133"/>
      <c r="B367" s="134"/>
    </row>
    <row r="368" spans="1:2">
      <c r="A368" s="133"/>
      <c r="B368" s="134"/>
    </row>
    <row r="369" spans="1:2">
      <c r="A369" s="133"/>
      <c r="B369" s="134"/>
    </row>
    <row r="370" spans="1:2">
      <c r="A370" s="133"/>
      <c r="B370" s="134"/>
    </row>
    <row r="371" spans="1:2">
      <c r="A371" s="133"/>
      <c r="B371" s="134"/>
    </row>
    <row r="372" spans="1:2">
      <c r="A372" s="133"/>
      <c r="B372" s="134"/>
    </row>
    <row r="373" spans="1:2">
      <c r="A373" s="133"/>
      <c r="B373" s="134"/>
    </row>
    <row r="374" spans="1:2">
      <c r="A374" s="133"/>
      <c r="B374" s="134"/>
    </row>
    <row r="375" spans="1:2">
      <c r="A375" s="133"/>
      <c r="B375" s="134"/>
    </row>
    <row r="376" spans="1:2">
      <c r="A376" s="133"/>
      <c r="B376" s="134"/>
    </row>
    <row r="377" spans="1:2">
      <c r="A377" s="133"/>
      <c r="B377" s="134"/>
    </row>
    <row r="378" spans="1:2">
      <c r="A378" s="133"/>
      <c r="B378" s="134"/>
    </row>
    <row r="379" spans="1:2">
      <c r="A379" s="133"/>
      <c r="B379" s="134"/>
    </row>
    <row r="380" spans="1:2">
      <c r="A380" s="133"/>
      <c r="B380" s="134"/>
    </row>
    <row r="381" spans="1:2">
      <c r="A381" s="133"/>
      <c r="B381" s="134"/>
    </row>
    <row r="382" spans="1:2">
      <c r="A382" s="133"/>
      <c r="B382" s="134"/>
    </row>
    <row r="383" spans="1:2">
      <c r="A383" s="133"/>
      <c r="B383" s="134"/>
    </row>
    <row r="384" spans="1:2">
      <c r="A384" s="133"/>
      <c r="B384" s="134"/>
    </row>
    <row r="385" spans="1:2">
      <c r="A385" s="133"/>
      <c r="B385" s="134"/>
    </row>
    <row r="386" spans="1:2">
      <c r="A386" s="133"/>
      <c r="B386" s="134"/>
    </row>
    <row r="387" spans="1:2">
      <c r="A387" s="133"/>
      <c r="B387" s="134"/>
    </row>
    <row r="388" spans="1:2">
      <c r="A388" s="133"/>
      <c r="B388" s="134"/>
    </row>
    <row r="389" spans="1:2">
      <c r="A389" s="133"/>
      <c r="B389" s="134"/>
    </row>
    <row r="390" spans="1:2">
      <c r="A390" s="133"/>
      <c r="B390" s="134"/>
    </row>
    <row r="391" spans="1:2">
      <c r="A391" s="133"/>
      <c r="B391" s="134"/>
    </row>
    <row r="392" spans="1:2">
      <c r="A392" s="133"/>
      <c r="B392" s="134"/>
    </row>
    <row r="393" spans="1:2">
      <c r="A393" s="133"/>
      <c r="B393" s="134"/>
    </row>
    <row r="394" spans="1:2">
      <c r="A394" s="133"/>
      <c r="B394" s="134"/>
    </row>
    <row r="395" spans="1:2">
      <c r="A395" s="133"/>
      <c r="B395" s="134"/>
    </row>
    <row r="396" spans="1:2">
      <c r="A396" s="133"/>
      <c r="B396" s="134"/>
    </row>
    <row r="397" spans="1:2">
      <c r="A397" s="133"/>
      <c r="B397" s="134"/>
    </row>
    <row r="398" spans="1:2">
      <c r="A398" s="133"/>
      <c r="B398" s="134"/>
    </row>
    <row r="399" spans="1:2">
      <c r="A399" s="133"/>
      <c r="B399" s="134"/>
    </row>
    <row r="400" spans="1:2">
      <c r="A400" s="133"/>
      <c r="B400" s="134"/>
    </row>
    <row r="401" spans="1:2">
      <c r="A401" s="133"/>
      <c r="B401" s="134"/>
    </row>
    <row r="402" spans="1:2">
      <c r="A402" s="133"/>
      <c r="B402" s="134"/>
    </row>
    <row r="403" spans="1:2">
      <c r="A403" s="133"/>
      <c r="B403" s="134"/>
    </row>
    <row r="404" spans="1:2">
      <c r="A404" s="133"/>
      <c r="B404" s="134"/>
    </row>
    <row r="405" spans="1:2">
      <c r="A405" s="133"/>
      <c r="B405" s="134"/>
    </row>
    <row r="406" spans="1:2">
      <c r="A406" s="133"/>
      <c r="B406" s="134"/>
    </row>
    <row r="407" spans="1:2">
      <c r="A407" s="133"/>
      <c r="B407" s="134"/>
    </row>
    <row r="408" spans="1:2">
      <c r="A408" s="133"/>
      <c r="B408" s="134"/>
    </row>
    <row r="409" spans="1:2">
      <c r="A409" s="133"/>
      <c r="B409" s="134"/>
    </row>
    <row r="410" spans="1:2">
      <c r="A410" s="133"/>
      <c r="B410" s="134"/>
    </row>
    <row r="411" spans="1:2">
      <c r="A411" s="133"/>
      <c r="B411" s="134"/>
    </row>
    <row r="412" spans="1:2">
      <c r="A412" s="133"/>
      <c r="B412" s="134"/>
    </row>
    <row r="413" spans="1:2">
      <c r="A413" s="133"/>
      <c r="B413" s="134"/>
    </row>
    <row r="414" spans="1:2">
      <c r="A414" s="133"/>
      <c r="B414" s="134"/>
    </row>
    <row r="415" spans="1:2">
      <c r="A415" s="133"/>
      <c r="B415" s="134"/>
    </row>
    <row r="416" spans="1:2">
      <c r="A416" s="133"/>
      <c r="B416" s="134"/>
    </row>
    <row r="417" spans="1:2">
      <c r="A417" s="133"/>
      <c r="B417" s="134"/>
    </row>
    <row r="418" spans="1:2">
      <c r="A418" s="133"/>
      <c r="B418" s="134"/>
    </row>
    <row r="419" spans="1:2">
      <c r="A419" s="133"/>
      <c r="B419" s="134"/>
    </row>
    <row r="420" spans="1:2">
      <c r="A420" s="133"/>
      <c r="B420" s="134"/>
    </row>
    <row r="421" spans="1:2">
      <c r="A421" s="133"/>
      <c r="B421" s="134"/>
    </row>
    <row r="422" spans="1:2">
      <c r="A422" s="133"/>
      <c r="B422" s="134"/>
    </row>
    <row r="423" spans="1:2">
      <c r="A423" s="133"/>
      <c r="B423" s="134"/>
    </row>
    <row r="424" spans="1:2">
      <c r="A424" s="133"/>
      <c r="B424" s="134"/>
    </row>
    <row r="425" spans="1:2">
      <c r="A425" s="133"/>
      <c r="B425" s="134"/>
    </row>
    <row r="426" spans="1:2">
      <c r="A426" s="133"/>
      <c r="B426" s="134"/>
    </row>
    <row r="427" spans="1:2">
      <c r="A427" s="133"/>
      <c r="B427" s="134"/>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59BB326-2451-4293-AA79-678AF47A5017}">
          <x14:formula1>
            <xm:f>Data!$B$3:$B$140</xm:f>
          </x14:formula1>
          <xm:sqref>A2:A199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D3972-9F50-4EC2-BF0E-6493F9E41309}">
  <dimension ref="A1:Y438"/>
  <sheetViews>
    <sheetView zoomScaleNormal="100" workbookViewId="0">
      <pane xSplit="3" ySplit="2" topLeftCell="D70" activePane="bottomRight" state="frozen"/>
      <selection pane="topRight" activeCell="D1" sqref="D1"/>
      <selection pane="bottomLeft" activeCell="A3" sqref="A3"/>
      <selection pane="bottomRight" activeCell="Z95" sqref="Z95"/>
    </sheetView>
  </sheetViews>
  <sheetFormatPr defaultRowHeight="12.75" outlineLevelCol="1"/>
  <cols>
    <col min="1" max="2" width="10.140625" bestFit="1" customWidth="1"/>
    <col min="3" max="3" width="35.42578125" bestFit="1" customWidth="1"/>
    <col min="4" max="5" width="9.140625" customWidth="1" outlineLevel="1"/>
    <col min="6" max="6" width="9.85546875" customWidth="1" outlineLevel="1"/>
    <col min="7" max="14" width="9.140625" customWidth="1" outlineLevel="1"/>
    <col min="15" max="15" width="9.5703125" customWidth="1" outlineLevel="1"/>
    <col min="16" max="19" width="9.140625" customWidth="1" outlineLevel="1"/>
  </cols>
  <sheetData>
    <row r="1" spans="1:25">
      <c r="D1" s="64" t="s">
        <v>622</v>
      </c>
      <c r="E1" s="60"/>
      <c r="F1" s="60"/>
      <c r="G1" s="65" t="s">
        <v>623</v>
      </c>
      <c r="H1" s="62"/>
      <c r="I1" s="64" t="s">
        <v>625</v>
      </c>
      <c r="J1" s="60"/>
      <c r="K1" s="60"/>
      <c r="L1" s="61"/>
      <c r="M1" s="61"/>
      <c r="N1" s="65" t="s">
        <v>628</v>
      </c>
      <c r="O1" s="62"/>
      <c r="P1" s="62"/>
      <c r="Q1" s="62"/>
      <c r="R1" s="63"/>
      <c r="S1" s="63"/>
      <c r="T1" s="64" t="s">
        <v>629</v>
      </c>
      <c r="U1" s="60"/>
      <c r="V1" s="60"/>
      <c r="W1" s="60"/>
      <c r="X1" s="61"/>
      <c r="Y1" s="61"/>
    </row>
    <row r="2" spans="1:25" ht="26.25" thickBot="1">
      <c r="A2" s="19" t="s">
        <v>616</v>
      </c>
      <c r="B2" s="19" t="s">
        <v>620</v>
      </c>
      <c r="C2" s="19"/>
      <c r="D2" s="68" t="s">
        <v>614</v>
      </c>
      <c r="E2" s="68" t="s">
        <v>565</v>
      </c>
      <c r="F2" s="68" t="s">
        <v>606</v>
      </c>
      <c r="G2" s="69" t="s">
        <v>614</v>
      </c>
      <c r="H2" s="69" t="s">
        <v>624</v>
      </c>
      <c r="I2" s="68" t="s">
        <v>626</v>
      </c>
      <c r="J2" s="68" t="s">
        <v>614</v>
      </c>
      <c r="K2" s="68" t="s">
        <v>566</v>
      </c>
      <c r="L2" s="68" t="s">
        <v>617</v>
      </c>
      <c r="M2" s="68" t="s">
        <v>627</v>
      </c>
      <c r="N2" s="69" t="s">
        <v>626</v>
      </c>
      <c r="O2" s="69" t="s">
        <v>614</v>
      </c>
      <c r="P2" s="69" t="s">
        <v>606</v>
      </c>
      <c r="Q2" s="69" t="s">
        <v>566</v>
      </c>
      <c r="R2" s="69" t="s">
        <v>617</v>
      </c>
      <c r="S2" s="69" t="s">
        <v>565</v>
      </c>
      <c r="T2" s="68" t="s">
        <v>626</v>
      </c>
      <c r="U2" s="68" t="s">
        <v>614</v>
      </c>
      <c r="V2" s="68" t="s">
        <v>606</v>
      </c>
      <c r="W2" s="68" t="s">
        <v>566</v>
      </c>
      <c r="X2" s="68" t="s">
        <v>617</v>
      </c>
      <c r="Y2" s="68" t="s">
        <v>565</v>
      </c>
    </row>
    <row r="3" spans="1:25">
      <c r="A3" s="88">
        <f>'Batch input'!A2</f>
        <v>0</v>
      </c>
      <c r="B3">
        <f>'Batch input'!B2</f>
        <v>0</v>
      </c>
      <c r="C3" t="e">
        <f>VLOOKUP($A3,Data!$D$3:$CJ$128,30,FALSE)</f>
        <v>#N/A</v>
      </c>
      <c r="D3" s="74" t="e">
        <f>VLOOKUP($A3,Data!$D$3:$CJ$128,64,FALSE)</f>
        <v>#N/A</v>
      </c>
      <c r="E3" s="74" t="e">
        <f>VLOOKUP($A3,Data!$D$3:$CJ$128,66,FALSE)</f>
        <v>#N/A</v>
      </c>
      <c r="F3" s="74" t="e">
        <f>VLOOKUP($A3,Data!$D$3:$CJ$128,67,FALSE)</f>
        <v>#N/A</v>
      </c>
      <c r="G3" s="78" t="e">
        <f>VLOOKUP($A3,Data!$D$3:$CJ$128,68,FALSE)</f>
        <v>#N/A</v>
      </c>
      <c r="H3" s="78" t="e">
        <f>VLOOKUP($A3,Data!$D$3:$CJ$128,69,FALSE)</f>
        <v>#N/A</v>
      </c>
      <c r="I3" s="74" t="e">
        <f>VLOOKUP($A3,Data!$D$3:$CJ$128,70,FALSE)</f>
        <v>#N/A</v>
      </c>
      <c r="J3" s="74" t="e">
        <f>VLOOKUP($A3,Data!$D$3:$CJ$128,71,FALSE)</f>
        <v>#N/A</v>
      </c>
      <c r="K3" s="74" t="e">
        <f>VLOOKUP($A3,Data!$D$3:$CJ$128,72,FALSE)</f>
        <v>#N/A</v>
      </c>
      <c r="L3" s="74" t="e">
        <f>VLOOKUP($A3,Data!$D$3:$CJ$128,73,FALSE)</f>
        <v>#N/A</v>
      </c>
      <c r="M3" s="74" t="e">
        <f>VLOOKUP($A3,Data!$D$3:$CJ$128,74,FALSE)</f>
        <v>#N/A</v>
      </c>
      <c r="N3" s="78" t="e">
        <f t="shared" ref="N3:N40" si="0">I3</f>
        <v>#N/A</v>
      </c>
      <c r="O3" s="78" t="e">
        <f t="shared" ref="O3:O40" si="1">(((D3/1000)*H3)+((G3/1000)*M3)+(J3/1000))</f>
        <v>#N/A</v>
      </c>
      <c r="P3" s="78" t="e">
        <f t="shared" ref="P3:P40" si="2">(F3/1000)*H3</f>
        <v>#N/A</v>
      </c>
      <c r="Q3" s="78" t="e">
        <f t="shared" ref="Q3:R40" si="3">K3/1000</f>
        <v>#N/A</v>
      </c>
      <c r="R3" s="78" t="e">
        <f t="shared" si="3"/>
        <v>#N/A</v>
      </c>
      <c r="S3" s="78" t="e">
        <f t="shared" ref="S3:S40" si="4">(E3/1000)*H3</f>
        <v>#N/A</v>
      </c>
      <c r="T3" s="74" t="e">
        <f t="shared" ref="T3:Y18" si="5">$B3*N3</f>
        <v>#N/A</v>
      </c>
      <c r="U3" s="74" t="e">
        <f t="shared" si="5"/>
        <v>#N/A</v>
      </c>
      <c r="V3" s="74" t="e">
        <f t="shared" si="5"/>
        <v>#N/A</v>
      </c>
      <c r="W3" s="74" t="e">
        <f t="shared" si="5"/>
        <v>#N/A</v>
      </c>
      <c r="X3" s="74" t="e">
        <f t="shared" si="5"/>
        <v>#N/A</v>
      </c>
      <c r="Y3" s="74" t="e">
        <f t="shared" si="5"/>
        <v>#N/A</v>
      </c>
    </row>
    <row r="4" spans="1:25">
      <c r="A4" s="88">
        <f>'Batch input'!A3</f>
        <v>0</v>
      </c>
      <c r="B4">
        <f>'Batch input'!B3</f>
        <v>0</v>
      </c>
      <c r="C4" t="e">
        <f>VLOOKUP($A4,Data!$D$3:$CJ$128,30,FALSE)</f>
        <v>#N/A</v>
      </c>
      <c r="D4" s="74" t="e">
        <f>VLOOKUP($A4,Data!$D$3:$CJ$128,64,FALSE)</f>
        <v>#N/A</v>
      </c>
      <c r="E4" s="74" t="e">
        <f>VLOOKUP($A4,Data!$D$3:$CJ$128,66,FALSE)</f>
        <v>#N/A</v>
      </c>
      <c r="F4" s="74" t="e">
        <f>VLOOKUP($A4,Data!$D$3:$CJ$128,67,FALSE)</f>
        <v>#N/A</v>
      </c>
      <c r="G4" s="78" t="e">
        <f>VLOOKUP($A4,Data!$D$3:$CJ$128,68,FALSE)</f>
        <v>#N/A</v>
      </c>
      <c r="H4" s="78" t="e">
        <f>VLOOKUP($A4,Data!$D$3:$CJ$128,69,FALSE)</f>
        <v>#N/A</v>
      </c>
      <c r="I4" s="74" t="e">
        <f>VLOOKUP($A4,Data!$D$3:$CJ$128,70,FALSE)</f>
        <v>#N/A</v>
      </c>
      <c r="J4" s="74" t="e">
        <f>VLOOKUP($A4,Data!$D$3:$CJ$128,71,FALSE)</f>
        <v>#N/A</v>
      </c>
      <c r="K4" s="74" t="e">
        <f>VLOOKUP($A4,Data!$D$3:$CJ$128,72,FALSE)</f>
        <v>#N/A</v>
      </c>
      <c r="L4" s="74" t="e">
        <f>VLOOKUP($A4,Data!$D$3:$CJ$128,73,FALSE)</f>
        <v>#N/A</v>
      </c>
      <c r="M4" s="74" t="e">
        <f>VLOOKUP($A4,Data!$D$3:$CJ$128,74,FALSE)</f>
        <v>#N/A</v>
      </c>
      <c r="N4" s="78" t="e">
        <f t="shared" si="0"/>
        <v>#N/A</v>
      </c>
      <c r="O4" s="78" t="e">
        <f t="shared" si="1"/>
        <v>#N/A</v>
      </c>
      <c r="P4" s="78" t="e">
        <f t="shared" si="2"/>
        <v>#N/A</v>
      </c>
      <c r="Q4" s="78" t="e">
        <f t="shared" si="3"/>
        <v>#N/A</v>
      </c>
      <c r="R4" s="78" t="e">
        <f t="shared" si="3"/>
        <v>#N/A</v>
      </c>
      <c r="S4" s="78" t="e">
        <f t="shared" si="4"/>
        <v>#N/A</v>
      </c>
      <c r="T4" s="74" t="e">
        <f t="shared" si="5"/>
        <v>#N/A</v>
      </c>
      <c r="U4" s="74" t="e">
        <f t="shared" si="5"/>
        <v>#N/A</v>
      </c>
      <c r="V4" s="74" t="e">
        <f t="shared" si="5"/>
        <v>#N/A</v>
      </c>
      <c r="W4" s="74" t="e">
        <f t="shared" si="5"/>
        <v>#N/A</v>
      </c>
      <c r="X4" s="74" t="e">
        <f t="shared" si="5"/>
        <v>#N/A</v>
      </c>
      <c r="Y4" s="74" t="e">
        <f t="shared" si="5"/>
        <v>#N/A</v>
      </c>
    </row>
    <row r="5" spans="1:25">
      <c r="A5" s="88">
        <f>'Batch input'!A4</f>
        <v>0</v>
      </c>
      <c r="B5">
        <f>'Batch input'!B4</f>
        <v>0</v>
      </c>
      <c r="C5" t="e">
        <f>VLOOKUP($A5,Data!$D$3:$CJ$128,30,FALSE)</f>
        <v>#N/A</v>
      </c>
      <c r="D5" s="74" t="e">
        <f>VLOOKUP($A5,Data!$D$3:$CJ$128,64,FALSE)</f>
        <v>#N/A</v>
      </c>
      <c r="E5" s="74" t="e">
        <f>VLOOKUP($A5,Data!$D$3:$CJ$128,66,FALSE)</f>
        <v>#N/A</v>
      </c>
      <c r="F5" s="74" t="e">
        <f>VLOOKUP($A5,Data!$D$3:$CJ$128,67,FALSE)</f>
        <v>#N/A</v>
      </c>
      <c r="G5" s="78" t="e">
        <f>VLOOKUP($A5,Data!$D$3:$CJ$128,68,FALSE)</f>
        <v>#N/A</v>
      </c>
      <c r="H5" s="78" t="e">
        <f>VLOOKUP($A5,Data!$D$3:$CJ$128,69,FALSE)</f>
        <v>#N/A</v>
      </c>
      <c r="I5" s="74" t="e">
        <f>VLOOKUP($A5,Data!$D$3:$CJ$128,70,FALSE)</f>
        <v>#N/A</v>
      </c>
      <c r="J5" s="74" t="e">
        <f>VLOOKUP($A5,Data!$D$3:$CJ$128,71,FALSE)</f>
        <v>#N/A</v>
      </c>
      <c r="K5" s="74" t="e">
        <f>VLOOKUP($A5,Data!$D$3:$CJ$128,72,FALSE)</f>
        <v>#N/A</v>
      </c>
      <c r="L5" s="74" t="e">
        <f>VLOOKUP($A5,Data!$D$3:$CJ$128,73,FALSE)</f>
        <v>#N/A</v>
      </c>
      <c r="M5" s="74" t="e">
        <f>VLOOKUP($A5,Data!$D$3:$CJ$128,74,FALSE)</f>
        <v>#N/A</v>
      </c>
      <c r="N5" s="78" t="e">
        <f t="shared" si="0"/>
        <v>#N/A</v>
      </c>
      <c r="O5" s="78" t="e">
        <f t="shared" si="1"/>
        <v>#N/A</v>
      </c>
      <c r="P5" s="78" t="e">
        <f t="shared" si="2"/>
        <v>#N/A</v>
      </c>
      <c r="Q5" s="78" t="e">
        <f t="shared" si="3"/>
        <v>#N/A</v>
      </c>
      <c r="R5" s="78" t="e">
        <f t="shared" si="3"/>
        <v>#N/A</v>
      </c>
      <c r="S5" s="78" t="e">
        <f t="shared" si="4"/>
        <v>#N/A</v>
      </c>
      <c r="T5" s="74" t="e">
        <f t="shared" si="5"/>
        <v>#N/A</v>
      </c>
      <c r="U5" s="74" t="e">
        <f t="shared" si="5"/>
        <v>#N/A</v>
      </c>
      <c r="V5" s="74" t="e">
        <f t="shared" si="5"/>
        <v>#N/A</v>
      </c>
      <c r="W5" s="74" t="e">
        <f t="shared" si="5"/>
        <v>#N/A</v>
      </c>
      <c r="X5" s="74" t="e">
        <f t="shared" si="5"/>
        <v>#N/A</v>
      </c>
      <c r="Y5" s="74" t="e">
        <f t="shared" si="5"/>
        <v>#N/A</v>
      </c>
    </row>
    <row r="6" spans="1:25">
      <c r="A6" s="88">
        <f>'Batch input'!A5</f>
        <v>0</v>
      </c>
      <c r="B6">
        <f>'Batch input'!B5</f>
        <v>0</v>
      </c>
      <c r="C6" t="e">
        <f>VLOOKUP($A6,Data!$D$3:$CJ$128,30,FALSE)</f>
        <v>#N/A</v>
      </c>
      <c r="D6" s="74" t="e">
        <f>VLOOKUP($A6,Data!$D$3:$CJ$128,64,FALSE)</f>
        <v>#N/A</v>
      </c>
      <c r="E6" s="74" t="e">
        <f>VLOOKUP($A6,Data!$D$3:$CJ$128,66,FALSE)</f>
        <v>#N/A</v>
      </c>
      <c r="F6" s="74" t="e">
        <f>VLOOKUP($A6,Data!$D$3:$CJ$128,67,FALSE)</f>
        <v>#N/A</v>
      </c>
      <c r="G6" s="78" t="e">
        <f>VLOOKUP($A6,Data!$D$3:$CJ$128,68,FALSE)</f>
        <v>#N/A</v>
      </c>
      <c r="H6" s="78" t="e">
        <f>VLOOKUP($A6,Data!$D$3:$CJ$128,69,FALSE)</f>
        <v>#N/A</v>
      </c>
      <c r="I6" s="74" t="e">
        <f>VLOOKUP($A6,Data!$D$3:$CJ$128,70,FALSE)</f>
        <v>#N/A</v>
      </c>
      <c r="J6" s="74" t="e">
        <f>VLOOKUP($A6,Data!$D$3:$CJ$128,71,FALSE)</f>
        <v>#N/A</v>
      </c>
      <c r="K6" s="74" t="e">
        <f>VLOOKUP($A6,Data!$D$3:$CJ$128,72,FALSE)</f>
        <v>#N/A</v>
      </c>
      <c r="L6" s="74" t="e">
        <f>VLOOKUP($A6,Data!$D$3:$CJ$128,73,FALSE)</f>
        <v>#N/A</v>
      </c>
      <c r="M6" s="74" t="e">
        <f>VLOOKUP($A6,Data!$D$3:$CJ$128,74,FALSE)</f>
        <v>#N/A</v>
      </c>
      <c r="N6" s="78" t="e">
        <f t="shared" si="0"/>
        <v>#N/A</v>
      </c>
      <c r="O6" s="78" t="e">
        <f t="shared" si="1"/>
        <v>#N/A</v>
      </c>
      <c r="P6" s="78" t="e">
        <f t="shared" si="2"/>
        <v>#N/A</v>
      </c>
      <c r="Q6" s="78" t="e">
        <f t="shared" si="3"/>
        <v>#N/A</v>
      </c>
      <c r="R6" s="78" t="e">
        <f t="shared" si="3"/>
        <v>#N/A</v>
      </c>
      <c r="S6" s="78" t="e">
        <f t="shared" si="4"/>
        <v>#N/A</v>
      </c>
      <c r="T6" s="74" t="e">
        <f t="shared" si="5"/>
        <v>#N/A</v>
      </c>
      <c r="U6" s="74" t="e">
        <f t="shared" si="5"/>
        <v>#N/A</v>
      </c>
      <c r="V6" s="74" t="e">
        <f t="shared" si="5"/>
        <v>#N/A</v>
      </c>
      <c r="W6" s="74" t="e">
        <f t="shared" si="5"/>
        <v>#N/A</v>
      </c>
      <c r="X6" s="74" t="e">
        <f t="shared" si="5"/>
        <v>#N/A</v>
      </c>
      <c r="Y6" s="74" t="e">
        <f t="shared" si="5"/>
        <v>#N/A</v>
      </c>
    </row>
    <row r="7" spans="1:25">
      <c r="A7" s="88">
        <f>'Batch input'!A6</f>
        <v>0</v>
      </c>
      <c r="B7">
        <f>'Batch input'!B6</f>
        <v>0</v>
      </c>
      <c r="C7" t="e">
        <f>VLOOKUP($A7,Data!$D$3:$CJ$128,30,FALSE)</f>
        <v>#N/A</v>
      </c>
      <c r="D7" s="74" t="e">
        <f>VLOOKUP($A7,Data!$D$3:$CJ$128,64,FALSE)</f>
        <v>#N/A</v>
      </c>
      <c r="E7" s="74" t="e">
        <f>VLOOKUP($A7,Data!$D$3:$CJ$128,66,FALSE)</f>
        <v>#N/A</v>
      </c>
      <c r="F7" s="74" t="e">
        <f>VLOOKUP($A7,Data!$D$3:$CJ$128,67,FALSE)</f>
        <v>#N/A</v>
      </c>
      <c r="G7" s="78" t="e">
        <f>VLOOKUP($A7,Data!$D$3:$CJ$128,68,FALSE)</f>
        <v>#N/A</v>
      </c>
      <c r="H7" s="78" t="e">
        <f>VLOOKUP($A7,Data!$D$3:$CJ$128,69,FALSE)</f>
        <v>#N/A</v>
      </c>
      <c r="I7" s="74" t="e">
        <f>VLOOKUP($A7,Data!$D$3:$CJ$128,70,FALSE)</f>
        <v>#N/A</v>
      </c>
      <c r="J7" s="74" t="e">
        <f>VLOOKUP($A7,Data!$D$3:$CJ$128,71,FALSE)</f>
        <v>#N/A</v>
      </c>
      <c r="K7" s="74" t="e">
        <f>VLOOKUP($A7,Data!$D$3:$CJ$128,72,FALSE)</f>
        <v>#N/A</v>
      </c>
      <c r="L7" s="74" t="e">
        <f>VLOOKUP($A7,Data!$D$3:$CJ$128,73,FALSE)</f>
        <v>#N/A</v>
      </c>
      <c r="M7" s="74" t="e">
        <f>VLOOKUP($A7,Data!$D$3:$CJ$128,74,FALSE)</f>
        <v>#N/A</v>
      </c>
      <c r="N7" s="78" t="e">
        <f t="shared" si="0"/>
        <v>#N/A</v>
      </c>
      <c r="O7" s="78" t="e">
        <f t="shared" si="1"/>
        <v>#N/A</v>
      </c>
      <c r="P7" s="78" t="e">
        <f t="shared" si="2"/>
        <v>#N/A</v>
      </c>
      <c r="Q7" s="78" t="e">
        <f t="shared" si="3"/>
        <v>#N/A</v>
      </c>
      <c r="R7" s="78" t="e">
        <f t="shared" si="3"/>
        <v>#N/A</v>
      </c>
      <c r="S7" s="78" t="e">
        <f t="shared" si="4"/>
        <v>#N/A</v>
      </c>
      <c r="T7" s="74" t="e">
        <f t="shared" si="5"/>
        <v>#N/A</v>
      </c>
      <c r="U7" s="74" t="e">
        <f t="shared" si="5"/>
        <v>#N/A</v>
      </c>
      <c r="V7" s="74" t="e">
        <f t="shared" si="5"/>
        <v>#N/A</v>
      </c>
      <c r="W7" s="74" t="e">
        <f t="shared" si="5"/>
        <v>#N/A</v>
      </c>
      <c r="X7" s="74" t="e">
        <f t="shared" si="5"/>
        <v>#N/A</v>
      </c>
      <c r="Y7" s="74" t="e">
        <f t="shared" si="5"/>
        <v>#N/A</v>
      </c>
    </row>
    <row r="8" spans="1:25">
      <c r="A8" s="88">
        <f>'Batch input'!A7</f>
        <v>0</v>
      </c>
      <c r="B8">
        <f>'Batch input'!B7</f>
        <v>0</v>
      </c>
      <c r="C8" t="e">
        <f>VLOOKUP($A8,Data!$D$3:$CJ$128,30,FALSE)</f>
        <v>#N/A</v>
      </c>
      <c r="D8" s="74" t="e">
        <f>VLOOKUP($A8,Data!$D$3:$CJ$128,64,FALSE)</f>
        <v>#N/A</v>
      </c>
      <c r="E8" s="74" t="e">
        <f>VLOOKUP($A8,Data!$D$3:$CJ$128,66,FALSE)</f>
        <v>#N/A</v>
      </c>
      <c r="F8" s="74" t="e">
        <f>VLOOKUP($A8,Data!$D$3:$CJ$128,67,FALSE)</f>
        <v>#N/A</v>
      </c>
      <c r="G8" s="78" t="e">
        <f>VLOOKUP($A8,Data!$D$3:$CJ$128,68,FALSE)</f>
        <v>#N/A</v>
      </c>
      <c r="H8" s="78" t="e">
        <f>VLOOKUP($A8,Data!$D$3:$CJ$128,69,FALSE)</f>
        <v>#N/A</v>
      </c>
      <c r="I8" s="74" t="e">
        <f>VLOOKUP($A8,Data!$D$3:$CJ$128,70,FALSE)</f>
        <v>#N/A</v>
      </c>
      <c r="J8" s="74" t="e">
        <f>VLOOKUP($A8,Data!$D$3:$CJ$128,71,FALSE)</f>
        <v>#N/A</v>
      </c>
      <c r="K8" s="74" t="e">
        <f>VLOOKUP($A8,Data!$D$3:$CJ$128,72,FALSE)</f>
        <v>#N/A</v>
      </c>
      <c r="L8" s="74" t="e">
        <f>VLOOKUP($A8,Data!$D$3:$CJ$128,73,FALSE)</f>
        <v>#N/A</v>
      </c>
      <c r="M8" s="74" t="e">
        <f>VLOOKUP($A8,Data!$D$3:$CJ$128,74,FALSE)</f>
        <v>#N/A</v>
      </c>
      <c r="N8" s="78" t="e">
        <f t="shared" si="0"/>
        <v>#N/A</v>
      </c>
      <c r="O8" s="78" t="e">
        <f t="shared" si="1"/>
        <v>#N/A</v>
      </c>
      <c r="P8" s="78" t="e">
        <f t="shared" si="2"/>
        <v>#N/A</v>
      </c>
      <c r="Q8" s="78" t="e">
        <f t="shared" si="3"/>
        <v>#N/A</v>
      </c>
      <c r="R8" s="78" t="e">
        <f t="shared" si="3"/>
        <v>#N/A</v>
      </c>
      <c r="S8" s="78" t="e">
        <f t="shared" si="4"/>
        <v>#N/A</v>
      </c>
      <c r="T8" s="74" t="e">
        <f t="shared" si="5"/>
        <v>#N/A</v>
      </c>
      <c r="U8" s="74" t="e">
        <f t="shared" si="5"/>
        <v>#N/A</v>
      </c>
      <c r="V8" s="74" t="e">
        <f t="shared" si="5"/>
        <v>#N/A</v>
      </c>
      <c r="W8" s="74" t="e">
        <f t="shared" si="5"/>
        <v>#N/A</v>
      </c>
      <c r="X8" s="74" t="e">
        <f t="shared" si="5"/>
        <v>#N/A</v>
      </c>
      <c r="Y8" s="74" t="e">
        <f t="shared" si="5"/>
        <v>#N/A</v>
      </c>
    </row>
    <row r="9" spans="1:25">
      <c r="A9" s="88">
        <f>'Batch input'!A8</f>
        <v>0</v>
      </c>
      <c r="B9">
        <f>'Batch input'!B8</f>
        <v>0</v>
      </c>
      <c r="C9" t="e">
        <f>VLOOKUP($A9,Data!$D$3:$CJ$128,30,FALSE)</f>
        <v>#N/A</v>
      </c>
      <c r="D9" s="74" t="e">
        <f>VLOOKUP($A9,Data!$D$3:$CJ$128,64,FALSE)</f>
        <v>#N/A</v>
      </c>
      <c r="E9" s="74" t="e">
        <f>VLOOKUP($A9,Data!$D$3:$CJ$128,66,FALSE)</f>
        <v>#N/A</v>
      </c>
      <c r="F9" s="74" t="e">
        <f>VLOOKUP($A9,Data!$D$3:$CJ$128,67,FALSE)</f>
        <v>#N/A</v>
      </c>
      <c r="G9" s="78" t="e">
        <f>VLOOKUP($A9,Data!$D$3:$CJ$128,68,FALSE)</f>
        <v>#N/A</v>
      </c>
      <c r="H9" s="78" t="e">
        <f>VLOOKUP($A9,Data!$D$3:$CJ$128,69,FALSE)</f>
        <v>#N/A</v>
      </c>
      <c r="I9" s="74" t="e">
        <f>VLOOKUP($A9,Data!$D$3:$CJ$128,70,FALSE)</f>
        <v>#N/A</v>
      </c>
      <c r="J9" s="74" t="e">
        <f>VLOOKUP($A9,Data!$D$3:$CJ$128,71,FALSE)</f>
        <v>#N/A</v>
      </c>
      <c r="K9" s="74" t="e">
        <f>VLOOKUP($A9,Data!$D$3:$CJ$128,72,FALSE)</f>
        <v>#N/A</v>
      </c>
      <c r="L9" s="74" t="e">
        <f>VLOOKUP($A9,Data!$D$3:$CJ$128,73,FALSE)</f>
        <v>#N/A</v>
      </c>
      <c r="M9" s="74" t="e">
        <f>VLOOKUP($A9,Data!$D$3:$CJ$128,74,FALSE)</f>
        <v>#N/A</v>
      </c>
      <c r="N9" s="78" t="e">
        <f t="shared" si="0"/>
        <v>#N/A</v>
      </c>
      <c r="O9" s="78" t="e">
        <f t="shared" si="1"/>
        <v>#N/A</v>
      </c>
      <c r="P9" s="78" t="e">
        <f t="shared" si="2"/>
        <v>#N/A</v>
      </c>
      <c r="Q9" s="78" t="e">
        <f t="shared" si="3"/>
        <v>#N/A</v>
      </c>
      <c r="R9" s="78" t="e">
        <f t="shared" si="3"/>
        <v>#N/A</v>
      </c>
      <c r="S9" s="78" t="e">
        <f t="shared" si="4"/>
        <v>#N/A</v>
      </c>
      <c r="T9" s="74" t="e">
        <f t="shared" si="5"/>
        <v>#N/A</v>
      </c>
      <c r="U9" s="74" t="e">
        <f t="shared" si="5"/>
        <v>#N/A</v>
      </c>
      <c r="V9" s="74" t="e">
        <f t="shared" si="5"/>
        <v>#N/A</v>
      </c>
      <c r="W9" s="74" t="e">
        <f t="shared" si="5"/>
        <v>#N/A</v>
      </c>
      <c r="X9" s="74" t="e">
        <f t="shared" si="5"/>
        <v>#N/A</v>
      </c>
      <c r="Y9" s="74" t="e">
        <f t="shared" si="5"/>
        <v>#N/A</v>
      </c>
    </row>
    <row r="10" spans="1:25">
      <c r="A10" s="88">
        <f>'Batch input'!A9</f>
        <v>0</v>
      </c>
      <c r="B10">
        <f>'Batch input'!B9</f>
        <v>0</v>
      </c>
      <c r="C10" t="e">
        <f>VLOOKUP($A10,Data!$D$3:$CJ$128,30,FALSE)</f>
        <v>#N/A</v>
      </c>
      <c r="D10" s="74" t="e">
        <f>VLOOKUP($A10,Data!$D$3:$CJ$128,64,FALSE)</f>
        <v>#N/A</v>
      </c>
      <c r="E10" s="74" t="e">
        <f>VLOOKUP($A10,Data!$D$3:$CJ$128,66,FALSE)</f>
        <v>#N/A</v>
      </c>
      <c r="F10" s="74" t="e">
        <f>VLOOKUP($A10,Data!$D$3:$CJ$128,67,FALSE)</f>
        <v>#N/A</v>
      </c>
      <c r="G10" s="78" t="e">
        <f>VLOOKUP($A10,Data!$D$3:$CJ$128,68,FALSE)</f>
        <v>#N/A</v>
      </c>
      <c r="H10" s="78" t="e">
        <f>VLOOKUP($A10,Data!$D$3:$CJ$128,69,FALSE)</f>
        <v>#N/A</v>
      </c>
      <c r="I10" s="74" t="e">
        <f>VLOOKUP($A10,Data!$D$3:$CJ$128,70,FALSE)</f>
        <v>#N/A</v>
      </c>
      <c r="J10" s="74" t="e">
        <f>VLOOKUP($A10,Data!$D$3:$CJ$128,71,FALSE)</f>
        <v>#N/A</v>
      </c>
      <c r="K10" s="74" t="e">
        <f>VLOOKUP($A10,Data!$D$3:$CJ$128,72,FALSE)</f>
        <v>#N/A</v>
      </c>
      <c r="L10" s="74" t="e">
        <f>VLOOKUP($A10,Data!$D$3:$CJ$128,73,FALSE)</f>
        <v>#N/A</v>
      </c>
      <c r="M10" s="74" t="e">
        <f>VLOOKUP($A10,Data!$D$3:$CJ$128,74,FALSE)</f>
        <v>#N/A</v>
      </c>
      <c r="N10" s="78" t="e">
        <f t="shared" si="0"/>
        <v>#N/A</v>
      </c>
      <c r="O10" s="78" t="e">
        <f t="shared" si="1"/>
        <v>#N/A</v>
      </c>
      <c r="P10" s="78" t="e">
        <f t="shared" si="2"/>
        <v>#N/A</v>
      </c>
      <c r="Q10" s="78" t="e">
        <f t="shared" si="3"/>
        <v>#N/A</v>
      </c>
      <c r="R10" s="78" t="e">
        <f t="shared" si="3"/>
        <v>#N/A</v>
      </c>
      <c r="S10" s="78" t="e">
        <f t="shared" si="4"/>
        <v>#N/A</v>
      </c>
      <c r="T10" s="74" t="e">
        <f t="shared" si="5"/>
        <v>#N/A</v>
      </c>
      <c r="U10" s="74" t="e">
        <f t="shared" si="5"/>
        <v>#N/A</v>
      </c>
      <c r="V10" s="74" t="e">
        <f t="shared" si="5"/>
        <v>#N/A</v>
      </c>
      <c r="W10" s="74" t="e">
        <f t="shared" si="5"/>
        <v>#N/A</v>
      </c>
      <c r="X10" s="74" t="e">
        <f t="shared" si="5"/>
        <v>#N/A</v>
      </c>
      <c r="Y10" s="74" t="e">
        <f t="shared" si="5"/>
        <v>#N/A</v>
      </c>
    </row>
    <row r="11" spans="1:25">
      <c r="A11" s="88">
        <f>'Batch input'!A10</f>
        <v>0</v>
      </c>
      <c r="B11">
        <f>'Batch input'!B10</f>
        <v>0</v>
      </c>
      <c r="C11" t="e">
        <f>VLOOKUP($A11,Data!$D$3:$CJ$128,30,FALSE)</f>
        <v>#N/A</v>
      </c>
      <c r="D11" s="74" t="e">
        <f>VLOOKUP($A11,Data!$D$3:$CJ$128,64,FALSE)</f>
        <v>#N/A</v>
      </c>
      <c r="E11" s="74" t="e">
        <f>VLOOKUP($A11,Data!$D$3:$CJ$128,66,FALSE)</f>
        <v>#N/A</v>
      </c>
      <c r="F11" s="74" t="e">
        <f>VLOOKUP($A11,Data!$D$3:$CJ$128,67,FALSE)</f>
        <v>#N/A</v>
      </c>
      <c r="G11" s="78" t="e">
        <f>VLOOKUP($A11,Data!$D$3:$CJ$128,68,FALSE)</f>
        <v>#N/A</v>
      </c>
      <c r="H11" s="78" t="e">
        <f>VLOOKUP($A11,Data!$D$3:$CJ$128,69,FALSE)</f>
        <v>#N/A</v>
      </c>
      <c r="I11" s="74" t="e">
        <f>VLOOKUP($A11,Data!$D$3:$CJ$128,70,FALSE)</f>
        <v>#N/A</v>
      </c>
      <c r="J11" s="74" t="e">
        <f>VLOOKUP($A11,Data!$D$3:$CJ$128,71,FALSE)</f>
        <v>#N/A</v>
      </c>
      <c r="K11" s="74" t="e">
        <f>VLOOKUP($A11,Data!$D$3:$CJ$128,72,FALSE)</f>
        <v>#N/A</v>
      </c>
      <c r="L11" s="74" t="e">
        <f>VLOOKUP($A11,Data!$D$3:$CJ$128,73,FALSE)</f>
        <v>#N/A</v>
      </c>
      <c r="M11" s="74" t="e">
        <f>VLOOKUP($A11,Data!$D$3:$CJ$128,74,FALSE)</f>
        <v>#N/A</v>
      </c>
      <c r="N11" s="78" t="e">
        <f t="shared" si="0"/>
        <v>#N/A</v>
      </c>
      <c r="O11" s="78" t="e">
        <f t="shared" si="1"/>
        <v>#N/A</v>
      </c>
      <c r="P11" s="78" t="e">
        <f t="shared" si="2"/>
        <v>#N/A</v>
      </c>
      <c r="Q11" s="78" t="e">
        <f t="shared" si="3"/>
        <v>#N/A</v>
      </c>
      <c r="R11" s="78" t="e">
        <f t="shared" si="3"/>
        <v>#N/A</v>
      </c>
      <c r="S11" s="78" t="e">
        <f t="shared" si="4"/>
        <v>#N/A</v>
      </c>
      <c r="T11" s="74" t="e">
        <f t="shared" si="5"/>
        <v>#N/A</v>
      </c>
      <c r="U11" s="74" t="e">
        <f t="shared" si="5"/>
        <v>#N/A</v>
      </c>
      <c r="V11" s="74" t="e">
        <f t="shared" si="5"/>
        <v>#N/A</v>
      </c>
      <c r="W11" s="74" t="e">
        <f t="shared" si="5"/>
        <v>#N/A</v>
      </c>
      <c r="X11" s="74" t="e">
        <f t="shared" si="5"/>
        <v>#N/A</v>
      </c>
      <c r="Y11" s="74" t="e">
        <f t="shared" si="5"/>
        <v>#N/A</v>
      </c>
    </row>
    <row r="12" spans="1:25">
      <c r="A12" s="88">
        <f>'Batch input'!A11</f>
        <v>0</v>
      </c>
      <c r="B12">
        <f>'Batch input'!B11</f>
        <v>0</v>
      </c>
      <c r="C12" t="e">
        <f>VLOOKUP($A12,Data!$D$3:$CJ$128,30,FALSE)</f>
        <v>#N/A</v>
      </c>
      <c r="D12" s="74" t="e">
        <f>VLOOKUP($A12,Data!$D$3:$CJ$128,64,FALSE)</f>
        <v>#N/A</v>
      </c>
      <c r="E12" s="74" t="e">
        <f>VLOOKUP($A12,Data!$D$3:$CJ$128,66,FALSE)</f>
        <v>#N/A</v>
      </c>
      <c r="F12" s="74" t="e">
        <f>VLOOKUP($A12,Data!$D$3:$CJ$128,67,FALSE)</f>
        <v>#N/A</v>
      </c>
      <c r="G12" s="78" t="e">
        <f>VLOOKUP($A12,Data!$D$3:$CJ$128,68,FALSE)</f>
        <v>#N/A</v>
      </c>
      <c r="H12" s="78" t="e">
        <f>VLOOKUP($A12,Data!$D$3:$CJ$128,69,FALSE)</f>
        <v>#N/A</v>
      </c>
      <c r="I12" s="74" t="e">
        <f>VLOOKUP($A12,Data!$D$3:$CJ$128,70,FALSE)</f>
        <v>#N/A</v>
      </c>
      <c r="J12" s="74" t="e">
        <f>VLOOKUP($A12,Data!$D$3:$CJ$128,71,FALSE)</f>
        <v>#N/A</v>
      </c>
      <c r="K12" s="74" t="e">
        <f>VLOOKUP($A12,Data!$D$3:$CJ$128,72,FALSE)</f>
        <v>#N/A</v>
      </c>
      <c r="L12" s="74" t="e">
        <f>VLOOKUP($A12,Data!$D$3:$CJ$128,73,FALSE)</f>
        <v>#N/A</v>
      </c>
      <c r="M12" s="74" t="e">
        <f>VLOOKUP($A12,Data!$D$3:$CJ$128,74,FALSE)</f>
        <v>#N/A</v>
      </c>
      <c r="N12" s="78" t="e">
        <f t="shared" si="0"/>
        <v>#N/A</v>
      </c>
      <c r="O12" s="78" t="e">
        <f t="shared" si="1"/>
        <v>#N/A</v>
      </c>
      <c r="P12" s="78" t="e">
        <f t="shared" si="2"/>
        <v>#N/A</v>
      </c>
      <c r="Q12" s="78" t="e">
        <f t="shared" si="3"/>
        <v>#N/A</v>
      </c>
      <c r="R12" s="78" t="e">
        <f t="shared" si="3"/>
        <v>#N/A</v>
      </c>
      <c r="S12" s="78" t="e">
        <f t="shared" si="4"/>
        <v>#N/A</v>
      </c>
      <c r="T12" s="74" t="e">
        <f t="shared" si="5"/>
        <v>#N/A</v>
      </c>
      <c r="U12" s="74" t="e">
        <f t="shared" si="5"/>
        <v>#N/A</v>
      </c>
      <c r="V12" s="74" t="e">
        <f t="shared" si="5"/>
        <v>#N/A</v>
      </c>
      <c r="W12" s="74" t="e">
        <f t="shared" si="5"/>
        <v>#N/A</v>
      </c>
      <c r="X12" s="74" t="e">
        <f t="shared" si="5"/>
        <v>#N/A</v>
      </c>
      <c r="Y12" s="74" t="e">
        <f t="shared" si="5"/>
        <v>#N/A</v>
      </c>
    </row>
    <row r="13" spans="1:25">
      <c r="A13" s="88">
        <f>'Batch input'!A12</f>
        <v>0</v>
      </c>
      <c r="B13">
        <f>'Batch input'!B12</f>
        <v>0</v>
      </c>
      <c r="C13" t="e">
        <f>VLOOKUP($A13,Data!$D$3:$CJ$128,30,FALSE)</f>
        <v>#N/A</v>
      </c>
      <c r="D13" s="74" t="e">
        <f>VLOOKUP($A13,Data!$D$3:$CJ$128,64,FALSE)</f>
        <v>#N/A</v>
      </c>
      <c r="E13" s="74" t="e">
        <f>VLOOKUP($A13,Data!$D$3:$CJ$128,66,FALSE)</f>
        <v>#N/A</v>
      </c>
      <c r="F13" s="74" t="e">
        <f>VLOOKUP($A13,Data!$D$3:$CJ$128,67,FALSE)</f>
        <v>#N/A</v>
      </c>
      <c r="G13" s="78" t="e">
        <f>VLOOKUP($A13,Data!$D$3:$CJ$128,68,FALSE)</f>
        <v>#N/A</v>
      </c>
      <c r="H13" s="78" t="e">
        <f>VLOOKUP($A13,Data!$D$3:$CJ$128,69,FALSE)</f>
        <v>#N/A</v>
      </c>
      <c r="I13" s="74" t="e">
        <f>VLOOKUP($A13,Data!$D$3:$CJ$128,70,FALSE)</f>
        <v>#N/A</v>
      </c>
      <c r="J13" s="74" t="e">
        <f>VLOOKUP($A13,Data!$D$3:$CJ$128,71,FALSE)</f>
        <v>#N/A</v>
      </c>
      <c r="K13" s="74" t="e">
        <f>VLOOKUP($A13,Data!$D$3:$CJ$128,72,FALSE)</f>
        <v>#N/A</v>
      </c>
      <c r="L13" s="74" t="e">
        <f>VLOOKUP($A13,Data!$D$3:$CJ$128,73,FALSE)</f>
        <v>#N/A</v>
      </c>
      <c r="M13" s="74" t="e">
        <f>VLOOKUP($A13,Data!$D$3:$CJ$128,74,FALSE)</f>
        <v>#N/A</v>
      </c>
      <c r="N13" s="78" t="e">
        <f t="shared" si="0"/>
        <v>#N/A</v>
      </c>
      <c r="O13" s="78" t="e">
        <f t="shared" si="1"/>
        <v>#N/A</v>
      </c>
      <c r="P13" s="78" t="e">
        <f t="shared" si="2"/>
        <v>#N/A</v>
      </c>
      <c r="Q13" s="78" t="e">
        <f t="shared" si="3"/>
        <v>#N/A</v>
      </c>
      <c r="R13" s="78" t="e">
        <f t="shared" si="3"/>
        <v>#N/A</v>
      </c>
      <c r="S13" s="78" t="e">
        <f t="shared" si="4"/>
        <v>#N/A</v>
      </c>
      <c r="T13" s="74" t="e">
        <f t="shared" si="5"/>
        <v>#N/A</v>
      </c>
      <c r="U13" s="74" t="e">
        <f t="shared" si="5"/>
        <v>#N/A</v>
      </c>
      <c r="V13" s="74" t="e">
        <f t="shared" si="5"/>
        <v>#N/A</v>
      </c>
      <c r="W13" s="74" t="e">
        <f t="shared" si="5"/>
        <v>#N/A</v>
      </c>
      <c r="X13" s="74" t="e">
        <f t="shared" si="5"/>
        <v>#N/A</v>
      </c>
      <c r="Y13" s="74" t="e">
        <f t="shared" si="5"/>
        <v>#N/A</v>
      </c>
    </row>
    <row r="14" spans="1:25">
      <c r="A14" s="88">
        <f>'Batch input'!A13</f>
        <v>0</v>
      </c>
      <c r="B14">
        <f>'Batch input'!B13</f>
        <v>0</v>
      </c>
      <c r="C14" t="e">
        <f>VLOOKUP($A14,Data!$D$3:$CJ$128,30,FALSE)</f>
        <v>#N/A</v>
      </c>
      <c r="D14" s="74" t="e">
        <f>VLOOKUP($A14,Data!$D$3:$CJ$128,64,FALSE)</f>
        <v>#N/A</v>
      </c>
      <c r="E14" s="74" t="e">
        <f>VLOOKUP($A14,Data!$D$3:$CJ$128,66,FALSE)</f>
        <v>#N/A</v>
      </c>
      <c r="F14" s="74" t="e">
        <f>VLOOKUP($A14,Data!$D$3:$CJ$128,67,FALSE)</f>
        <v>#N/A</v>
      </c>
      <c r="G14" s="78" t="e">
        <f>VLOOKUP($A14,Data!$D$3:$CJ$128,68,FALSE)</f>
        <v>#N/A</v>
      </c>
      <c r="H14" s="78" t="e">
        <f>VLOOKUP($A14,Data!$D$3:$CJ$128,69,FALSE)</f>
        <v>#N/A</v>
      </c>
      <c r="I14" s="74" t="e">
        <f>VLOOKUP($A14,Data!$D$3:$CJ$128,70,FALSE)</f>
        <v>#N/A</v>
      </c>
      <c r="J14" s="74" t="e">
        <f>VLOOKUP($A14,Data!$D$3:$CJ$128,71,FALSE)</f>
        <v>#N/A</v>
      </c>
      <c r="K14" s="74" t="e">
        <f>VLOOKUP($A14,Data!$D$3:$CJ$128,72,FALSE)</f>
        <v>#N/A</v>
      </c>
      <c r="L14" s="74" t="e">
        <f>VLOOKUP($A14,Data!$D$3:$CJ$128,73,FALSE)</f>
        <v>#N/A</v>
      </c>
      <c r="M14" s="74" t="e">
        <f>VLOOKUP($A14,Data!$D$3:$CJ$128,74,FALSE)</f>
        <v>#N/A</v>
      </c>
      <c r="N14" s="78" t="e">
        <f t="shared" si="0"/>
        <v>#N/A</v>
      </c>
      <c r="O14" s="78" t="e">
        <f t="shared" si="1"/>
        <v>#N/A</v>
      </c>
      <c r="P14" s="78" t="e">
        <f t="shared" si="2"/>
        <v>#N/A</v>
      </c>
      <c r="Q14" s="78" t="e">
        <f t="shared" si="3"/>
        <v>#N/A</v>
      </c>
      <c r="R14" s="78" t="e">
        <f t="shared" si="3"/>
        <v>#N/A</v>
      </c>
      <c r="S14" s="78" t="e">
        <f t="shared" si="4"/>
        <v>#N/A</v>
      </c>
      <c r="T14" s="74" t="e">
        <f t="shared" si="5"/>
        <v>#N/A</v>
      </c>
      <c r="U14" s="74" t="e">
        <f t="shared" si="5"/>
        <v>#N/A</v>
      </c>
      <c r="V14" s="74" t="e">
        <f t="shared" si="5"/>
        <v>#N/A</v>
      </c>
      <c r="W14" s="74" t="e">
        <f t="shared" si="5"/>
        <v>#N/A</v>
      </c>
      <c r="X14" s="74" t="e">
        <f t="shared" si="5"/>
        <v>#N/A</v>
      </c>
      <c r="Y14" s="74" t="e">
        <f t="shared" si="5"/>
        <v>#N/A</v>
      </c>
    </row>
    <row r="15" spans="1:25">
      <c r="A15" s="88">
        <f>'Batch input'!A14</f>
        <v>0</v>
      </c>
      <c r="B15">
        <f>'Batch input'!B14</f>
        <v>0</v>
      </c>
      <c r="C15" t="e">
        <f>VLOOKUP($A15,Data!$D$3:$CJ$128,30,FALSE)</f>
        <v>#N/A</v>
      </c>
      <c r="D15" s="74" t="e">
        <f>VLOOKUP($A15,Data!$D$3:$CJ$128,64,FALSE)</f>
        <v>#N/A</v>
      </c>
      <c r="E15" s="74" t="e">
        <f>VLOOKUP($A15,Data!$D$3:$CJ$128,66,FALSE)</f>
        <v>#N/A</v>
      </c>
      <c r="F15" s="74" t="e">
        <f>VLOOKUP($A15,Data!$D$3:$CJ$128,67,FALSE)</f>
        <v>#N/A</v>
      </c>
      <c r="G15" s="78" t="e">
        <f>VLOOKUP($A15,Data!$D$3:$CJ$128,68,FALSE)</f>
        <v>#N/A</v>
      </c>
      <c r="H15" s="78" t="e">
        <f>VLOOKUP($A15,Data!$D$3:$CJ$128,69,FALSE)</f>
        <v>#N/A</v>
      </c>
      <c r="I15" s="74" t="e">
        <f>VLOOKUP($A15,Data!$D$3:$CJ$128,70,FALSE)</f>
        <v>#N/A</v>
      </c>
      <c r="J15" s="74" t="e">
        <f>VLOOKUP($A15,Data!$D$3:$CJ$128,71,FALSE)</f>
        <v>#N/A</v>
      </c>
      <c r="K15" s="74" t="e">
        <f>VLOOKUP($A15,Data!$D$3:$CJ$128,72,FALSE)</f>
        <v>#N/A</v>
      </c>
      <c r="L15" s="74" t="e">
        <f>VLOOKUP($A15,Data!$D$3:$CJ$128,73,FALSE)</f>
        <v>#N/A</v>
      </c>
      <c r="M15" s="74" t="e">
        <f>VLOOKUP($A15,Data!$D$3:$CJ$128,74,FALSE)</f>
        <v>#N/A</v>
      </c>
      <c r="N15" s="78" t="e">
        <f t="shared" si="0"/>
        <v>#N/A</v>
      </c>
      <c r="O15" s="78" t="e">
        <f t="shared" si="1"/>
        <v>#N/A</v>
      </c>
      <c r="P15" s="78" t="e">
        <f t="shared" si="2"/>
        <v>#N/A</v>
      </c>
      <c r="Q15" s="78" t="e">
        <f t="shared" si="3"/>
        <v>#N/A</v>
      </c>
      <c r="R15" s="78" t="e">
        <f t="shared" si="3"/>
        <v>#N/A</v>
      </c>
      <c r="S15" s="78" t="e">
        <f t="shared" si="4"/>
        <v>#N/A</v>
      </c>
      <c r="T15" s="74" t="e">
        <f t="shared" si="5"/>
        <v>#N/A</v>
      </c>
      <c r="U15" s="74" t="e">
        <f t="shared" si="5"/>
        <v>#N/A</v>
      </c>
      <c r="V15" s="74" t="e">
        <f t="shared" si="5"/>
        <v>#N/A</v>
      </c>
      <c r="W15" s="74" t="e">
        <f t="shared" si="5"/>
        <v>#N/A</v>
      </c>
      <c r="X15" s="74" t="e">
        <f t="shared" si="5"/>
        <v>#N/A</v>
      </c>
      <c r="Y15" s="74" t="e">
        <f t="shared" si="5"/>
        <v>#N/A</v>
      </c>
    </row>
    <row r="16" spans="1:25">
      <c r="A16" s="88">
        <f>'Batch input'!A15</f>
        <v>0</v>
      </c>
      <c r="B16">
        <f>'Batch input'!B15</f>
        <v>0</v>
      </c>
      <c r="C16" t="e">
        <f>VLOOKUP($A16,Data!$D$3:$CJ$128,30,FALSE)</f>
        <v>#N/A</v>
      </c>
      <c r="D16" s="74" t="e">
        <f>VLOOKUP($A16,Data!$D$3:$CJ$128,64,FALSE)</f>
        <v>#N/A</v>
      </c>
      <c r="E16" s="74" t="e">
        <f>VLOOKUP($A16,Data!$D$3:$CJ$128,66,FALSE)</f>
        <v>#N/A</v>
      </c>
      <c r="F16" s="74" t="e">
        <f>VLOOKUP($A16,Data!$D$3:$CJ$128,67,FALSE)</f>
        <v>#N/A</v>
      </c>
      <c r="G16" s="78" t="e">
        <f>VLOOKUP($A16,Data!$D$3:$CJ$128,68,FALSE)</f>
        <v>#N/A</v>
      </c>
      <c r="H16" s="78" t="e">
        <f>VLOOKUP($A16,Data!$D$3:$CJ$128,69,FALSE)</f>
        <v>#N/A</v>
      </c>
      <c r="I16" s="74" t="e">
        <f>VLOOKUP($A16,Data!$D$3:$CJ$128,70,FALSE)</f>
        <v>#N/A</v>
      </c>
      <c r="J16" s="74" t="e">
        <f>VLOOKUP($A16,Data!$D$3:$CJ$128,71,FALSE)</f>
        <v>#N/A</v>
      </c>
      <c r="K16" s="74" t="e">
        <f>VLOOKUP($A16,Data!$D$3:$CJ$128,72,FALSE)</f>
        <v>#N/A</v>
      </c>
      <c r="L16" s="74" t="e">
        <f>VLOOKUP($A16,Data!$D$3:$CJ$128,73,FALSE)</f>
        <v>#N/A</v>
      </c>
      <c r="M16" s="74" t="e">
        <f>VLOOKUP($A16,Data!$D$3:$CJ$128,74,FALSE)</f>
        <v>#N/A</v>
      </c>
      <c r="N16" s="78" t="e">
        <f t="shared" si="0"/>
        <v>#N/A</v>
      </c>
      <c r="O16" s="78" t="e">
        <f t="shared" si="1"/>
        <v>#N/A</v>
      </c>
      <c r="P16" s="78" t="e">
        <f t="shared" si="2"/>
        <v>#N/A</v>
      </c>
      <c r="Q16" s="78" t="e">
        <f t="shared" si="3"/>
        <v>#N/A</v>
      </c>
      <c r="R16" s="78" t="e">
        <f t="shared" si="3"/>
        <v>#N/A</v>
      </c>
      <c r="S16" s="78" t="e">
        <f t="shared" si="4"/>
        <v>#N/A</v>
      </c>
      <c r="T16" s="74" t="e">
        <f t="shared" si="5"/>
        <v>#N/A</v>
      </c>
      <c r="U16" s="74" t="e">
        <f t="shared" si="5"/>
        <v>#N/A</v>
      </c>
      <c r="V16" s="74" t="e">
        <f t="shared" si="5"/>
        <v>#N/A</v>
      </c>
      <c r="W16" s="74" t="e">
        <f t="shared" si="5"/>
        <v>#N/A</v>
      </c>
      <c r="X16" s="74" t="e">
        <f t="shared" si="5"/>
        <v>#N/A</v>
      </c>
      <c r="Y16" s="74" t="e">
        <f t="shared" si="5"/>
        <v>#N/A</v>
      </c>
    </row>
    <row r="17" spans="1:25">
      <c r="A17" s="88">
        <f>'Batch input'!A16</f>
        <v>0</v>
      </c>
      <c r="B17">
        <f>'Batch input'!B16</f>
        <v>0</v>
      </c>
      <c r="C17" t="e">
        <f>VLOOKUP($A17,Data!$D$3:$CJ$128,30,FALSE)</f>
        <v>#N/A</v>
      </c>
      <c r="D17" s="74" t="e">
        <f>VLOOKUP($A17,Data!$D$3:$CJ$128,64,FALSE)</f>
        <v>#N/A</v>
      </c>
      <c r="E17" s="74" t="e">
        <f>VLOOKUP($A17,Data!$D$3:$CJ$128,66,FALSE)</f>
        <v>#N/A</v>
      </c>
      <c r="F17" s="74" t="e">
        <f>VLOOKUP($A17,Data!$D$3:$CJ$128,67,FALSE)</f>
        <v>#N/A</v>
      </c>
      <c r="G17" s="78" t="e">
        <f>VLOOKUP($A17,Data!$D$3:$CJ$128,68,FALSE)</f>
        <v>#N/A</v>
      </c>
      <c r="H17" s="78" t="e">
        <f>VLOOKUP($A17,Data!$D$3:$CJ$128,69,FALSE)</f>
        <v>#N/A</v>
      </c>
      <c r="I17" s="74" t="e">
        <f>VLOOKUP($A17,Data!$D$3:$CJ$128,70,FALSE)</f>
        <v>#N/A</v>
      </c>
      <c r="J17" s="74" t="e">
        <f>VLOOKUP($A17,Data!$D$3:$CJ$128,71,FALSE)</f>
        <v>#N/A</v>
      </c>
      <c r="K17" s="74" t="e">
        <f>VLOOKUP($A17,Data!$D$3:$CJ$128,72,FALSE)</f>
        <v>#N/A</v>
      </c>
      <c r="L17" s="74" t="e">
        <f>VLOOKUP($A17,Data!$D$3:$CJ$128,73,FALSE)</f>
        <v>#N/A</v>
      </c>
      <c r="M17" s="74" t="e">
        <f>VLOOKUP($A17,Data!$D$3:$CJ$128,74,FALSE)</f>
        <v>#N/A</v>
      </c>
      <c r="N17" s="78" t="e">
        <f t="shared" si="0"/>
        <v>#N/A</v>
      </c>
      <c r="O17" s="78" t="e">
        <f t="shared" si="1"/>
        <v>#N/A</v>
      </c>
      <c r="P17" s="78" t="e">
        <f t="shared" si="2"/>
        <v>#N/A</v>
      </c>
      <c r="Q17" s="78" t="e">
        <f t="shared" si="3"/>
        <v>#N/A</v>
      </c>
      <c r="R17" s="78" t="e">
        <f t="shared" si="3"/>
        <v>#N/A</v>
      </c>
      <c r="S17" s="78" t="e">
        <f t="shared" si="4"/>
        <v>#N/A</v>
      </c>
      <c r="T17" s="74" t="e">
        <f t="shared" si="5"/>
        <v>#N/A</v>
      </c>
      <c r="U17" s="74" t="e">
        <f t="shared" si="5"/>
        <v>#N/A</v>
      </c>
      <c r="V17" s="74" t="e">
        <f t="shared" si="5"/>
        <v>#N/A</v>
      </c>
      <c r="W17" s="74" t="e">
        <f t="shared" si="5"/>
        <v>#N/A</v>
      </c>
      <c r="X17" s="74" t="e">
        <f t="shared" si="5"/>
        <v>#N/A</v>
      </c>
      <c r="Y17" s="74" t="e">
        <f t="shared" si="5"/>
        <v>#N/A</v>
      </c>
    </row>
    <row r="18" spans="1:25">
      <c r="A18" s="88">
        <f>'Batch input'!A17</f>
        <v>0</v>
      </c>
      <c r="B18">
        <f>'Batch input'!B17</f>
        <v>0</v>
      </c>
      <c r="C18" t="e">
        <f>VLOOKUP($A18,Data!$D$3:$CJ$128,30,FALSE)</f>
        <v>#N/A</v>
      </c>
      <c r="D18" s="74" t="e">
        <f>VLOOKUP($A18,Data!$D$3:$CJ$128,64,FALSE)</f>
        <v>#N/A</v>
      </c>
      <c r="E18" s="74" t="e">
        <f>VLOOKUP($A18,Data!$D$3:$CJ$128,66,FALSE)</f>
        <v>#N/A</v>
      </c>
      <c r="F18" s="74" t="e">
        <f>VLOOKUP($A18,Data!$D$3:$CJ$128,67,FALSE)</f>
        <v>#N/A</v>
      </c>
      <c r="G18" s="78" t="e">
        <f>VLOOKUP($A18,Data!$D$3:$CJ$128,68,FALSE)</f>
        <v>#N/A</v>
      </c>
      <c r="H18" s="78" t="e">
        <f>VLOOKUP($A18,Data!$D$3:$CJ$128,69,FALSE)</f>
        <v>#N/A</v>
      </c>
      <c r="I18" s="74" t="e">
        <f>VLOOKUP($A18,Data!$D$3:$CJ$128,70,FALSE)</f>
        <v>#N/A</v>
      </c>
      <c r="J18" s="74" t="e">
        <f>VLOOKUP($A18,Data!$D$3:$CJ$128,71,FALSE)</f>
        <v>#N/A</v>
      </c>
      <c r="K18" s="74" t="e">
        <f>VLOOKUP($A18,Data!$D$3:$CJ$128,72,FALSE)</f>
        <v>#N/A</v>
      </c>
      <c r="L18" s="74" t="e">
        <f>VLOOKUP($A18,Data!$D$3:$CJ$128,73,FALSE)</f>
        <v>#N/A</v>
      </c>
      <c r="M18" s="74" t="e">
        <f>VLOOKUP($A18,Data!$D$3:$CJ$128,74,FALSE)</f>
        <v>#N/A</v>
      </c>
      <c r="N18" s="78" t="e">
        <f t="shared" si="0"/>
        <v>#N/A</v>
      </c>
      <c r="O18" s="78" t="e">
        <f t="shared" si="1"/>
        <v>#N/A</v>
      </c>
      <c r="P18" s="78" t="e">
        <f t="shared" si="2"/>
        <v>#N/A</v>
      </c>
      <c r="Q18" s="78" t="e">
        <f t="shared" si="3"/>
        <v>#N/A</v>
      </c>
      <c r="R18" s="78" t="e">
        <f t="shared" si="3"/>
        <v>#N/A</v>
      </c>
      <c r="S18" s="78" t="e">
        <f t="shared" si="4"/>
        <v>#N/A</v>
      </c>
      <c r="T18" s="74" t="e">
        <f t="shared" si="5"/>
        <v>#N/A</v>
      </c>
      <c r="U18" s="74" t="e">
        <f t="shared" si="5"/>
        <v>#N/A</v>
      </c>
      <c r="V18" s="74" t="e">
        <f t="shared" si="5"/>
        <v>#N/A</v>
      </c>
      <c r="W18" s="74" t="e">
        <f t="shared" si="5"/>
        <v>#N/A</v>
      </c>
      <c r="X18" s="74" t="e">
        <f t="shared" si="5"/>
        <v>#N/A</v>
      </c>
      <c r="Y18" s="74" t="e">
        <f t="shared" si="5"/>
        <v>#N/A</v>
      </c>
    </row>
    <row r="19" spans="1:25">
      <c r="A19" s="88">
        <f>'Batch input'!A18</f>
        <v>0</v>
      </c>
      <c r="B19">
        <f>'Batch input'!B18</f>
        <v>0</v>
      </c>
      <c r="C19" t="e">
        <f>VLOOKUP($A19,Data!$D$3:$CJ$128,30,FALSE)</f>
        <v>#N/A</v>
      </c>
      <c r="D19" s="74" t="e">
        <f>VLOOKUP($A19,Data!$D$3:$CJ$128,64,FALSE)</f>
        <v>#N/A</v>
      </c>
      <c r="E19" s="74" t="e">
        <f>VLOOKUP($A19,Data!$D$3:$CJ$128,66,FALSE)</f>
        <v>#N/A</v>
      </c>
      <c r="F19" s="74" t="e">
        <f>VLOOKUP($A19,Data!$D$3:$CJ$128,67,FALSE)</f>
        <v>#N/A</v>
      </c>
      <c r="G19" s="78" t="e">
        <f>VLOOKUP($A19,Data!$D$3:$CJ$128,68,FALSE)</f>
        <v>#N/A</v>
      </c>
      <c r="H19" s="78" t="e">
        <f>VLOOKUP($A19,Data!$D$3:$CJ$128,69,FALSE)</f>
        <v>#N/A</v>
      </c>
      <c r="I19" s="74" t="e">
        <f>VLOOKUP($A19,Data!$D$3:$CJ$128,70,FALSE)</f>
        <v>#N/A</v>
      </c>
      <c r="J19" s="74" t="e">
        <f>VLOOKUP($A19,Data!$D$3:$CJ$128,71,FALSE)</f>
        <v>#N/A</v>
      </c>
      <c r="K19" s="74" t="e">
        <f>VLOOKUP($A19,Data!$D$3:$CJ$128,72,FALSE)</f>
        <v>#N/A</v>
      </c>
      <c r="L19" s="74" t="e">
        <f>VLOOKUP($A19,Data!$D$3:$CJ$128,73,FALSE)</f>
        <v>#N/A</v>
      </c>
      <c r="M19" s="74" t="e">
        <f>VLOOKUP($A19,Data!$D$3:$CJ$128,74,FALSE)</f>
        <v>#N/A</v>
      </c>
      <c r="N19" s="78" t="e">
        <f t="shared" si="0"/>
        <v>#N/A</v>
      </c>
      <c r="O19" s="78" t="e">
        <f t="shared" si="1"/>
        <v>#N/A</v>
      </c>
      <c r="P19" s="78" t="e">
        <f t="shared" si="2"/>
        <v>#N/A</v>
      </c>
      <c r="Q19" s="78" t="e">
        <f t="shared" si="3"/>
        <v>#N/A</v>
      </c>
      <c r="R19" s="78" t="e">
        <f t="shared" si="3"/>
        <v>#N/A</v>
      </c>
      <c r="S19" s="78" t="e">
        <f t="shared" si="4"/>
        <v>#N/A</v>
      </c>
      <c r="T19" s="74" t="e">
        <f t="shared" ref="T19:Y40" si="6">$B19*N19</f>
        <v>#N/A</v>
      </c>
      <c r="U19" s="74" t="e">
        <f t="shared" si="6"/>
        <v>#N/A</v>
      </c>
      <c r="V19" s="74" t="e">
        <f t="shared" si="6"/>
        <v>#N/A</v>
      </c>
      <c r="W19" s="74" t="e">
        <f t="shared" si="6"/>
        <v>#N/A</v>
      </c>
      <c r="X19" s="74" t="e">
        <f t="shared" si="6"/>
        <v>#N/A</v>
      </c>
      <c r="Y19" s="74" t="e">
        <f t="shared" si="6"/>
        <v>#N/A</v>
      </c>
    </row>
    <row r="20" spans="1:25">
      <c r="A20" s="88">
        <f>'Batch input'!A19</f>
        <v>0</v>
      </c>
      <c r="B20">
        <f>'Batch input'!B19</f>
        <v>0</v>
      </c>
      <c r="C20" t="e">
        <f>VLOOKUP($A20,Data!$D$3:$CJ$128,30,FALSE)</f>
        <v>#N/A</v>
      </c>
      <c r="D20" s="74" t="e">
        <f>VLOOKUP($A20,Data!$D$3:$CJ$128,64,FALSE)</f>
        <v>#N/A</v>
      </c>
      <c r="E20" s="74" t="e">
        <f>VLOOKUP($A20,Data!$D$3:$CJ$128,66,FALSE)</f>
        <v>#N/A</v>
      </c>
      <c r="F20" s="74" t="e">
        <f>VLOOKUP($A20,Data!$D$3:$CJ$128,67,FALSE)</f>
        <v>#N/A</v>
      </c>
      <c r="G20" s="78" t="e">
        <f>VLOOKUP($A20,Data!$D$3:$CJ$128,68,FALSE)</f>
        <v>#N/A</v>
      </c>
      <c r="H20" s="78" t="e">
        <f>VLOOKUP($A20,Data!$D$3:$CJ$128,69,FALSE)</f>
        <v>#N/A</v>
      </c>
      <c r="I20" s="74" t="e">
        <f>VLOOKUP($A20,Data!$D$3:$CJ$128,70,FALSE)</f>
        <v>#N/A</v>
      </c>
      <c r="J20" s="74" t="e">
        <f>VLOOKUP($A20,Data!$D$3:$CJ$128,71,FALSE)</f>
        <v>#N/A</v>
      </c>
      <c r="K20" s="74" t="e">
        <f>VLOOKUP($A20,Data!$D$3:$CJ$128,72,FALSE)</f>
        <v>#N/A</v>
      </c>
      <c r="L20" s="74" t="e">
        <f>VLOOKUP($A20,Data!$D$3:$CJ$128,73,FALSE)</f>
        <v>#N/A</v>
      </c>
      <c r="M20" s="74" t="e">
        <f>VLOOKUP($A20,Data!$D$3:$CJ$128,74,FALSE)</f>
        <v>#N/A</v>
      </c>
      <c r="N20" s="78" t="e">
        <f t="shared" si="0"/>
        <v>#N/A</v>
      </c>
      <c r="O20" s="78" t="e">
        <f t="shared" si="1"/>
        <v>#N/A</v>
      </c>
      <c r="P20" s="78" t="e">
        <f t="shared" si="2"/>
        <v>#N/A</v>
      </c>
      <c r="Q20" s="78" t="e">
        <f t="shared" si="3"/>
        <v>#N/A</v>
      </c>
      <c r="R20" s="78" t="e">
        <f t="shared" si="3"/>
        <v>#N/A</v>
      </c>
      <c r="S20" s="78" t="e">
        <f t="shared" si="4"/>
        <v>#N/A</v>
      </c>
      <c r="T20" s="74" t="e">
        <f t="shared" si="6"/>
        <v>#N/A</v>
      </c>
      <c r="U20" s="74" t="e">
        <f t="shared" si="6"/>
        <v>#N/A</v>
      </c>
      <c r="V20" s="74" t="e">
        <f t="shared" si="6"/>
        <v>#N/A</v>
      </c>
      <c r="W20" s="74" t="e">
        <f t="shared" si="6"/>
        <v>#N/A</v>
      </c>
      <c r="X20" s="74" t="e">
        <f t="shared" si="6"/>
        <v>#N/A</v>
      </c>
      <c r="Y20" s="74" t="e">
        <f t="shared" si="6"/>
        <v>#N/A</v>
      </c>
    </row>
    <row r="21" spans="1:25">
      <c r="A21" s="88">
        <f>'Batch input'!A20</f>
        <v>0</v>
      </c>
      <c r="B21">
        <f>'Batch input'!B20</f>
        <v>0</v>
      </c>
      <c r="C21" t="e">
        <f>VLOOKUP($A21,Data!$D$3:$CJ$128,30,FALSE)</f>
        <v>#N/A</v>
      </c>
      <c r="D21" s="74" t="e">
        <f>VLOOKUP($A21,Data!$D$3:$CJ$128,64,FALSE)</f>
        <v>#N/A</v>
      </c>
      <c r="E21" s="74" t="e">
        <f>VLOOKUP($A21,Data!$D$3:$CJ$128,66,FALSE)</f>
        <v>#N/A</v>
      </c>
      <c r="F21" s="74" t="e">
        <f>VLOOKUP($A21,Data!$D$3:$CJ$128,67,FALSE)</f>
        <v>#N/A</v>
      </c>
      <c r="G21" s="78" t="e">
        <f>VLOOKUP($A21,Data!$D$3:$CJ$128,68,FALSE)</f>
        <v>#N/A</v>
      </c>
      <c r="H21" s="78" t="e">
        <f>VLOOKUP($A21,Data!$D$3:$CJ$128,69,FALSE)</f>
        <v>#N/A</v>
      </c>
      <c r="I21" s="74" t="e">
        <f>VLOOKUP($A21,Data!$D$3:$CJ$128,70,FALSE)</f>
        <v>#N/A</v>
      </c>
      <c r="J21" s="74" t="e">
        <f>VLOOKUP($A21,Data!$D$3:$CJ$128,71,FALSE)</f>
        <v>#N/A</v>
      </c>
      <c r="K21" s="74" t="e">
        <f>VLOOKUP($A21,Data!$D$3:$CJ$128,72,FALSE)</f>
        <v>#N/A</v>
      </c>
      <c r="L21" s="74" t="e">
        <f>VLOOKUP($A21,Data!$D$3:$CJ$128,73,FALSE)</f>
        <v>#N/A</v>
      </c>
      <c r="M21" s="74" t="e">
        <f>VLOOKUP($A21,Data!$D$3:$CJ$128,74,FALSE)</f>
        <v>#N/A</v>
      </c>
      <c r="N21" s="78" t="e">
        <f t="shared" si="0"/>
        <v>#N/A</v>
      </c>
      <c r="O21" s="78" t="e">
        <f t="shared" si="1"/>
        <v>#N/A</v>
      </c>
      <c r="P21" s="78" t="e">
        <f t="shared" si="2"/>
        <v>#N/A</v>
      </c>
      <c r="Q21" s="78" t="e">
        <f t="shared" si="3"/>
        <v>#N/A</v>
      </c>
      <c r="R21" s="78" t="e">
        <f t="shared" si="3"/>
        <v>#N/A</v>
      </c>
      <c r="S21" s="78" t="e">
        <f t="shared" si="4"/>
        <v>#N/A</v>
      </c>
      <c r="T21" s="74" t="e">
        <f t="shared" si="6"/>
        <v>#N/A</v>
      </c>
      <c r="U21" s="74" t="e">
        <f t="shared" si="6"/>
        <v>#N/A</v>
      </c>
      <c r="V21" s="74" t="e">
        <f t="shared" si="6"/>
        <v>#N/A</v>
      </c>
      <c r="W21" s="74" t="e">
        <f t="shared" si="6"/>
        <v>#N/A</v>
      </c>
      <c r="X21" s="74" t="e">
        <f t="shared" si="6"/>
        <v>#N/A</v>
      </c>
      <c r="Y21" s="74" t="e">
        <f t="shared" si="6"/>
        <v>#N/A</v>
      </c>
    </row>
    <row r="22" spans="1:25">
      <c r="A22" s="88">
        <f>'Batch input'!A21</f>
        <v>0</v>
      </c>
      <c r="B22">
        <f>'Batch input'!B21</f>
        <v>0</v>
      </c>
      <c r="C22" t="e">
        <f>VLOOKUP($A22,Data!$D$3:$CJ$128,30,FALSE)</f>
        <v>#N/A</v>
      </c>
      <c r="D22" s="74" t="e">
        <f>VLOOKUP($A22,Data!$D$3:$CJ$128,64,FALSE)</f>
        <v>#N/A</v>
      </c>
      <c r="E22" s="74" t="e">
        <f>VLOOKUP($A22,Data!$D$3:$CJ$128,66,FALSE)</f>
        <v>#N/A</v>
      </c>
      <c r="F22" s="74" t="e">
        <f>VLOOKUP($A22,Data!$D$3:$CJ$128,67,FALSE)</f>
        <v>#N/A</v>
      </c>
      <c r="G22" s="78" t="e">
        <f>VLOOKUP($A22,Data!$D$3:$CJ$128,68,FALSE)</f>
        <v>#N/A</v>
      </c>
      <c r="H22" s="78" t="e">
        <f>VLOOKUP($A22,Data!$D$3:$CJ$128,69,FALSE)</f>
        <v>#N/A</v>
      </c>
      <c r="I22" s="74" t="e">
        <f>VLOOKUP($A22,Data!$D$3:$CJ$128,70,FALSE)</f>
        <v>#N/A</v>
      </c>
      <c r="J22" s="74" t="e">
        <f>VLOOKUP($A22,Data!$D$3:$CJ$128,71,FALSE)</f>
        <v>#N/A</v>
      </c>
      <c r="K22" s="74" t="e">
        <f>VLOOKUP($A22,Data!$D$3:$CJ$128,72,FALSE)</f>
        <v>#N/A</v>
      </c>
      <c r="L22" s="74" t="e">
        <f>VLOOKUP($A22,Data!$D$3:$CJ$128,73,FALSE)</f>
        <v>#N/A</v>
      </c>
      <c r="M22" s="74" t="e">
        <f>VLOOKUP($A22,Data!$D$3:$CJ$128,74,FALSE)</f>
        <v>#N/A</v>
      </c>
      <c r="N22" s="78" t="e">
        <f t="shared" si="0"/>
        <v>#N/A</v>
      </c>
      <c r="O22" s="78" t="e">
        <f t="shared" si="1"/>
        <v>#N/A</v>
      </c>
      <c r="P22" s="78" t="e">
        <f t="shared" si="2"/>
        <v>#N/A</v>
      </c>
      <c r="Q22" s="78" t="e">
        <f t="shared" si="3"/>
        <v>#N/A</v>
      </c>
      <c r="R22" s="78" t="e">
        <f t="shared" si="3"/>
        <v>#N/A</v>
      </c>
      <c r="S22" s="78" t="e">
        <f t="shared" si="4"/>
        <v>#N/A</v>
      </c>
      <c r="T22" s="74" t="e">
        <f t="shared" si="6"/>
        <v>#N/A</v>
      </c>
      <c r="U22" s="74" t="e">
        <f t="shared" si="6"/>
        <v>#N/A</v>
      </c>
      <c r="V22" s="74" t="e">
        <f t="shared" si="6"/>
        <v>#N/A</v>
      </c>
      <c r="W22" s="74" t="e">
        <f t="shared" si="6"/>
        <v>#N/A</v>
      </c>
      <c r="X22" s="74" t="e">
        <f t="shared" si="6"/>
        <v>#N/A</v>
      </c>
      <c r="Y22" s="74" t="e">
        <f t="shared" si="6"/>
        <v>#N/A</v>
      </c>
    </row>
    <row r="23" spans="1:25">
      <c r="A23" s="88">
        <f>'Batch input'!A22</f>
        <v>0</v>
      </c>
      <c r="B23">
        <f>'Batch input'!B22</f>
        <v>0</v>
      </c>
      <c r="C23" t="e">
        <f>VLOOKUP($A23,Data!$D$3:$CJ$128,30,FALSE)</f>
        <v>#N/A</v>
      </c>
      <c r="D23" s="74" t="e">
        <f>VLOOKUP($A23,Data!$D$3:$CJ$128,64,FALSE)</f>
        <v>#N/A</v>
      </c>
      <c r="E23" s="74" t="e">
        <f>VLOOKUP($A23,Data!$D$3:$CJ$128,66,FALSE)</f>
        <v>#N/A</v>
      </c>
      <c r="F23" s="74" t="e">
        <f>VLOOKUP($A23,Data!$D$3:$CJ$128,67,FALSE)</f>
        <v>#N/A</v>
      </c>
      <c r="G23" s="78" t="e">
        <f>VLOOKUP($A23,Data!$D$3:$CJ$128,68,FALSE)</f>
        <v>#N/A</v>
      </c>
      <c r="H23" s="78" t="e">
        <f>VLOOKUP($A23,Data!$D$3:$CJ$128,69,FALSE)</f>
        <v>#N/A</v>
      </c>
      <c r="I23" s="74" t="e">
        <f>VLOOKUP($A23,Data!$D$3:$CJ$128,70,FALSE)</f>
        <v>#N/A</v>
      </c>
      <c r="J23" s="74" t="e">
        <f>VLOOKUP($A23,Data!$D$3:$CJ$128,71,FALSE)</f>
        <v>#N/A</v>
      </c>
      <c r="K23" s="74" t="e">
        <f>VLOOKUP($A23,Data!$D$3:$CJ$128,72,FALSE)</f>
        <v>#N/A</v>
      </c>
      <c r="L23" s="74" t="e">
        <f>VLOOKUP($A23,Data!$D$3:$CJ$128,73,FALSE)</f>
        <v>#N/A</v>
      </c>
      <c r="M23" s="74" t="e">
        <f>VLOOKUP($A23,Data!$D$3:$CJ$128,74,FALSE)</f>
        <v>#N/A</v>
      </c>
      <c r="N23" s="78" t="e">
        <f t="shared" si="0"/>
        <v>#N/A</v>
      </c>
      <c r="O23" s="78" t="e">
        <f t="shared" si="1"/>
        <v>#N/A</v>
      </c>
      <c r="P23" s="78" t="e">
        <f t="shared" si="2"/>
        <v>#N/A</v>
      </c>
      <c r="Q23" s="78" t="e">
        <f t="shared" si="3"/>
        <v>#N/A</v>
      </c>
      <c r="R23" s="78" t="e">
        <f t="shared" si="3"/>
        <v>#N/A</v>
      </c>
      <c r="S23" s="78" t="e">
        <f t="shared" si="4"/>
        <v>#N/A</v>
      </c>
      <c r="T23" s="74" t="e">
        <f t="shared" si="6"/>
        <v>#N/A</v>
      </c>
      <c r="U23" s="74" t="e">
        <f t="shared" si="6"/>
        <v>#N/A</v>
      </c>
      <c r="V23" s="74" t="e">
        <f t="shared" si="6"/>
        <v>#N/A</v>
      </c>
      <c r="W23" s="74" t="e">
        <f t="shared" si="6"/>
        <v>#N/A</v>
      </c>
      <c r="X23" s="74" t="e">
        <f t="shared" si="6"/>
        <v>#N/A</v>
      </c>
      <c r="Y23" s="74" t="e">
        <f t="shared" si="6"/>
        <v>#N/A</v>
      </c>
    </row>
    <row r="24" spans="1:25">
      <c r="A24" s="88">
        <f>'Batch input'!A23</f>
        <v>0</v>
      </c>
      <c r="B24">
        <f>'Batch input'!B23</f>
        <v>0</v>
      </c>
      <c r="C24" t="e">
        <f>VLOOKUP($A24,Data!$D$3:$CJ$128,30,FALSE)</f>
        <v>#N/A</v>
      </c>
      <c r="D24" s="74" t="e">
        <f>VLOOKUP($A24,Data!$D$3:$CJ$128,64,FALSE)</f>
        <v>#N/A</v>
      </c>
      <c r="E24" s="74" t="e">
        <f>VLOOKUP($A24,Data!$D$3:$CJ$128,66,FALSE)</f>
        <v>#N/A</v>
      </c>
      <c r="F24" s="74" t="e">
        <f>VLOOKUP($A24,Data!$D$3:$CJ$128,67,FALSE)</f>
        <v>#N/A</v>
      </c>
      <c r="G24" s="78" t="e">
        <f>VLOOKUP($A24,Data!$D$3:$CJ$128,68,FALSE)</f>
        <v>#N/A</v>
      </c>
      <c r="H24" s="78" t="e">
        <f>VLOOKUP($A24,Data!$D$3:$CJ$128,69,FALSE)</f>
        <v>#N/A</v>
      </c>
      <c r="I24" s="74" t="e">
        <f>VLOOKUP($A24,Data!$D$3:$CJ$128,70,FALSE)</f>
        <v>#N/A</v>
      </c>
      <c r="J24" s="74" t="e">
        <f>VLOOKUP($A24,Data!$D$3:$CJ$128,71,FALSE)</f>
        <v>#N/A</v>
      </c>
      <c r="K24" s="74" t="e">
        <f>VLOOKUP($A24,Data!$D$3:$CJ$128,72,FALSE)</f>
        <v>#N/A</v>
      </c>
      <c r="L24" s="74" t="e">
        <f>VLOOKUP($A24,Data!$D$3:$CJ$128,73,FALSE)</f>
        <v>#N/A</v>
      </c>
      <c r="M24" s="74" t="e">
        <f>VLOOKUP($A24,Data!$D$3:$CJ$128,74,FALSE)</f>
        <v>#N/A</v>
      </c>
      <c r="N24" s="78" t="e">
        <f t="shared" si="0"/>
        <v>#N/A</v>
      </c>
      <c r="O24" s="78" t="e">
        <f t="shared" si="1"/>
        <v>#N/A</v>
      </c>
      <c r="P24" s="78" t="e">
        <f t="shared" si="2"/>
        <v>#N/A</v>
      </c>
      <c r="Q24" s="78" t="e">
        <f t="shared" si="3"/>
        <v>#N/A</v>
      </c>
      <c r="R24" s="78" t="e">
        <f t="shared" si="3"/>
        <v>#N/A</v>
      </c>
      <c r="S24" s="78" t="e">
        <f t="shared" si="4"/>
        <v>#N/A</v>
      </c>
      <c r="T24" s="74" t="e">
        <f t="shared" si="6"/>
        <v>#N/A</v>
      </c>
      <c r="U24" s="74" t="e">
        <f t="shared" si="6"/>
        <v>#N/A</v>
      </c>
      <c r="V24" s="74" t="e">
        <f t="shared" si="6"/>
        <v>#N/A</v>
      </c>
      <c r="W24" s="74" t="e">
        <f t="shared" si="6"/>
        <v>#N/A</v>
      </c>
      <c r="X24" s="74" t="e">
        <f t="shared" si="6"/>
        <v>#N/A</v>
      </c>
      <c r="Y24" s="74" t="e">
        <f t="shared" si="6"/>
        <v>#N/A</v>
      </c>
    </row>
    <row r="25" spans="1:25">
      <c r="A25" s="88">
        <f>'Batch input'!A24</f>
        <v>0</v>
      </c>
      <c r="B25">
        <f>'Batch input'!B24</f>
        <v>0</v>
      </c>
      <c r="C25" t="e">
        <f>VLOOKUP($A25,Data!$D$3:$CJ$128,30,FALSE)</f>
        <v>#N/A</v>
      </c>
      <c r="D25" s="74" t="e">
        <f>VLOOKUP($A25,Data!$D$3:$CJ$128,64,FALSE)</f>
        <v>#N/A</v>
      </c>
      <c r="E25" s="74" t="e">
        <f>VLOOKUP($A25,Data!$D$3:$CJ$128,66,FALSE)</f>
        <v>#N/A</v>
      </c>
      <c r="F25" s="74" t="e">
        <f>VLOOKUP($A25,Data!$D$3:$CJ$128,67,FALSE)</f>
        <v>#N/A</v>
      </c>
      <c r="G25" s="78" t="e">
        <f>VLOOKUP($A25,Data!$D$3:$CJ$128,68,FALSE)</f>
        <v>#N/A</v>
      </c>
      <c r="H25" s="78" t="e">
        <f>VLOOKUP($A25,Data!$D$3:$CJ$128,69,FALSE)</f>
        <v>#N/A</v>
      </c>
      <c r="I25" s="74" t="e">
        <f>VLOOKUP($A25,Data!$D$3:$CJ$128,70,FALSE)</f>
        <v>#N/A</v>
      </c>
      <c r="J25" s="74" t="e">
        <f>VLOOKUP($A25,Data!$D$3:$CJ$128,71,FALSE)</f>
        <v>#N/A</v>
      </c>
      <c r="K25" s="74" t="e">
        <f>VLOOKUP($A25,Data!$D$3:$CJ$128,72,FALSE)</f>
        <v>#N/A</v>
      </c>
      <c r="L25" s="74" t="e">
        <f>VLOOKUP($A25,Data!$D$3:$CJ$128,73,FALSE)</f>
        <v>#N/A</v>
      </c>
      <c r="M25" s="74" t="e">
        <f>VLOOKUP($A25,Data!$D$3:$CJ$128,74,FALSE)</f>
        <v>#N/A</v>
      </c>
      <c r="N25" s="78" t="e">
        <f t="shared" si="0"/>
        <v>#N/A</v>
      </c>
      <c r="O25" s="78" t="e">
        <f t="shared" si="1"/>
        <v>#N/A</v>
      </c>
      <c r="P25" s="78" t="e">
        <f t="shared" si="2"/>
        <v>#N/A</v>
      </c>
      <c r="Q25" s="78" t="e">
        <f t="shared" si="3"/>
        <v>#N/A</v>
      </c>
      <c r="R25" s="78" t="e">
        <f t="shared" si="3"/>
        <v>#N/A</v>
      </c>
      <c r="S25" s="78" t="e">
        <f t="shared" si="4"/>
        <v>#N/A</v>
      </c>
      <c r="T25" s="74" t="e">
        <f t="shared" si="6"/>
        <v>#N/A</v>
      </c>
      <c r="U25" s="74" t="e">
        <f t="shared" si="6"/>
        <v>#N/A</v>
      </c>
      <c r="V25" s="74" t="e">
        <f t="shared" si="6"/>
        <v>#N/A</v>
      </c>
      <c r="W25" s="74" t="e">
        <f t="shared" si="6"/>
        <v>#N/A</v>
      </c>
      <c r="X25" s="74" t="e">
        <f t="shared" si="6"/>
        <v>#N/A</v>
      </c>
      <c r="Y25" s="74" t="e">
        <f t="shared" si="6"/>
        <v>#N/A</v>
      </c>
    </row>
    <row r="26" spans="1:25">
      <c r="A26" s="88">
        <f>'Batch input'!A25</f>
        <v>0</v>
      </c>
      <c r="B26">
        <f>'Batch input'!B25</f>
        <v>0</v>
      </c>
      <c r="C26" t="e">
        <f>VLOOKUP($A26,Data!$D$3:$CJ$128,30,FALSE)</f>
        <v>#N/A</v>
      </c>
      <c r="D26" s="74" t="e">
        <f>VLOOKUP($A26,Data!$D$3:$CJ$128,64,FALSE)</f>
        <v>#N/A</v>
      </c>
      <c r="E26" s="74" t="e">
        <f>VLOOKUP($A26,Data!$D$3:$CJ$128,66,FALSE)</f>
        <v>#N/A</v>
      </c>
      <c r="F26" s="74" t="e">
        <f>VLOOKUP($A26,Data!$D$3:$CJ$128,67,FALSE)</f>
        <v>#N/A</v>
      </c>
      <c r="G26" s="78" t="e">
        <f>VLOOKUP($A26,Data!$D$3:$CJ$128,68,FALSE)</f>
        <v>#N/A</v>
      </c>
      <c r="H26" s="78" t="e">
        <f>VLOOKUP($A26,Data!$D$3:$CJ$128,69,FALSE)</f>
        <v>#N/A</v>
      </c>
      <c r="I26" s="74" t="e">
        <f>VLOOKUP($A26,Data!$D$3:$CJ$128,70,FALSE)</f>
        <v>#N/A</v>
      </c>
      <c r="J26" s="74" t="e">
        <f>VLOOKUP($A26,Data!$D$3:$CJ$128,71,FALSE)</f>
        <v>#N/A</v>
      </c>
      <c r="K26" s="74" t="e">
        <f>VLOOKUP($A26,Data!$D$3:$CJ$128,72,FALSE)</f>
        <v>#N/A</v>
      </c>
      <c r="L26" s="74" t="e">
        <f>VLOOKUP($A26,Data!$D$3:$CJ$128,73,FALSE)</f>
        <v>#N/A</v>
      </c>
      <c r="M26" s="74" t="e">
        <f>VLOOKUP($A26,Data!$D$3:$CJ$128,74,FALSE)</f>
        <v>#N/A</v>
      </c>
      <c r="N26" s="78" t="e">
        <f t="shared" si="0"/>
        <v>#N/A</v>
      </c>
      <c r="O26" s="78" t="e">
        <f t="shared" si="1"/>
        <v>#N/A</v>
      </c>
      <c r="P26" s="78" t="e">
        <f t="shared" si="2"/>
        <v>#N/A</v>
      </c>
      <c r="Q26" s="78" t="e">
        <f t="shared" si="3"/>
        <v>#N/A</v>
      </c>
      <c r="R26" s="78" t="e">
        <f t="shared" si="3"/>
        <v>#N/A</v>
      </c>
      <c r="S26" s="78" t="e">
        <f t="shared" si="4"/>
        <v>#N/A</v>
      </c>
      <c r="T26" s="74" t="e">
        <f t="shared" si="6"/>
        <v>#N/A</v>
      </c>
      <c r="U26" s="74" t="e">
        <f t="shared" si="6"/>
        <v>#N/A</v>
      </c>
      <c r="V26" s="74" t="e">
        <f t="shared" si="6"/>
        <v>#N/A</v>
      </c>
      <c r="W26" s="74" t="e">
        <f t="shared" si="6"/>
        <v>#N/A</v>
      </c>
      <c r="X26" s="74" t="e">
        <f t="shared" si="6"/>
        <v>#N/A</v>
      </c>
      <c r="Y26" s="74" t="e">
        <f t="shared" si="6"/>
        <v>#N/A</v>
      </c>
    </row>
    <row r="27" spans="1:25">
      <c r="A27" s="88">
        <f>'Batch input'!A26</f>
        <v>0</v>
      </c>
      <c r="B27">
        <f>'Batch input'!B26</f>
        <v>0</v>
      </c>
      <c r="C27" t="e">
        <f>VLOOKUP($A27,Data!$D$3:$CJ$128,30,FALSE)</f>
        <v>#N/A</v>
      </c>
      <c r="D27" s="74" t="e">
        <f>VLOOKUP($A27,Data!$D$3:$CJ$128,64,FALSE)</f>
        <v>#N/A</v>
      </c>
      <c r="E27" s="74" t="e">
        <f>VLOOKUP($A27,Data!$D$3:$CJ$128,66,FALSE)</f>
        <v>#N/A</v>
      </c>
      <c r="F27" s="74" t="e">
        <f>VLOOKUP($A27,Data!$D$3:$CJ$128,67,FALSE)</f>
        <v>#N/A</v>
      </c>
      <c r="G27" s="78" t="e">
        <f>VLOOKUP($A27,Data!$D$3:$CJ$128,68,FALSE)</f>
        <v>#N/A</v>
      </c>
      <c r="H27" s="78" t="e">
        <f>VLOOKUP($A27,Data!$D$3:$CJ$128,69,FALSE)</f>
        <v>#N/A</v>
      </c>
      <c r="I27" s="74" t="e">
        <f>VLOOKUP($A27,Data!$D$3:$CJ$128,70,FALSE)</f>
        <v>#N/A</v>
      </c>
      <c r="J27" s="74" t="e">
        <f>VLOOKUP($A27,Data!$D$3:$CJ$128,71,FALSE)</f>
        <v>#N/A</v>
      </c>
      <c r="K27" s="74" t="e">
        <f>VLOOKUP($A27,Data!$D$3:$CJ$128,72,FALSE)</f>
        <v>#N/A</v>
      </c>
      <c r="L27" s="74" t="e">
        <f>VLOOKUP($A27,Data!$D$3:$CJ$128,73,FALSE)</f>
        <v>#N/A</v>
      </c>
      <c r="M27" s="74" t="e">
        <f>VLOOKUP($A27,Data!$D$3:$CJ$128,74,FALSE)</f>
        <v>#N/A</v>
      </c>
      <c r="N27" s="78" t="e">
        <f t="shared" si="0"/>
        <v>#N/A</v>
      </c>
      <c r="O27" s="78" t="e">
        <f t="shared" si="1"/>
        <v>#N/A</v>
      </c>
      <c r="P27" s="78" t="e">
        <f t="shared" si="2"/>
        <v>#N/A</v>
      </c>
      <c r="Q27" s="78" t="e">
        <f t="shared" si="3"/>
        <v>#N/A</v>
      </c>
      <c r="R27" s="78" t="e">
        <f t="shared" si="3"/>
        <v>#N/A</v>
      </c>
      <c r="S27" s="78" t="e">
        <f t="shared" si="4"/>
        <v>#N/A</v>
      </c>
      <c r="T27" s="74" t="e">
        <f t="shared" si="6"/>
        <v>#N/A</v>
      </c>
      <c r="U27" s="74" t="e">
        <f t="shared" si="6"/>
        <v>#N/A</v>
      </c>
      <c r="V27" s="74" t="e">
        <f t="shared" si="6"/>
        <v>#N/A</v>
      </c>
      <c r="W27" s="74" t="e">
        <f t="shared" si="6"/>
        <v>#N/A</v>
      </c>
      <c r="X27" s="74" t="e">
        <f t="shared" si="6"/>
        <v>#N/A</v>
      </c>
      <c r="Y27" s="74" t="e">
        <f t="shared" si="6"/>
        <v>#N/A</v>
      </c>
    </row>
    <row r="28" spans="1:25">
      <c r="A28" s="88">
        <f>'Batch input'!A27</f>
        <v>0</v>
      </c>
      <c r="B28">
        <f>'Batch input'!B27</f>
        <v>0</v>
      </c>
      <c r="C28" t="e">
        <f>VLOOKUP($A28,Data!$D$3:$CJ$128,30,FALSE)</f>
        <v>#N/A</v>
      </c>
      <c r="D28" s="74" t="e">
        <f>VLOOKUP($A28,Data!$D$3:$CJ$128,64,FALSE)</f>
        <v>#N/A</v>
      </c>
      <c r="E28" s="74" t="e">
        <f>VLOOKUP($A28,Data!$D$3:$CJ$128,66,FALSE)</f>
        <v>#N/A</v>
      </c>
      <c r="F28" s="74" t="e">
        <f>VLOOKUP($A28,Data!$D$3:$CJ$128,67,FALSE)</f>
        <v>#N/A</v>
      </c>
      <c r="G28" s="78" t="e">
        <f>VLOOKUP($A28,Data!$D$3:$CJ$128,68,FALSE)</f>
        <v>#N/A</v>
      </c>
      <c r="H28" s="78" t="e">
        <f>VLOOKUP($A28,Data!$D$3:$CJ$128,69,FALSE)</f>
        <v>#N/A</v>
      </c>
      <c r="I28" s="74" t="e">
        <f>VLOOKUP($A28,Data!$D$3:$CJ$128,70,FALSE)</f>
        <v>#N/A</v>
      </c>
      <c r="J28" s="74" t="e">
        <f>VLOOKUP($A28,Data!$D$3:$CJ$128,71,FALSE)</f>
        <v>#N/A</v>
      </c>
      <c r="K28" s="74" t="e">
        <f>VLOOKUP($A28,Data!$D$3:$CJ$128,72,FALSE)</f>
        <v>#N/A</v>
      </c>
      <c r="L28" s="74" t="e">
        <f>VLOOKUP($A28,Data!$D$3:$CJ$128,73,FALSE)</f>
        <v>#N/A</v>
      </c>
      <c r="M28" s="74" t="e">
        <f>VLOOKUP($A28,Data!$D$3:$CJ$128,74,FALSE)</f>
        <v>#N/A</v>
      </c>
      <c r="N28" s="78" t="e">
        <f t="shared" si="0"/>
        <v>#N/A</v>
      </c>
      <c r="O28" s="78" t="e">
        <f t="shared" si="1"/>
        <v>#N/A</v>
      </c>
      <c r="P28" s="78" t="e">
        <f t="shared" si="2"/>
        <v>#N/A</v>
      </c>
      <c r="Q28" s="78" t="e">
        <f t="shared" si="3"/>
        <v>#N/A</v>
      </c>
      <c r="R28" s="78" t="e">
        <f t="shared" si="3"/>
        <v>#N/A</v>
      </c>
      <c r="S28" s="78" t="e">
        <f t="shared" si="4"/>
        <v>#N/A</v>
      </c>
      <c r="T28" s="74" t="e">
        <f t="shared" si="6"/>
        <v>#N/A</v>
      </c>
      <c r="U28" s="74" t="e">
        <f t="shared" si="6"/>
        <v>#N/A</v>
      </c>
      <c r="V28" s="74" t="e">
        <f t="shared" si="6"/>
        <v>#N/A</v>
      </c>
      <c r="W28" s="74" t="e">
        <f t="shared" si="6"/>
        <v>#N/A</v>
      </c>
      <c r="X28" s="74" t="e">
        <f t="shared" si="6"/>
        <v>#N/A</v>
      </c>
      <c r="Y28" s="74" t="e">
        <f t="shared" si="6"/>
        <v>#N/A</v>
      </c>
    </row>
    <row r="29" spans="1:25">
      <c r="A29" s="88">
        <f>'Batch input'!A28</f>
        <v>0</v>
      </c>
      <c r="B29">
        <f>'Batch input'!B28</f>
        <v>0</v>
      </c>
      <c r="C29" t="e">
        <f>VLOOKUP($A29,Data!$D$3:$CJ$128,30,FALSE)</f>
        <v>#N/A</v>
      </c>
      <c r="D29" s="74" t="e">
        <f>VLOOKUP($A29,Data!$D$3:$CJ$128,64,FALSE)</f>
        <v>#N/A</v>
      </c>
      <c r="E29" s="74" t="e">
        <f>VLOOKUP($A29,Data!$D$3:$CJ$128,66,FALSE)</f>
        <v>#N/A</v>
      </c>
      <c r="F29" s="74" t="e">
        <f>VLOOKUP($A29,Data!$D$3:$CJ$128,67,FALSE)</f>
        <v>#N/A</v>
      </c>
      <c r="G29" s="78" t="e">
        <f>VLOOKUP($A29,Data!$D$3:$CJ$128,68,FALSE)</f>
        <v>#N/A</v>
      </c>
      <c r="H29" s="78" t="e">
        <f>VLOOKUP($A29,Data!$D$3:$CJ$128,69,FALSE)</f>
        <v>#N/A</v>
      </c>
      <c r="I29" s="74" t="e">
        <f>VLOOKUP($A29,Data!$D$3:$CJ$128,70,FALSE)</f>
        <v>#N/A</v>
      </c>
      <c r="J29" s="74" t="e">
        <f>VLOOKUP($A29,Data!$D$3:$CJ$128,71,FALSE)</f>
        <v>#N/A</v>
      </c>
      <c r="K29" s="74" t="e">
        <f>VLOOKUP($A29,Data!$D$3:$CJ$128,72,FALSE)</f>
        <v>#N/A</v>
      </c>
      <c r="L29" s="74" t="e">
        <f>VLOOKUP($A29,Data!$D$3:$CJ$128,73,FALSE)</f>
        <v>#N/A</v>
      </c>
      <c r="M29" s="74" t="e">
        <f>VLOOKUP($A29,Data!$D$3:$CJ$128,74,FALSE)</f>
        <v>#N/A</v>
      </c>
      <c r="N29" s="78" t="e">
        <f t="shared" si="0"/>
        <v>#N/A</v>
      </c>
      <c r="O29" s="78" t="e">
        <f t="shared" si="1"/>
        <v>#N/A</v>
      </c>
      <c r="P29" s="78" t="e">
        <f t="shared" si="2"/>
        <v>#N/A</v>
      </c>
      <c r="Q29" s="78" t="e">
        <f t="shared" si="3"/>
        <v>#N/A</v>
      </c>
      <c r="R29" s="78" t="e">
        <f t="shared" si="3"/>
        <v>#N/A</v>
      </c>
      <c r="S29" s="78" t="e">
        <f t="shared" si="4"/>
        <v>#N/A</v>
      </c>
      <c r="T29" s="74" t="e">
        <f t="shared" si="6"/>
        <v>#N/A</v>
      </c>
      <c r="U29" s="74" t="e">
        <f t="shared" si="6"/>
        <v>#N/A</v>
      </c>
      <c r="V29" s="74" t="e">
        <f t="shared" si="6"/>
        <v>#N/A</v>
      </c>
      <c r="W29" s="74" t="e">
        <f t="shared" si="6"/>
        <v>#N/A</v>
      </c>
      <c r="X29" s="74" t="e">
        <f t="shared" si="6"/>
        <v>#N/A</v>
      </c>
      <c r="Y29" s="74" t="e">
        <f t="shared" si="6"/>
        <v>#N/A</v>
      </c>
    </row>
    <row r="30" spans="1:25">
      <c r="A30" s="88">
        <f>'Batch input'!A29</f>
        <v>0</v>
      </c>
      <c r="B30">
        <f>'Batch input'!B29</f>
        <v>0</v>
      </c>
      <c r="C30" t="e">
        <f>VLOOKUP($A30,Data!$D$3:$CJ$128,30,FALSE)</f>
        <v>#N/A</v>
      </c>
      <c r="D30" s="74" t="e">
        <f>VLOOKUP($A30,Data!$D$3:$CJ$128,64,FALSE)</f>
        <v>#N/A</v>
      </c>
      <c r="E30" s="74" t="e">
        <f>VLOOKUP($A30,Data!$D$3:$CJ$128,66,FALSE)</f>
        <v>#N/A</v>
      </c>
      <c r="F30" s="74" t="e">
        <f>VLOOKUP($A30,Data!$D$3:$CJ$128,67,FALSE)</f>
        <v>#N/A</v>
      </c>
      <c r="G30" s="78" t="e">
        <f>VLOOKUP($A30,Data!$D$3:$CJ$128,68,FALSE)</f>
        <v>#N/A</v>
      </c>
      <c r="H30" s="78" t="e">
        <f>VLOOKUP($A30,Data!$D$3:$CJ$128,69,FALSE)</f>
        <v>#N/A</v>
      </c>
      <c r="I30" s="74" t="e">
        <f>VLOOKUP($A30,Data!$D$3:$CJ$128,70,FALSE)</f>
        <v>#N/A</v>
      </c>
      <c r="J30" s="74" t="e">
        <f>VLOOKUP($A30,Data!$D$3:$CJ$128,71,FALSE)</f>
        <v>#N/A</v>
      </c>
      <c r="K30" s="74" t="e">
        <f>VLOOKUP($A30,Data!$D$3:$CJ$128,72,FALSE)</f>
        <v>#N/A</v>
      </c>
      <c r="L30" s="74" t="e">
        <f>VLOOKUP($A30,Data!$D$3:$CJ$128,73,FALSE)</f>
        <v>#N/A</v>
      </c>
      <c r="M30" s="74" t="e">
        <f>VLOOKUP($A30,Data!$D$3:$CJ$128,74,FALSE)</f>
        <v>#N/A</v>
      </c>
      <c r="N30" s="78" t="e">
        <f t="shared" si="0"/>
        <v>#N/A</v>
      </c>
      <c r="O30" s="78" t="e">
        <f t="shared" si="1"/>
        <v>#N/A</v>
      </c>
      <c r="P30" s="78" t="e">
        <f t="shared" si="2"/>
        <v>#N/A</v>
      </c>
      <c r="Q30" s="78" t="e">
        <f t="shared" si="3"/>
        <v>#N/A</v>
      </c>
      <c r="R30" s="78" t="e">
        <f t="shared" si="3"/>
        <v>#N/A</v>
      </c>
      <c r="S30" s="78" t="e">
        <f t="shared" si="4"/>
        <v>#N/A</v>
      </c>
      <c r="T30" s="74" t="e">
        <f t="shared" si="6"/>
        <v>#N/A</v>
      </c>
      <c r="U30" s="74" t="e">
        <f t="shared" si="6"/>
        <v>#N/A</v>
      </c>
      <c r="V30" s="74" t="e">
        <f t="shared" si="6"/>
        <v>#N/A</v>
      </c>
      <c r="W30" s="74" t="e">
        <f t="shared" si="6"/>
        <v>#N/A</v>
      </c>
      <c r="X30" s="74" t="e">
        <f t="shared" si="6"/>
        <v>#N/A</v>
      </c>
      <c r="Y30" s="74" t="e">
        <f t="shared" si="6"/>
        <v>#N/A</v>
      </c>
    </row>
    <row r="31" spans="1:25">
      <c r="A31" s="88">
        <f>'Batch input'!A30</f>
        <v>0</v>
      </c>
      <c r="B31">
        <f>'Batch input'!B30</f>
        <v>0</v>
      </c>
      <c r="C31" t="e">
        <f>VLOOKUP($A31,Data!$D$3:$CJ$128,30,FALSE)</f>
        <v>#N/A</v>
      </c>
      <c r="D31" s="74" t="e">
        <f>VLOOKUP($A31,Data!$D$3:$CJ$128,64,FALSE)</f>
        <v>#N/A</v>
      </c>
      <c r="E31" s="74" t="e">
        <f>VLOOKUP($A31,Data!$D$3:$CJ$128,66,FALSE)</f>
        <v>#N/A</v>
      </c>
      <c r="F31" s="74" t="e">
        <f>VLOOKUP($A31,Data!$D$3:$CJ$128,67,FALSE)</f>
        <v>#N/A</v>
      </c>
      <c r="G31" s="78" t="e">
        <f>VLOOKUP($A31,Data!$D$3:$CJ$128,68,FALSE)</f>
        <v>#N/A</v>
      </c>
      <c r="H31" s="78" t="e">
        <f>VLOOKUP($A31,Data!$D$3:$CJ$128,69,FALSE)</f>
        <v>#N/A</v>
      </c>
      <c r="I31" s="74" t="e">
        <f>VLOOKUP($A31,Data!$D$3:$CJ$128,70,FALSE)</f>
        <v>#N/A</v>
      </c>
      <c r="J31" s="74" t="e">
        <f>VLOOKUP($A31,Data!$D$3:$CJ$128,71,FALSE)</f>
        <v>#N/A</v>
      </c>
      <c r="K31" s="74" t="e">
        <f>VLOOKUP($A31,Data!$D$3:$CJ$128,72,FALSE)</f>
        <v>#N/A</v>
      </c>
      <c r="L31" s="74" t="e">
        <f>VLOOKUP($A31,Data!$D$3:$CJ$128,73,FALSE)</f>
        <v>#N/A</v>
      </c>
      <c r="M31" s="74" t="e">
        <f>VLOOKUP($A31,Data!$D$3:$CJ$128,74,FALSE)</f>
        <v>#N/A</v>
      </c>
      <c r="N31" s="78" t="e">
        <f t="shared" si="0"/>
        <v>#N/A</v>
      </c>
      <c r="O31" s="78" t="e">
        <f t="shared" si="1"/>
        <v>#N/A</v>
      </c>
      <c r="P31" s="78" t="e">
        <f t="shared" si="2"/>
        <v>#N/A</v>
      </c>
      <c r="Q31" s="78" t="e">
        <f t="shared" si="3"/>
        <v>#N/A</v>
      </c>
      <c r="R31" s="78" t="e">
        <f t="shared" si="3"/>
        <v>#N/A</v>
      </c>
      <c r="S31" s="78" t="e">
        <f t="shared" si="4"/>
        <v>#N/A</v>
      </c>
      <c r="T31" s="74" t="e">
        <f t="shared" si="6"/>
        <v>#N/A</v>
      </c>
      <c r="U31" s="74" t="e">
        <f t="shared" si="6"/>
        <v>#N/A</v>
      </c>
      <c r="V31" s="74" t="e">
        <f t="shared" si="6"/>
        <v>#N/A</v>
      </c>
      <c r="W31" s="74" t="e">
        <f t="shared" si="6"/>
        <v>#N/A</v>
      </c>
      <c r="X31" s="74" t="e">
        <f t="shared" si="6"/>
        <v>#N/A</v>
      </c>
      <c r="Y31" s="74" t="e">
        <f t="shared" si="6"/>
        <v>#N/A</v>
      </c>
    </row>
    <row r="32" spans="1:25">
      <c r="A32" s="88">
        <f>'Batch input'!A31</f>
        <v>0</v>
      </c>
      <c r="B32">
        <f>'Batch input'!B31</f>
        <v>0</v>
      </c>
      <c r="C32" t="e">
        <f>VLOOKUP($A32,Data!$D$3:$CJ$128,30,FALSE)</f>
        <v>#N/A</v>
      </c>
      <c r="D32" s="74" t="e">
        <f>VLOOKUP($A32,Data!$D$3:$CJ$128,64,FALSE)</f>
        <v>#N/A</v>
      </c>
      <c r="E32" s="74" t="e">
        <f>VLOOKUP($A32,Data!$D$3:$CJ$128,66,FALSE)</f>
        <v>#N/A</v>
      </c>
      <c r="F32" s="74" t="e">
        <f>VLOOKUP($A32,Data!$D$3:$CJ$128,67,FALSE)</f>
        <v>#N/A</v>
      </c>
      <c r="G32" s="78" t="e">
        <f>VLOOKUP($A32,Data!$D$3:$CJ$128,68,FALSE)</f>
        <v>#N/A</v>
      </c>
      <c r="H32" s="78" t="e">
        <f>VLOOKUP($A32,Data!$D$3:$CJ$128,69,FALSE)</f>
        <v>#N/A</v>
      </c>
      <c r="I32" s="74" t="e">
        <f>VLOOKUP($A32,Data!$D$3:$CJ$128,70,FALSE)</f>
        <v>#N/A</v>
      </c>
      <c r="J32" s="74" t="e">
        <f>VLOOKUP($A32,Data!$D$3:$CJ$128,71,FALSE)</f>
        <v>#N/A</v>
      </c>
      <c r="K32" s="74" t="e">
        <f>VLOOKUP($A32,Data!$D$3:$CJ$128,72,FALSE)</f>
        <v>#N/A</v>
      </c>
      <c r="L32" s="74" t="e">
        <f>VLOOKUP($A32,Data!$D$3:$CJ$128,73,FALSE)</f>
        <v>#N/A</v>
      </c>
      <c r="M32" s="74" t="e">
        <f>VLOOKUP($A32,Data!$D$3:$CJ$128,74,FALSE)</f>
        <v>#N/A</v>
      </c>
      <c r="N32" s="78" t="e">
        <f t="shared" si="0"/>
        <v>#N/A</v>
      </c>
      <c r="O32" s="78" t="e">
        <f t="shared" si="1"/>
        <v>#N/A</v>
      </c>
      <c r="P32" s="78" t="e">
        <f t="shared" si="2"/>
        <v>#N/A</v>
      </c>
      <c r="Q32" s="78" t="e">
        <f t="shared" si="3"/>
        <v>#N/A</v>
      </c>
      <c r="R32" s="78" t="e">
        <f t="shared" si="3"/>
        <v>#N/A</v>
      </c>
      <c r="S32" s="78" t="e">
        <f t="shared" si="4"/>
        <v>#N/A</v>
      </c>
      <c r="T32" s="74" t="e">
        <f t="shared" si="6"/>
        <v>#N/A</v>
      </c>
      <c r="U32" s="74" t="e">
        <f t="shared" si="6"/>
        <v>#N/A</v>
      </c>
      <c r="V32" s="74" t="e">
        <f t="shared" si="6"/>
        <v>#N/A</v>
      </c>
      <c r="W32" s="74" t="e">
        <f t="shared" si="6"/>
        <v>#N/A</v>
      </c>
      <c r="X32" s="74" t="e">
        <f t="shared" si="6"/>
        <v>#N/A</v>
      </c>
      <c r="Y32" s="74" t="e">
        <f t="shared" si="6"/>
        <v>#N/A</v>
      </c>
    </row>
    <row r="33" spans="1:25">
      <c r="A33" s="88">
        <f>'Batch input'!A32</f>
        <v>0</v>
      </c>
      <c r="B33">
        <f>'Batch input'!B32</f>
        <v>0</v>
      </c>
      <c r="C33" t="e">
        <f>VLOOKUP($A33,Data!$D$3:$CJ$128,30,FALSE)</f>
        <v>#N/A</v>
      </c>
      <c r="D33" s="74" t="e">
        <f>VLOOKUP($A33,Data!$D$3:$CJ$128,64,FALSE)</f>
        <v>#N/A</v>
      </c>
      <c r="E33" s="74" t="e">
        <f>VLOOKUP($A33,Data!$D$3:$CJ$128,66,FALSE)</f>
        <v>#N/A</v>
      </c>
      <c r="F33" s="74" t="e">
        <f>VLOOKUP($A33,Data!$D$3:$CJ$128,67,FALSE)</f>
        <v>#N/A</v>
      </c>
      <c r="G33" s="78" t="e">
        <f>VLOOKUP($A33,Data!$D$3:$CJ$128,68,FALSE)</f>
        <v>#N/A</v>
      </c>
      <c r="H33" s="78" t="e">
        <f>VLOOKUP($A33,Data!$D$3:$CJ$128,69,FALSE)</f>
        <v>#N/A</v>
      </c>
      <c r="I33" s="74" t="e">
        <f>VLOOKUP($A33,Data!$D$3:$CJ$128,70,FALSE)</f>
        <v>#N/A</v>
      </c>
      <c r="J33" s="74" t="e">
        <f>VLOOKUP($A33,Data!$D$3:$CJ$128,71,FALSE)</f>
        <v>#N/A</v>
      </c>
      <c r="K33" s="74" t="e">
        <f>VLOOKUP($A33,Data!$D$3:$CJ$128,72,FALSE)</f>
        <v>#N/A</v>
      </c>
      <c r="L33" s="74" t="e">
        <f>VLOOKUP($A33,Data!$D$3:$CJ$128,73,FALSE)</f>
        <v>#N/A</v>
      </c>
      <c r="M33" s="74" t="e">
        <f>VLOOKUP($A33,Data!$D$3:$CJ$128,74,FALSE)</f>
        <v>#N/A</v>
      </c>
      <c r="N33" s="78" t="e">
        <f t="shared" si="0"/>
        <v>#N/A</v>
      </c>
      <c r="O33" s="78" t="e">
        <f t="shared" si="1"/>
        <v>#N/A</v>
      </c>
      <c r="P33" s="78" t="e">
        <f t="shared" si="2"/>
        <v>#N/A</v>
      </c>
      <c r="Q33" s="78" t="e">
        <f t="shared" si="3"/>
        <v>#N/A</v>
      </c>
      <c r="R33" s="78" t="e">
        <f t="shared" si="3"/>
        <v>#N/A</v>
      </c>
      <c r="S33" s="78" t="e">
        <f t="shared" si="4"/>
        <v>#N/A</v>
      </c>
      <c r="T33" s="74" t="e">
        <f t="shared" si="6"/>
        <v>#N/A</v>
      </c>
      <c r="U33" s="74" t="e">
        <f t="shared" si="6"/>
        <v>#N/A</v>
      </c>
      <c r="V33" s="74" t="e">
        <f t="shared" si="6"/>
        <v>#N/A</v>
      </c>
      <c r="W33" s="74" t="e">
        <f t="shared" si="6"/>
        <v>#N/A</v>
      </c>
      <c r="X33" s="74" t="e">
        <f t="shared" si="6"/>
        <v>#N/A</v>
      </c>
      <c r="Y33" s="74" t="e">
        <f t="shared" si="6"/>
        <v>#N/A</v>
      </c>
    </row>
    <row r="34" spans="1:25">
      <c r="A34" s="88">
        <f>'Batch input'!A33</f>
        <v>0</v>
      </c>
      <c r="B34">
        <f>'Batch input'!B33</f>
        <v>0</v>
      </c>
      <c r="C34" t="e">
        <f>VLOOKUP($A34,Data!$D$3:$CJ$128,30,FALSE)</f>
        <v>#N/A</v>
      </c>
      <c r="D34" s="74" t="e">
        <f>VLOOKUP($A34,Data!$D$3:$CJ$128,64,FALSE)</f>
        <v>#N/A</v>
      </c>
      <c r="E34" s="74" t="e">
        <f>VLOOKUP($A34,Data!$D$3:$CJ$128,66,FALSE)</f>
        <v>#N/A</v>
      </c>
      <c r="F34" s="74" t="e">
        <f>VLOOKUP($A34,Data!$D$3:$CJ$128,67,FALSE)</f>
        <v>#N/A</v>
      </c>
      <c r="G34" s="78" t="e">
        <f>VLOOKUP($A34,Data!$D$3:$CJ$128,68,FALSE)</f>
        <v>#N/A</v>
      </c>
      <c r="H34" s="78" t="e">
        <f>VLOOKUP($A34,Data!$D$3:$CJ$128,69,FALSE)</f>
        <v>#N/A</v>
      </c>
      <c r="I34" s="74" t="e">
        <f>VLOOKUP($A34,Data!$D$3:$CJ$128,70,FALSE)</f>
        <v>#N/A</v>
      </c>
      <c r="J34" s="74" t="e">
        <f>VLOOKUP($A34,Data!$D$3:$CJ$128,71,FALSE)</f>
        <v>#N/A</v>
      </c>
      <c r="K34" s="74" t="e">
        <f>VLOOKUP($A34,Data!$D$3:$CJ$128,72,FALSE)</f>
        <v>#N/A</v>
      </c>
      <c r="L34" s="74" t="e">
        <f>VLOOKUP($A34,Data!$D$3:$CJ$128,73,FALSE)</f>
        <v>#N/A</v>
      </c>
      <c r="M34" s="74" t="e">
        <f>VLOOKUP($A34,Data!$D$3:$CJ$128,74,FALSE)</f>
        <v>#N/A</v>
      </c>
      <c r="N34" s="78" t="e">
        <f t="shared" si="0"/>
        <v>#N/A</v>
      </c>
      <c r="O34" s="78" t="e">
        <f t="shared" si="1"/>
        <v>#N/A</v>
      </c>
      <c r="P34" s="78" t="e">
        <f t="shared" si="2"/>
        <v>#N/A</v>
      </c>
      <c r="Q34" s="78" t="e">
        <f t="shared" si="3"/>
        <v>#N/A</v>
      </c>
      <c r="R34" s="78" t="e">
        <f t="shared" si="3"/>
        <v>#N/A</v>
      </c>
      <c r="S34" s="78" t="e">
        <f t="shared" si="4"/>
        <v>#N/A</v>
      </c>
      <c r="T34" s="74" t="e">
        <f t="shared" si="6"/>
        <v>#N/A</v>
      </c>
      <c r="U34" s="74" t="e">
        <f t="shared" si="6"/>
        <v>#N/A</v>
      </c>
      <c r="V34" s="74" t="e">
        <f t="shared" si="6"/>
        <v>#N/A</v>
      </c>
      <c r="W34" s="74" t="e">
        <f t="shared" si="6"/>
        <v>#N/A</v>
      </c>
      <c r="X34" s="74" t="e">
        <f t="shared" si="6"/>
        <v>#N/A</v>
      </c>
      <c r="Y34" s="74" t="e">
        <f t="shared" si="6"/>
        <v>#N/A</v>
      </c>
    </row>
    <row r="35" spans="1:25">
      <c r="A35" s="88">
        <f>'Batch input'!A34</f>
        <v>0</v>
      </c>
      <c r="B35">
        <f>'Batch input'!B34</f>
        <v>0</v>
      </c>
      <c r="C35" t="e">
        <f>VLOOKUP($A35,Data!$D$3:$CJ$128,30,FALSE)</f>
        <v>#N/A</v>
      </c>
      <c r="D35" s="74" t="e">
        <f>VLOOKUP($A35,Data!$D$3:$CJ$128,64,FALSE)</f>
        <v>#N/A</v>
      </c>
      <c r="E35" s="74" t="e">
        <f>VLOOKUP($A35,Data!$D$3:$CJ$128,66,FALSE)</f>
        <v>#N/A</v>
      </c>
      <c r="F35" s="74" t="e">
        <f>VLOOKUP($A35,Data!$D$3:$CJ$128,67,FALSE)</f>
        <v>#N/A</v>
      </c>
      <c r="G35" s="78" t="e">
        <f>VLOOKUP($A35,Data!$D$3:$CJ$128,68,FALSE)</f>
        <v>#N/A</v>
      </c>
      <c r="H35" s="78" t="e">
        <f>VLOOKUP($A35,Data!$D$3:$CJ$128,69,FALSE)</f>
        <v>#N/A</v>
      </c>
      <c r="I35" s="74" t="e">
        <f>VLOOKUP($A35,Data!$D$3:$CJ$128,70,FALSE)</f>
        <v>#N/A</v>
      </c>
      <c r="J35" s="74" t="e">
        <f>VLOOKUP($A35,Data!$D$3:$CJ$128,71,FALSE)</f>
        <v>#N/A</v>
      </c>
      <c r="K35" s="74" t="e">
        <f>VLOOKUP($A35,Data!$D$3:$CJ$128,72,FALSE)</f>
        <v>#N/A</v>
      </c>
      <c r="L35" s="74" t="e">
        <f>VLOOKUP($A35,Data!$D$3:$CJ$128,73,FALSE)</f>
        <v>#N/A</v>
      </c>
      <c r="M35" s="74" t="e">
        <f>VLOOKUP($A35,Data!$D$3:$CJ$128,74,FALSE)</f>
        <v>#N/A</v>
      </c>
      <c r="N35" s="78" t="e">
        <f t="shared" si="0"/>
        <v>#N/A</v>
      </c>
      <c r="O35" s="78" t="e">
        <f t="shared" si="1"/>
        <v>#N/A</v>
      </c>
      <c r="P35" s="78" t="e">
        <f t="shared" si="2"/>
        <v>#N/A</v>
      </c>
      <c r="Q35" s="78" t="e">
        <f t="shared" si="3"/>
        <v>#N/A</v>
      </c>
      <c r="R35" s="78" t="e">
        <f t="shared" si="3"/>
        <v>#N/A</v>
      </c>
      <c r="S35" s="78" t="e">
        <f t="shared" si="4"/>
        <v>#N/A</v>
      </c>
      <c r="T35" s="74" t="e">
        <f t="shared" si="6"/>
        <v>#N/A</v>
      </c>
      <c r="U35" s="74" t="e">
        <f t="shared" si="6"/>
        <v>#N/A</v>
      </c>
      <c r="V35" s="74" t="e">
        <f t="shared" si="6"/>
        <v>#N/A</v>
      </c>
      <c r="W35" s="74" t="e">
        <f t="shared" si="6"/>
        <v>#N/A</v>
      </c>
      <c r="X35" s="74" t="e">
        <f t="shared" si="6"/>
        <v>#N/A</v>
      </c>
      <c r="Y35" s="74" t="e">
        <f t="shared" si="6"/>
        <v>#N/A</v>
      </c>
    </row>
    <row r="36" spans="1:25">
      <c r="A36" s="88">
        <f>'Batch input'!A35</f>
        <v>0</v>
      </c>
      <c r="B36">
        <f>'Batch input'!B35</f>
        <v>0</v>
      </c>
      <c r="C36" t="e">
        <f>VLOOKUP($A36,Data!$D$3:$CJ$128,30,FALSE)</f>
        <v>#N/A</v>
      </c>
      <c r="D36" s="74" t="e">
        <f>VLOOKUP($A36,Data!$D$3:$CJ$128,64,FALSE)</f>
        <v>#N/A</v>
      </c>
      <c r="E36" s="74" t="e">
        <f>VLOOKUP($A36,Data!$D$3:$CJ$128,66,FALSE)</f>
        <v>#N/A</v>
      </c>
      <c r="F36" s="74" t="e">
        <f>VLOOKUP($A36,Data!$D$3:$CJ$128,67,FALSE)</f>
        <v>#N/A</v>
      </c>
      <c r="G36" s="78" t="e">
        <f>VLOOKUP($A36,Data!$D$3:$CJ$128,68,FALSE)</f>
        <v>#N/A</v>
      </c>
      <c r="H36" s="78" t="e">
        <f>VLOOKUP($A36,Data!$D$3:$CJ$128,69,FALSE)</f>
        <v>#N/A</v>
      </c>
      <c r="I36" s="74" t="e">
        <f>VLOOKUP($A36,Data!$D$3:$CJ$128,70,FALSE)</f>
        <v>#N/A</v>
      </c>
      <c r="J36" s="74" t="e">
        <f>VLOOKUP($A36,Data!$D$3:$CJ$128,71,FALSE)</f>
        <v>#N/A</v>
      </c>
      <c r="K36" s="74" t="e">
        <f>VLOOKUP($A36,Data!$D$3:$CJ$128,72,FALSE)</f>
        <v>#N/A</v>
      </c>
      <c r="L36" s="74" t="e">
        <f>VLOOKUP($A36,Data!$D$3:$CJ$128,73,FALSE)</f>
        <v>#N/A</v>
      </c>
      <c r="M36" s="74" t="e">
        <f>VLOOKUP($A36,Data!$D$3:$CJ$128,74,FALSE)</f>
        <v>#N/A</v>
      </c>
      <c r="N36" s="78" t="e">
        <f t="shared" si="0"/>
        <v>#N/A</v>
      </c>
      <c r="O36" s="78" t="e">
        <f t="shared" si="1"/>
        <v>#N/A</v>
      </c>
      <c r="P36" s="78" t="e">
        <f t="shared" si="2"/>
        <v>#N/A</v>
      </c>
      <c r="Q36" s="78" t="e">
        <f t="shared" si="3"/>
        <v>#N/A</v>
      </c>
      <c r="R36" s="78" t="e">
        <f t="shared" si="3"/>
        <v>#N/A</v>
      </c>
      <c r="S36" s="78" t="e">
        <f t="shared" si="4"/>
        <v>#N/A</v>
      </c>
      <c r="T36" s="74" t="e">
        <f t="shared" si="6"/>
        <v>#N/A</v>
      </c>
      <c r="U36" s="74" t="e">
        <f t="shared" si="6"/>
        <v>#N/A</v>
      </c>
      <c r="V36" s="74" t="e">
        <f t="shared" si="6"/>
        <v>#N/A</v>
      </c>
      <c r="W36" s="74" t="e">
        <f t="shared" si="6"/>
        <v>#N/A</v>
      </c>
      <c r="X36" s="74" t="e">
        <f t="shared" si="6"/>
        <v>#N/A</v>
      </c>
      <c r="Y36" s="74" t="e">
        <f t="shared" si="6"/>
        <v>#N/A</v>
      </c>
    </row>
    <row r="37" spans="1:25">
      <c r="A37" s="88">
        <f>'Batch input'!A36</f>
        <v>0</v>
      </c>
      <c r="B37">
        <f>'Batch input'!B36</f>
        <v>0</v>
      </c>
      <c r="C37" t="e">
        <f>VLOOKUP($A37,Data!$D$3:$CJ$128,30,FALSE)</f>
        <v>#N/A</v>
      </c>
      <c r="D37" s="74" t="e">
        <f>VLOOKUP($A37,Data!$D$3:$CJ$128,64,FALSE)</f>
        <v>#N/A</v>
      </c>
      <c r="E37" s="74" t="e">
        <f>VLOOKUP($A37,Data!$D$3:$CJ$128,66,FALSE)</f>
        <v>#N/A</v>
      </c>
      <c r="F37" s="74" t="e">
        <f>VLOOKUP($A37,Data!$D$3:$CJ$128,67,FALSE)</f>
        <v>#N/A</v>
      </c>
      <c r="G37" s="78" t="e">
        <f>VLOOKUP($A37,Data!$D$3:$CJ$128,68,FALSE)</f>
        <v>#N/A</v>
      </c>
      <c r="H37" s="78" t="e">
        <f>VLOOKUP($A37,Data!$D$3:$CJ$128,69,FALSE)</f>
        <v>#N/A</v>
      </c>
      <c r="I37" s="74" t="e">
        <f>VLOOKUP($A37,Data!$D$3:$CJ$128,70,FALSE)</f>
        <v>#N/A</v>
      </c>
      <c r="J37" s="74" t="e">
        <f>VLOOKUP($A37,Data!$D$3:$CJ$128,71,FALSE)</f>
        <v>#N/A</v>
      </c>
      <c r="K37" s="74" t="e">
        <f>VLOOKUP($A37,Data!$D$3:$CJ$128,72,FALSE)</f>
        <v>#N/A</v>
      </c>
      <c r="L37" s="74" t="e">
        <f>VLOOKUP($A37,Data!$D$3:$CJ$128,73,FALSE)</f>
        <v>#N/A</v>
      </c>
      <c r="M37" s="74" t="e">
        <f>VLOOKUP($A37,Data!$D$3:$CJ$128,74,FALSE)</f>
        <v>#N/A</v>
      </c>
      <c r="N37" s="78" t="e">
        <f t="shared" si="0"/>
        <v>#N/A</v>
      </c>
      <c r="O37" s="78" t="e">
        <f t="shared" si="1"/>
        <v>#N/A</v>
      </c>
      <c r="P37" s="78" t="e">
        <f t="shared" si="2"/>
        <v>#N/A</v>
      </c>
      <c r="Q37" s="78" t="e">
        <f t="shared" si="3"/>
        <v>#N/A</v>
      </c>
      <c r="R37" s="78" t="e">
        <f t="shared" si="3"/>
        <v>#N/A</v>
      </c>
      <c r="S37" s="78" t="e">
        <f t="shared" si="4"/>
        <v>#N/A</v>
      </c>
      <c r="T37" s="74" t="e">
        <f t="shared" si="6"/>
        <v>#N/A</v>
      </c>
      <c r="U37" s="74" t="e">
        <f t="shared" si="6"/>
        <v>#N/A</v>
      </c>
      <c r="V37" s="74" t="e">
        <f t="shared" si="6"/>
        <v>#N/A</v>
      </c>
      <c r="W37" s="74" t="e">
        <f t="shared" si="6"/>
        <v>#N/A</v>
      </c>
      <c r="X37" s="74" t="e">
        <f t="shared" si="6"/>
        <v>#N/A</v>
      </c>
      <c r="Y37" s="74" t="e">
        <f t="shared" si="6"/>
        <v>#N/A</v>
      </c>
    </row>
    <row r="38" spans="1:25">
      <c r="A38" s="88">
        <f>'Batch input'!A37</f>
        <v>0</v>
      </c>
      <c r="B38">
        <f>'Batch input'!B37</f>
        <v>0</v>
      </c>
      <c r="C38" t="e">
        <f>VLOOKUP($A38,Data!$D$3:$CJ$128,30,FALSE)</f>
        <v>#N/A</v>
      </c>
      <c r="D38" s="74" t="e">
        <f>VLOOKUP($A38,Data!$D$3:$CJ$128,64,FALSE)</f>
        <v>#N/A</v>
      </c>
      <c r="E38" s="74" t="e">
        <f>VLOOKUP($A38,Data!$D$3:$CJ$128,66,FALSE)</f>
        <v>#N/A</v>
      </c>
      <c r="F38" s="74" t="e">
        <f>VLOOKUP($A38,Data!$D$3:$CJ$128,67,FALSE)</f>
        <v>#N/A</v>
      </c>
      <c r="G38" s="78" t="e">
        <f>VLOOKUP($A38,Data!$D$3:$CJ$128,68,FALSE)</f>
        <v>#N/A</v>
      </c>
      <c r="H38" s="78" t="e">
        <f>VLOOKUP($A38,Data!$D$3:$CJ$128,69,FALSE)</f>
        <v>#N/A</v>
      </c>
      <c r="I38" s="74" t="e">
        <f>VLOOKUP($A38,Data!$D$3:$CJ$128,70,FALSE)</f>
        <v>#N/A</v>
      </c>
      <c r="J38" s="74" t="e">
        <f>VLOOKUP($A38,Data!$D$3:$CJ$128,71,FALSE)</f>
        <v>#N/A</v>
      </c>
      <c r="K38" s="74" t="e">
        <f>VLOOKUP($A38,Data!$D$3:$CJ$128,72,FALSE)</f>
        <v>#N/A</v>
      </c>
      <c r="L38" s="74" t="e">
        <f>VLOOKUP($A38,Data!$D$3:$CJ$128,73,FALSE)</f>
        <v>#N/A</v>
      </c>
      <c r="M38" s="74" t="e">
        <f>VLOOKUP($A38,Data!$D$3:$CJ$128,74,FALSE)</f>
        <v>#N/A</v>
      </c>
      <c r="N38" s="78" t="e">
        <f t="shared" si="0"/>
        <v>#N/A</v>
      </c>
      <c r="O38" s="78" t="e">
        <f t="shared" si="1"/>
        <v>#N/A</v>
      </c>
      <c r="P38" s="78" t="e">
        <f t="shared" si="2"/>
        <v>#N/A</v>
      </c>
      <c r="Q38" s="78" t="e">
        <f t="shared" si="3"/>
        <v>#N/A</v>
      </c>
      <c r="R38" s="78" t="e">
        <f t="shared" si="3"/>
        <v>#N/A</v>
      </c>
      <c r="S38" s="78" t="e">
        <f t="shared" si="4"/>
        <v>#N/A</v>
      </c>
      <c r="T38" s="74" t="e">
        <f t="shared" si="6"/>
        <v>#N/A</v>
      </c>
      <c r="U38" s="74" t="e">
        <f t="shared" si="6"/>
        <v>#N/A</v>
      </c>
      <c r="V38" s="74" t="e">
        <f t="shared" si="6"/>
        <v>#N/A</v>
      </c>
      <c r="W38" s="74" t="e">
        <f t="shared" si="6"/>
        <v>#N/A</v>
      </c>
      <c r="X38" s="74" t="e">
        <f t="shared" si="6"/>
        <v>#N/A</v>
      </c>
      <c r="Y38" s="74" t="e">
        <f t="shared" si="6"/>
        <v>#N/A</v>
      </c>
    </row>
    <row r="39" spans="1:25">
      <c r="A39" s="88">
        <f>'Batch input'!A38</f>
        <v>0</v>
      </c>
      <c r="B39">
        <f>'Batch input'!B38</f>
        <v>0</v>
      </c>
      <c r="C39" t="e">
        <f>VLOOKUP($A39,Data!$D$3:$CJ$128,30,FALSE)</f>
        <v>#N/A</v>
      </c>
      <c r="D39" s="74" t="e">
        <f>VLOOKUP($A39,Data!$D$3:$CJ$128,64,FALSE)</f>
        <v>#N/A</v>
      </c>
      <c r="E39" s="74" t="e">
        <f>VLOOKUP($A39,Data!$D$3:$CJ$128,66,FALSE)</f>
        <v>#N/A</v>
      </c>
      <c r="F39" s="74" t="e">
        <f>VLOOKUP($A39,Data!$D$3:$CJ$128,67,FALSE)</f>
        <v>#N/A</v>
      </c>
      <c r="G39" s="78" t="e">
        <f>VLOOKUP($A39,Data!$D$3:$CJ$128,68,FALSE)</f>
        <v>#N/A</v>
      </c>
      <c r="H39" s="78" t="e">
        <f>VLOOKUP($A39,Data!$D$3:$CJ$128,69,FALSE)</f>
        <v>#N/A</v>
      </c>
      <c r="I39" s="74" t="e">
        <f>VLOOKUP($A39,Data!$D$3:$CJ$128,70,FALSE)</f>
        <v>#N/A</v>
      </c>
      <c r="J39" s="74" t="e">
        <f>VLOOKUP($A39,Data!$D$3:$CJ$128,71,FALSE)</f>
        <v>#N/A</v>
      </c>
      <c r="K39" s="74" t="e">
        <f>VLOOKUP($A39,Data!$D$3:$CJ$128,72,FALSE)</f>
        <v>#N/A</v>
      </c>
      <c r="L39" s="74" t="e">
        <f>VLOOKUP($A39,Data!$D$3:$CJ$128,73,FALSE)</f>
        <v>#N/A</v>
      </c>
      <c r="M39" s="74" t="e">
        <f>VLOOKUP($A39,Data!$D$3:$CJ$128,74,FALSE)</f>
        <v>#N/A</v>
      </c>
      <c r="N39" s="78" t="e">
        <f t="shared" si="0"/>
        <v>#N/A</v>
      </c>
      <c r="O39" s="78" t="e">
        <f t="shared" si="1"/>
        <v>#N/A</v>
      </c>
      <c r="P39" s="78" t="e">
        <f t="shared" si="2"/>
        <v>#N/A</v>
      </c>
      <c r="Q39" s="78" t="e">
        <f t="shared" si="3"/>
        <v>#N/A</v>
      </c>
      <c r="R39" s="78" t="e">
        <f t="shared" si="3"/>
        <v>#N/A</v>
      </c>
      <c r="S39" s="78" t="e">
        <f t="shared" si="4"/>
        <v>#N/A</v>
      </c>
      <c r="T39" s="74" t="e">
        <f t="shared" si="6"/>
        <v>#N/A</v>
      </c>
      <c r="U39" s="74" t="e">
        <f t="shared" si="6"/>
        <v>#N/A</v>
      </c>
      <c r="V39" s="74" t="e">
        <f t="shared" si="6"/>
        <v>#N/A</v>
      </c>
      <c r="W39" s="74" t="e">
        <f t="shared" si="6"/>
        <v>#N/A</v>
      </c>
      <c r="X39" s="74" t="e">
        <f t="shared" si="6"/>
        <v>#N/A</v>
      </c>
      <c r="Y39" s="74" t="e">
        <f t="shared" si="6"/>
        <v>#N/A</v>
      </c>
    </row>
    <row r="40" spans="1:25">
      <c r="A40" s="88">
        <f>'Batch input'!A39</f>
        <v>0</v>
      </c>
      <c r="B40">
        <f>'Batch input'!B39</f>
        <v>0</v>
      </c>
      <c r="C40" t="e">
        <f>VLOOKUP($A40,Data!$D$3:$CJ$128,30,FALSE)</f>
        <v>#N/A</v>
      </c>
      <c r="D40" s="74" t="e">
        <f>VLOOKUP($A40,Data!$D$3:$CJ$128,64,FALSE)</f>
        <v>#N/A</v>
      </c>
      <c r="E40" s="74" t="e">
        <f>VLOOKUP($A40,Data!$D$3:$CJ$128,66,FALSE)</f>
        <v>#N/A</v>
      </c>
      <c r="F40" s="74" t="e">
        <f>VLOOKUP($A40,Data!$D$3:$CJ$128,67,FALSE)</f>
        <v>#N/A</v>
      </c>
      <c r="G40" s="78" t="e">
        <f>VLOOKUP($A40,Data!$D$3:$CJ$128,68,FALSE)</f>
        <v>#N/A</v>
      </c>
      <c r="H40" s="78" t="e">
        <f>VLOOKUP($A40,Data!$D$3:$CJ$128,69,FALSE)</f>
        <v>#N/A</v>
      </c>
      <c r="I40" s="74" t="e">
        <f>VLOOKUP($A40,Data!$D$3:$CJ$128,70,FALSE)</f>
        <v>#N/A</v>
      </c>
      <c r="J40" s="74" t="e">
        <f>VLOOKUP($A40,Data!$D$3:$CJ$128,71,FALSE)</f>
        <v>#N/A</v>
      </c>
      <c r="K40" s="74" t="e">
        <f>VLOOKUP($A40,Data!$D$3:$CJ$128,72,FALSE)</f>
        <v>#N/A</v>
      </c>
      <c r="L40" s="74" t="e">
        <f>VLOOKUP($A40,Data!$D$3:$CJ$128,73,FALSE)</f>
        <v>#N/A</v>
      </c>
      <c r="M40" s="74" t="e">
        <f>VLOOKUP($A40,Data!$D$3:$CJ$128,74,FALSE)</f>
        <v>#N/A</v>
      </c>
      <c r="N40" s="78" t="e">
        <f t="shared" si="0"/>
        <v>#N/A</v>
      </c>
      <c r="O40" s="78" t="e">
        <f t="shared" si="1"/>
        <v>#N/A</v>
      </c>
      <c r="P40" s="78" t="e">
        <f t="shared" si="2"/>
        <v>#N/A</v>
      </c>
      <c r="Q40" s="78" t="e">
        <f t="shared" si="3"/>
        <v>#N/A</v>
      </c>
      <c r="R40" s="78" t="e">
        <f t="shared" si="3"/>
        <v>#N/A</v>
      </c>
      <c r="S40" s="78" t="e">
        <f t="shared" si="4"/>
        <v>#N/A</v>
      </c>
      <c r="T40" s="74" t="e">
        <f t="shared" si="6"/>
        <v>#N/A</v>
      </c>
      <c r="U40" s="74" t="e">
        <f t="shared" si="6"/>
        <v>#N/A</v>
      </c>
      <c r="V40" s="74" t="e">
        <f t="shared" si="6"/>
        <v>#N/A</v>
      </c>
      <c r="W40" s="74" t="e">
        <f t="shared" si="6"/>
        <v>#N/A</v>
      </c>
      <c r="X40" s="74" t="e">
        <f t="shared" si="6"/>
        <v>#N/A</v>
      </c>
      <c r="Y40" s="74" t="e">
        <f t="shared" si="6"/>
        <v>#N/A</v>
      </c>
    </row>
    <row r="41" spans="1:25">
      <c r="A41" s="88">
        <f>'Batch input'!A40</f>
        <v>0</v>
      </c>
      <c r="B41">
        <f>'Batch input'!B40</f>
        <v>0</v>
      </c>
      <c r="C41" t="e">
        <f>VLOOKUP($A41,Data!$D$3:$CJ$128,30,FALSE)</f>
        <v>#N/A</v>
      </c>
      <c r="D41" s="74" t="e">
        <f>VLOOKUP($A41,Data!$D$3:$CJ$128,64,FALSE)</f>
        <v>#N/A</v>
      </c>
      <c r="E41" s="74" t="e">
        <f>VLOOKUP($A41,Data!$D$3:$CJ$128,66,FALSE)</f>
        <v>#N/A</v>
      </c>
      <c r="F41" s="74" t="e">
        <f>VLOOKUP($A41,Data!$D$3:$CJ$128,67,FALSE)</f>
        <v>#N/A</v>
      </c>
      <c r="G41" s="78" t="e">
        <f>VLOOKUP($A41,Data!$D$3:$CJ$128,68,FALSE)</f>
        <v>#N/A</v>
      </c>
      <c r="H41" s="78" t="e">
        <f>VLOOKUP($A41,Data!$D$3:$CJ$128,69,FALSE)</f>
        <v>#N/A</v>
      </c>
      <c r="I41" s="74" t="e">
        <f>VLOOKUP($A41,Data!$D$3:$CJ$128,70,FALSE)</f>
        <v>#N/A</v>
      </c>
      <c r="J41" s="74" t="e">
        <f>VLOOKUP($A41,Data!$D$3:$CJ$128,71,FALSE)</f>
        <v>#N/A</v>
      </c>
      <c r="K41" s="74" t="e">
        <f>VLOOKUP($A41,Data!$D$3:$CJ$128,72,FALSE)</f>
        <v>#N/A</v>
      </c>
      <c r="L41" s="74" t="e">
        <f>VLOOKUP($A41,Data!$D$3:$CJ$128,73,FALSE)</f>
        <v>#N/A</v>
      </c>
      <c r="M41" s="74" t="e">
        <f>VLOOKUP($A41,Data!$D$3:$CJ$128,74,FALSE)</f>
        <v>#N/A</v>
      </c>
      <c r="N41" s="78" t="e">
        <f t="shared" ref="N41:N101" si="7">I41</f>
        <v>#N/A</v>
      </c>
      <c r="O41" s="78" t="e">
        <f t="shared" ref="O41:O101" si="8">(((D41/1000)*H41)+((G41/1000)*M41)+(J41/1000))</f>
        <v>#N/A</v>
      </c>
      <c r="P41" s="78" t="e">
        <f t="shared" ref="P41:P101" si="9">(F41/1000)*H41</f>
        <v>#N/A</v>
      </c>
      <c r="Q41" s="78" t="e">
        <f t="shared" ref="Q41:Q101" si="10">K41/1000</f>
        <v>#N/A</v>
      </c>
      <c r="R41" s="78" t="e">
        <f t="shared" ref="R41:R101" si="11">L41/1000</f>
        <v>#N/A</v>
      </c>
      <c r="S41" s="78" t="e">
        <f t="shared" ref="S41:S101" si="12">(E41/1000)*H41</f>
        <v>#N/A</v>
      </c>
      <c r="T41" s="74" t="e">
        <f t="shared" ref="T41:T101" si="13">$B41*N41</f>
        <v>#N/A</v>
      </c>
      <c r="U41" s="74" t="e">
        <f t="shared" ref="U41:U101" si="14">$B41*O41</f>
        <v>#N/A</v>
      </c>
      <c r="V41" s="74" t="e">
        <f t="shared" ref="V41:V101" si="15">$B41*P41</f>
        <v>#N/A</v>
      </c>
      <c r="W41" s="74" t="e">
        <f t="shared" ref="W41:W101" si="16">$B41*Q41</f>
        <v>#N/A</v>
      </c>
      <c r="X41" s="74" t="e">
        <f t="shared" ref="X41:X101" si="17">$B41*R41</f>
        <v>#N/A</v>
      </c>
      <c r="Y41" s="74" t="e">
        <f t="shared" ref="Y41:Y101" si="18">$B41*S41</f>
        <v>#N/A</v>
      </c>
    </row>
    <row r="42" spans="1:25">
      <c r="A42" s="88">
        <f>'Batch input'!A41</f>
        <v>0</v>
      </c>
      <c r="B42">
        <f>'Batch input'!B41</f>
        <v>0</v>
      </c>
      <c r="C42" t="e">
        <f>VLOOKUP($A42,Data!$D$3:$CJ$128,30,FALSE)</f>
        <v>#N/A</v>
      </c>
      <c r="D42" s="74" t="e">
        <f>VLOOKUP($A42,Data!$D$3:$CJ$128,64,FALSE)</f>
        <v>#N/A</v>
      </c>
      <c r="E42" s="74" t="e">
        <f>VLOOKUP($A42,Data!$D$3:$CJ$128,66,FALSE)</f>
        <v>#N/A</v>
      </c>
      <c r="F42" s="74" t="e">
        <f>VLOOKUP($A42,Data!$D$3:$CJ$128,67,FALSE)</f>
        <v>#N/A</v>
      </c>
      <c r="G42" s="78" t="e">
        <f>VLOOKUP($A42,Data!$D$3:$CJ$128,68,FALSE)</f>
        <v>#N/A</v>
      </c>
      <c r="H42" s="78" t="e">
        <f>VLOOKUP($A42,Data!$D$3:$CJ$128,69,FALSE)</f>
        <v>#N/A</v>
      </c>
      <c r="I42" s="74" t="e">
        <f>VLOOKUP($A42,Data!$D$3:$CJ$128,70,FALSE)</f>
        <v>#N/A</v>
      </c>
      <c r="J42" s="74" t="e">
        <f>VLOOKUP($A42,Data!$D$3:$CJ$128,71,FALSE)</f>
        <v>#N/A</v>
      </c>
      <c r="K42" s="74" t="e">
        <f>VLOOKUP($A42,Data!$D$3:$CJ$128,72,FALSE)</f>
        <v>#N/A</v>
      </c>
      <c r="L42" s="74" t="e">
        <f>VLOOKUP($A42,Data!$D$3:$CJ$128,73,FALSE)</f>
        <v>#N/A</v>
      </c>
      <c r="M42" s="74" t="e">
        <f>VLOOKUP($A42,Data!$D$3:$CJ$128,74,FALSE)</f>
        <v>#N/A</v>
      </c>
      <c r="N42" s="78" t="e">
        <f t="shared" si="7"/>
        <v>#N/A</v>
      </c>
      <c r="O42" s="78" t="e">
        <f t="shared" si="8"/>
        <v>#N/A</v>
      </c>
      <c r="P42" s="78" t="e">
        <f t="shared" si="9"/>
        <v>#N/A</v>
      </c>
      <c r="Q42" s="78" t="e">
        <f t="shared" si="10"/>
        <v>#N/A</v>
      </c>
      <c r="R42" s="78" t="e">
        <f t="shared" si="11"/>
        <v>#N/A</v>
      </c>
      <c r="S42" s="78" t="e">
        <f t="shared" si="12"/>
        <v>#N/A</v>
      </c>
      <c r="T42" s="74" t="e">
        <f t="shared" si="13"/>
        <v>#N/A</v>
      </c>
      <c r="U42" s="74" t="e">
        <f t="shared" si="14"/>
        <v>#N/A</v>
      </c>
      <c r="V42" s="74" t="e">
        <f t="shared" si="15"/>
        <v>#N/A</v>
      </c>
      <c r="W42" s="74" t="e">
        <f t="shared" si="16"/>
        <v>#N/A</v>
      </c>
      <c r="X42" s="74" t="e">
        <f t="shared" si="17"/>
        <v>#N/A</v>
      </c>
      <c r="Y42" s="74" t="e">
        <f t="shared" si="18"/>
        <v>#N/A</v>
      </c>
    </row>
    <row r="43" spans="1:25">
      <c r="A43" s="88">
        <f>'Batch input'!A42</f>
        <v>0</v>
      </c>
      <c r="B43">
        <f>'Batch input'!B42</f>
        <v>0</v>
      </c>
      <c r="C43" t="e">
        <f>VLOOKUP($A43,Data!$D$3:$CJ$128,30,FALSE)</f>
        <v>#N/A</v>
      </c>
      <c r="D43" s="74" t="e">
        <f>VLOOKUP($A43,Data!$D$3:$CJ$128,64,FALSE)</f>
        <v>#N/A</v>
      </c>
      <c r="E43" s="74" t="e">
        <f>VLOOKUP($A43,Data!$D$3:$CJ$128,66,FALSE)</f>
        <v>#N/A</v>
      </c>
      <c r="F43" s="74" t="e">
        <f>VLOOKUP($A43,Data!$D$3:$CJ$128,67,FALSE)</f>
        <v>#N/A</v>
      </c>
      <c r="G43" s="78" t="e">
        <f>VLOOKUP($A43,Data!$D$3:$CJ$128,68,FALSE)</f>
        <v>#N/A</v>
      </c>
      <c r="H43" s="78" t="e">
        <f>VLOOKUP($A43,Data!$D$3:$CJ$128,69,FALSE)</f>
        <v>#N/A</v>
      </c>
      <c r="I43" s="74" t="e">
        <f>VLOOKUP($A43,Data!$D$3:$CJ$128,70,FALSE)</f>
        <v>#N/A</v>
      </c>
      <c r="J43" s="74" t="e">
        <f>VLOOKUP($A43,Data!$D$3:$CJ$128,71,FALSE)</f>
        <v>#N/A</v>
      </c>
      <c r="K43" s="74" t="e">
        <f>VLOOKUP($A43,Data!$D$3:$CJ$128,72,FALSE)</f>
        <v>#N/A</v>
      </c>
      <c r="L43" s="74" t="e">
        <f>VLOOKUP($A43,Data!$D$3:$CJ$128,73,FALSE)</f>
        <v>#N/A</v>
      </c>
      <c r="M43" s="74" t="e">
        <f>VLOOKUP($A43,Data!$D$3:$CJ$128,74,FALSE)</f>
        <v>#N/A</v>
      </c>
      <c r="N43" s="78" t="e">
        <f t="shared" si="7"/>
        <v>#N/A</v>
      </c>
      <c r="O43" s="78" t="e">
        <f t="shared" si="8"/>
        <v>#N/A</v>
      </c>
      <c r="P43" s="78" t="e">
        <f t="shared" si="9"/>
        <v>#N/A</v>
      </c>
      <c r="Q43" s="78" t="e">
        <f t="shared" si="10"/>
        <v>#N/A</v>
      </c>
      <c r="R43" s="78" t="e">
        <f t="shared" si="11"/>
        <v>#N/A</v>
      </c>
      <c r="S43" s="78" t="e">
        <f t="shared" si="12"/>
        <v>#N/A</v>
      </c>
      <c r="T43" s="74" t="e">
        <f t="shared" si="13"/>
        <v>#N/A</v>
      </c>
      <c r="U43" s="74" t="e">
        <f t="shared" si="14"/>
        <v>#N/A</v>
      </c>
      <c r="V43" s="74" t="e">
        <f t="shared" si="15"/>
        <v>#N/A</v>
      </c>
      <c r="W43" s="74" t="e">
        <f t="shared" si="16"/>
        <v>#N/A</v>
      </c>
      <c r="X43" s="74" t="e">
        <f t="shared" si="17"/>
        <v>#N/A</v>
      </c>
      <c r="Y43" s="74" t="e">
        <f t="shared" si="18"/>
        <v>#N/A</v>
      </c>
    </row>
    <row r="44" spans="1:25">
      <c r="A44" s="88">
        <f>'Batch input'!A43</f>
        <v>0</v>
      </c>
      <c r="B44">
        <f>'Batch input'!B43</f>
        <v>0</v>
      </c>
      <c r="C44" t="e">
        <f>VLOOKUP($A44,Data!$D$3:$CJ$128,30,FALSE)</f>
        <v>#N/A</v>
      </c>
      <c r="D44" s="74" t="e">
        <f>VLOOKUP($A44,Data!$D$3:$CJ$128,64,FALSE)</f>
        <v>#N/A</v>
      </c>
      <c r="E44" s="74" t="e">
        <f>VLOOKUP($A44,Data!$D$3:$CJ$128,66,FALSE)</f>
        <v>#N/A</v>
      </c>
      <c r="F44" s="74" t="e">
        <f>VLOOKUP($A44,Data!$D$3:$CJ$128,67,FALSE)</f>
        <v>#N/A</v>
      </c>
      <c r="G44" s="78" t="e">
        <f>VLOOKUP($A44,Data!$D$3:$CJ$128,68,FALSE)</f>
        <v>#N/A</v>
      </c>
      <c r="H44" s="78" t="e">
        <f>VLOOKUP($A44,Data!$D$3:$CJ$128,69,FALSE)</f>
        <v>#N/A</v>
      </c>
      <c r="I44" s="74" t="e">
        <f>VLOOKUP($A44,Data!$D$3:$CJ$128,70,FALSE)</f>
        <v>#N/A</v>
      </c>
      <c r="J44" s="74" t="e">
        <f>VLOOKUP($A44,Data!$D$3:$CJ$128,71,FALSE)</f>
        <v>#N/A</v>
      </c>
      <c r="K44" s="74" t="e">
        <f>VLOOKUP($A44,Data!$D$3:$CJ$128,72,FALSE)</f>
        <v>#N/A</v>
      </c>
      <c r="L44" s="74" t="e">
        <f>VLOOKUP($A44,Data!$D$3:$CJ$128,73,FALSE)</f>
        <v>#N/A</v>
      </c>
      <c r="M44" s="74" t="e">
        <f>VLOOKUP($A44,Data!$D$3:$CJ$128,74,FALSE)</f>
        <v>#N/A</v>
      </c>
      <c r="N44" s="78" t="e">
        <f t="shared" si="7"/>
        <v>#N/A</v>
      </c>
      <c r="O44" s="78" t="e">
        <f t="shared" si="8"/>
        <v>#N/A</v>
      </c>
      <c r="P44" s="78" t="e">
        <f t="shared" si="9"/>
        <v>#N/A</v>
      </c>
      <c r="Q44" s="78" t="e">
        <f t="shared" si="10"/>
        <v>#N/A</v>
      </c>
      <c r="R44" s="78" t="e">
        <f t="shared" si="11"/>
        <v>#N/A</v>
      </c>
      <c r="S44" s="78" t="e">
        <f t="shared" si="12"/>
        <v>#N/A</v>
      </c>
      <c r="T44" s="74" t="e">
        <f t="shared" si="13"/>
        <v>#N/A</v>
      </c>
      <c r="U44" s="74" t="e">
        <f t="shared" si="14"/>
        <v>#N/A</v>
      </c>
      <c r="V44" s="74" t="e">
        <f t="shared" si="15"/>
        <v>#N/A</v>
      </c>
      <c r="W44" s="74" t="e">
        <f t="shared" si="16"/>
        <v>#N/A</v>
      </c>
      <c r="X44" s="74" t="e">
        <f t="shared" si="17"/>
        <v>#N/A</v>
      </c>
      <c r="Y44" s="74" t="e">
        <f t="shared" si="18"/>
        <v>#N/A</v>
      </c>
    </row>
    <row r="45" spans="1:25">
      <c r="A45" s="88">
        <f>'Batch input'!A44</f>
        <v>0</v>
      </c>
      <c r="B45">
        <f>'Batch input'!B44</f>
        <v>0</v>
      </c>
      <c r="C45" t="e">
        <f>VLOOKUP($A45,Data!$D$3:$CJ$128,30,FALSE)</f>
        <v>#N/A</v>
      </c>
      <c r="D45" s="74" t="e">
        <f>VLOOKUP($A45,Data!$D$3:$CJ$128,64,FALSE)</f>
        <v>#N/A</v>
      </c>
      <c r="E45" s="74" t="e">
        <f>VLOOKUP($A45,Data!$D$3:$CJ$128,66,FALSE)</f>
        <v>#N/A</v>
      </c>
      <c r="F45" s="74" t="e">
        <f>VLOOKUP($A45,Data!$D$3:$CJ$128,67,FALSE)</f>
        <v>#N/A</v>
      </c>
      <c r="G45" s="78" t="e">
        <f>VLOOKUP($A45,Data!$D$3:$CJ$128,68,FALSE)</f>
        <v>#N/A</v>
      </c>
      <c r="H45" s="78" t="e">
        <f>VLOOKUP($A45,Data!$D$3:$CJ$128,69,FALSE)</f>
        <v>#N/A</v>
      </c>
      <c r="I45" s="74" t="e">
        <f>VLOOKUP($A45,Data!$D$3:$CJ$128,70,FALSE)</f>
        <v>#N/A</v>
      </c>
      <c r="J45" s="74" t="e">
        <f>VLOOKUP($A45,Data!$D$3:$CJ$128,71,FALSE)</f>
        <v>#N/A</v>
      </c>
      <c r="K45" s="74" t="e">
        <f>VLOOKUP($A45,Data!$D$3:$CJ$128,72,FALSE)</f>
        <v>#N/A</v>
      </c>
      <c r="L45" s="74" t="e">
        <f>VLOOKUP($A45,Data!$D$3:$CJ$128,73,FALSE)</f>
        <v>#N/A</v>
      </c>
      <c r="M45" s="74" t="e">
        <f>VLOOKUP($A45,Data!$D$3:$CJ$128,74,FALSE)</f>
        <v>#N/A</v>
      </c>
      <c r="N45" s="78" t="e">
        <f t="shared" si="7"/>
        <v>#N/A</v>
      </c>
      <c r="O45" s="78" t="e">
        <f t="shared" si="8"/>
        <v>#N/A</v>
      </c>
      <c r="P45" s="78" t="e">
        <f t="shared" si="9"/>
        <v>#N/A</v>
      </c>
      <c r="Q45" s="78" t="e">
        <f t="shared" si="10"/>
        <v>#N/A</v>
      </c>
      <c r="R45" s="78" t="e">
        <f t="shared" si="11"/>
        <v>#N/A</v>
      </c>
      <c r="S45" s="78" t="e">
        <f t="shared" si="12"/>
        <v>#N/A</v>
      </c>
      <c r="T45" s="74" t="e">
        <f t="shared" si="13"/>
        <v>#N/A</v>
      </c>
      <c r="U45" s="74" t="e">
        <f t="shared" si="14"/>
        <v>#N/A</v>
      </c>
      <c r="V45" s="74" t="e">
        <f t="shared" si="15"/>
        <v>#N/A</v>
      </c>
      <c r="W45" s="74" t="e">
        <f t="shared" si="16"/>
        <v>#N/A</v>
      </c>
      <c r="X45" s="74" t="e">
        <f t="shared" si="17"/>
        <v>#N/A</v>
      </c>
      <c r="Y45" s="74" t="e">
        <f t="shared" si="18"/>
        <v>#N/A</v>
      </c>
    </row>
    <row r="46" spans="1:25">
      <c r="A46" s="88">
        <f>'Batch input'!A45</f>
        <v>0</v>
      </c>
      <c r="B46">
        <f>'Batch input'!B45</f>
        <v>0</v>
      </c>
      <c r="C46" t="e">
        <f>VLOOKUP($A46,Data!$D$3:$CJ$128,30,FALSE)</f>
        <v>#N/A</v>
      </c>
      <c r="D46" s="74" t="e">
        <f>VLOOKUP($A46,Data!$D$3:$CJ$128,64,FALSE)</f>
        <v>#N/A</v>
      </c>
      <c r="E46" s="74" t="e">
        <f>VLOOKUP($A46,Data!$D$3:$CJ$128,66,FALSE)</f>
        <v>#N/A</v>
      </c>
      <c r="F46" s="74" t="e">
        <f>VLOOKUP($A46,Data!$D$3:$CJ$128,67,FALSE)</f>
        <v>#N/A</v>
      </c>
      <c r="G46" s="78" t="e">
        <f>VLOOKUP($A46,Data!$D$3:$CJ$128,68,FALSE)</f>
        <v>#N/A</v>
      </c>
      <c r="H46" s="78" t="e">
        <f>VLOOKUP($A46,Data!$D$3:$CJ$128,69,FALSE)</f>
        <v>#N/A</v>
      </c>
      <c r="I46" s="74" t="e">
        <f>VLOOKUP($A46,Data!$D$3:$CJ$128,70,FALSE)</f>
        <v>#N/A</v>
      </c>
      <c r="J46" s="74" t="e">
        <f>VLOOKUP($A46,Data!$D$3:$CJ$128,71,FALSE)</f>
        <v>#N/A</v>
      </c>
      <c r="K46" s="74" t="e">
        <f>VLOOKUP($A46,Data!$D$3:$CJ$128,72,FALSE)</f>
        <v>#N/A</v>
      </c>
      <c r="L46" s="74" t="e">
        <f>VLOOKUP($A46,Data!$D$3:$CJ$128,73,FALSE)</f>
        <v>#N/A</v>
      </c>
      <c r="M46" s="74" t="e">
        <f>VLOOKUP($A46,Data!$D$3:$CJ$128,74,FALSE)</f>
        <v>#N/A</v>
      </c>
      <c r="N46" s="78" t="e">
        <f t="shared" si="7"/>
        <v>#N/A</v>
      </c>
      <c r="O46" s="78" t="e">
        <f t="shared" si="8"/>
        <v>#N/A</v>
      </c>
      <c r="P46" s="78" t="e">
        <f t="shared" si="9"/>
        <v>#N/A</v>
      </c>
      <c r="Q46" s="78" t="e">
        <f t="shared" si="10"/>
        <v>#N/A</v>
      </c>
      <c r="R46" s="78" t="e">
        <f t="shared" si="11"/>
        <v>#N/A</v>
      </c>
      <c r="S46" s="78" t="e">
        <f t="shared" si="12"/>
        <v>#N/A</v>
      </c>
      <c r="T46" s="74" t="e">
        <f t="shared" si="13"/>
        <v>#N/A</v>
      </c>
      <c r="U46" s="74" t="e">
        <f t="shared" si="14"/>
        <v>#N/A</v>
      </c>
      <c r="V46" s="74" t="e">
        <f t="shared" si="15"/>
        <v>#N/A</v>
      </c>
      <c r="W46" s="74" t="e">
        <f t="shared" si="16"/>
        <v>#N/A</v>
      </c>
      <c r="X46" s="74" t="e">
        <f t="shared" si="17"/>
        <v>#N/A</v>
      </c>
      <c r="Y46" s="74" t="e">
        <f t="shared" si="18"/>
        <v>#N/A</v>
      </c>
    </row>
    <row r="47" spans="1:25">
      <c r="A47" s="88">
        <f>'Batch input'!A46</f>
        <v>0</v>
      </c>
      <c r="B47">
        <f>'Batch input'!B46</f>
        <v>0</v>
      </c>
      <c r="C47" t="e">
        <f>VLOOKUP($A47,Data!$D$3:$CJ$128,30,FALSE)</f>
        <v>#N/A</v>
      </c>
      <c r="D47" s="74" t="e">
        <f>VLOOKUP($A47,Data!$D$3:$CJ$128,64,FALSE)</f>
        <v>#N/A</v>
      </c>
      <c r="E47" s="74" t="e">
        <f>VLOOKUP($A47,Data!$D$3:$CJ$128,66,FALSE)</f>
        <v>#N/A</v>
      </c>
      <c r="F47" s="74" t="e">
        <f>VLOOKUP($A47,Data!$D$3:$CJ$128,67,FALSE)</f>
        <v>#N/A</v>
      </c>
      <c r="G47" s="78" t="e">
        <f>VLOOKUP($A47,Data!$D$3:$CJ$128,68,FALSE)</f>
        <v>#N/A</v>
      </c>
      <c r="H47" s="78" t="e">
        <f>VLOOKUP($A47,Data!$D$3:$CJ$128,69,FALSE)</f>
        <v>#N/A</v>
      </c>
      <c r="I47" s="74" t="e">
        <f>VLOOKUP($A47,Data!$D$3:$CJ$128,70,FALSE)</f>
        <v>#N/A</v>
      </c>
      <c r="J47" s="74" t="e">
        <f>VLOOKUP($A47,Data!$D$3:$CJ$128,71,FALSE)</f>
        <v>#N/A</v>
      </c>
      <c r="K47" s="74" t="e">
        <f>VLOOKUP($A47,Data!$D$3:$CJ$128,72,FALSE)</f>
        <v>#N/A</v>
      </c>
      <c r="L47" s="74" t="e">
        <f>VLOOKUP($A47,Data!$D$3:$CJ$128,73,FALSE)</f>
        <v>#N/A</v>
      </c>
      <c r="M47" s="74" t="e">
        <f>VLOOKUP($A47,Data!$D$3:$CJ$128,74,FALSE)</f>
        <v>#N/A</v>
      </c>
      <c r="N47" s="78" t="e">
        <f t="shared" si="7"/>
        <v>#N/A</v>
      </c>
      <c r="O47" s="78" t="e">
        <f t="shared" si="8"/>
        <v>#N/A</v>
      </c>
      <c r="P47" s="78" t="e">
        <f t="shared" si="9"/>
        <v>#N/A</v>
      </c>
      <c r="Q47" s="78" t="e">
        <f t="shared" si="10"/>
        <v>#N/A</v>
      </c>
      <c r="R47" s="78" t="e">
        <f t="shared" si="11"/>
        <v>#N/A</v>
      </c>
      <c r="S47" s="78" t="e">
        <f t="shared" si="12"/>
        <v>#N/A</v>
      </c>
      <c r="T47" s="74" t="e">
        <f t="shared" si="13"/>
        <v>#N/A</v>
      </c>
      <c r="U47" s="74" t="e">
        <f t="shared" si="14"/>
        <v>#N/A</v>
      </c>
      <c r="V47" s="74" t="e">
        <f t="shared" si="15"/>
        <v>#N/A</v>
      </c>
      <c r="W47" s="74" t="e">
        <f t="shared" si="16"/>
        <v>#N/A</v>
      </c>
      <c r="X47" s="74" t="e">
        <f t="shared" si="17"/>
        <v>#N/A</v>
      </c>
      <c r="Y47" s="74" t="e">
        <f t="shared" si="18"/>
        <v>#N/A</v>
      </c>
    </row>
    <row r="48" spans="1:25">
      <c r="A48" s="88">
        <f>'Batch input'!A47</f>
        <v>0</v>
      </c>
      <c r="B48">
        <f>'Batch input'!B47</f>
        <v>0</v>
      </c>
      <c r="C48" t="e">
        <f>VLOOKUP($A48,Data!$D$3:$CJ$128,30,FALSE)</f>
        <v>#N/A</v>
      </c>
      <c r="D48" s="74" t="e">
        <f>VLOOKUP($A48,Data!$D$3:$CJ$128,64,FALSE)</f>
        <v>#N/A</v>
      </c>
      <c r="E48" s="74" t="e">
        <f>VLOOKUP($A48,Data!$D$3:$CJ$128,66,FALSE)</f>
        <v>#N/A</v>
      </c>
      <c r="F48" s="74" t="e">
        <f>VLOOKUP($A48,Data!$D$3:$CJ$128,67,FALSE)</f>
        <v>#N/A</v>
      </c>
      <c r="G48" s="78" t="e">
        <f>VLOOKUP($A48,Data!$D$3:$CJ$128,68,FALSE)</f>
        <v>#N/A</v>
      </c>
      <c r="H48" s="78" t="e">
        <f>VLOOKUP($A48,Data!$D$3:$CJ$128,69,FALSE)</f>
        <v>#N/A</v>
      </c>
      <c r="I48" s="74" t="e">
        <f>VLOOKUP($A48,Data!$D$3:$CJ$128,70,FALSE)</f>
        <v>#N/A</v>
      </c>
      <c r="J48" s="74" t="e">
        <f>VLOOKUP($A48,Data!$D$3:$CJ$128,71,FALSE)</f>
        <v>#N/A</v>
      </c>
      <c r="K48" s="74" t="e">
        <f>VLOOKUP($A48,Data!$D$3:$CJ$128,72,FALSE)</f>
        <v>#N/A</v>
      </c>
      <c r="L48" s="74" t="e">
        <f>VLOOKUP($A48,Data!$D$3:$CJ$128,73,FALSE)</f>
        <v>#N/A</v>
      </c>
      <c r="M48" s="74" t="e">
        <f>VLOOKUP($A48,Data!$D$3:$CJ$128,74,FALSE)</f>
        <v>#N/A</v>
      </c>
      <c r="N48" s="78" t="e">
        <f t="shared" si="7"/>
        <v>#N/A</v>
      </c>
      <c r="O48" s="78" t="e">
        <f t="shared" si="8"/>
        <v>#N/A</v>
      </c>
      <c r="P48" s="78" t="e">
        <f t="shared" si="9"/>
        <v>#N/A</v>
      </c>
      <c r="Q48" s="78" t="e">
        <f t="shared" si="10"/>
        <v>#N/A</v>
      </c>
      <c r="R48" s="78" t="e">
        <f t="shared" si="11"/>
        <v>#N/A</v>
      </c>
      <c r="S48" s="78" t="e">
        <f t="shared" si="12"/>
        <v>#N/A</v>
      </c>
      <c r="T48" s="74" t="e">
        <f t="shared" si="13"/>
        <v>#N/A</v>
      </c>
      <c r="U48" s="74" t="e">
        <f t="shared" si="14"/>
        <v>#N/A</v>
      </c>
      <c r="V48" s="74" t="e">
        <f t="shared" si="15"/>
        <v>#N/A</v>
      </c>
      <c r="W48" s="74" t="e">
        <f t="shared" si="16"/>
        <v>#N/A</v>
      </c>
      <c r="X48" s="74" t="e">
        <f t="shared" si="17"/>
        <v>#N/A</v>
      </c>
      <c r="Y48" s="74" t="e">
        <f t="shared" si="18"/>
        <v>#N/A</v>
      </c>
    </row>
    <row r="49" spans="1:25">
      <c r="A49" s="88">
        <f>'Batch input'!A48</f>
        <v>0</v>
      </c>
      <c r="B49">
        <f>'Batch input'!B48</f>
        <v>0</v>
      </c>
      <c r="C49" t="e">
        <f>VLOOKUP($A49,Data!$D$3:$CJ$128,30,FALSE)</f>
        <v>#N/A</v>
      </c>
      <c r="D49" s="74" t="e">
        <f>VLOOKUP($A49,Data!$D$3:$CJ$128,64,FALSE)</f>
        <v>#N/A</v>
      </c>
      <c r="E49" s="74" t="e">
        <f>VLOOKUP($A49,Data!$D$3:$CJ$128,66,FALSE)</f>
        <v>#N/A</v>
      </c>
      <c r="F49" s="74" t="e">
        <f>VLOOKUP($A49,Data!$D$3:$CJ$128,67,FALSE)</f>
        <v>#N/A</v>
      </c>
      <c r="G49" s="78" t="e">
        <f>VLOOKUP($A49,Data!$D$3:$CJ$128,68,FALSE)</f>
        <v>#N/A</v>
      </c>
      <c r="H49" s="78" t="e">
        <f>VLOOKUP($A49,Data!$D$3:$CJ$128,69,FALSE)</f>
        <v>#N/A</v>
      </c>
      <c r="I49" s="74" t="e">
        <f>VLOOKUP($A49,Data!$D$3:$CJ$128,70,FALSE)</f>
        <v>#N/A</v>
      </c>
      <c r="J49" s="74" t="e">
        <f>VLOOKUP($A49,Data!$D$3:$CJ$128,71,FALSE)</f>
        <v>#N/A</v>
      </c>
      <c r="K49" s="74" t="e">
        <f>VLOOKUP($A49,Data!$D$3:$CJ$128,72,FALSE)</f>
        <v>#N/A</v>
      </c>
      <c r="L49" s="74" t="e">
        <f>VLOOKUP($A49,Data!$D$3:$CJ$128,73,FALSE)</f>
        <v>#N/A</v>
      </c>
      <c r="M49" s="74" t="e">
        <f>VLOOKUP($A49,Data!$D$3:$CJ$128,74,FALSE)</f>
        <v>#N/A</v>
      </c>
      <c r="N49" s="78" t="e">
        <f t="shared" si="7"/>
        <v>#N/A</v>
      </c>
      <c r="O49" s="78" t="e">
        <f t="shared" si="8"/>
        <v>#N/A</v>
      </c>
      <c r="P49" s="78" t="e">
        <f t="shared" si="9"/>
        <v>#N/A</v>
      </c>
      <c r="Q49" s="78" t="e">
        <f t="shared" si="10"/>
        <v>#N/A</v>
      </c>
      <c r="R49" s="78" t="e">
        <f t="shared" si="11"/>
        <v>#N/A</v>
      </c>
      <c r="S49" s="78" t="e">
        <f t="shared" si="12"/>
        <v>#N/A</v>
      </c>
      <c r="T49" s="74" t="e">
        <f t="shared" si="13"/>
        <v>#N/A</v>
      </c>
      <c r="U49" s="74" t="e">
        <f t="shared" si="14"/>
        <v>#N/A</v>
      </c>
      <c r="V49" s="74" t="e">
        <f t="shared" si="15"/>
        <v>#N/A</v>
      </c>
      <c r="W49" s="74" t="e">
        <f t="shared" si="16"/>
        <v>#N/A</v>
      </c>
      <c r="X49" s="74" t="e">
        <f t="shared" si="17"/>
        <v>#N/A</v>
      </c>
      <c r="Y49" s="74" t="e">
        <f t="shared" si="18"/>
        <v>#N/A</v>
      </c>
    </row>
    <row r="50" spans="1:25">
      <c r="A50" s="88">
        <f>'Batch input'!A49</f>
        <v>0</v>
      </c>
      <c r="B50">
        <f>'Batch input'!B49</f>
        <v>0</v>
      </c>
      <c r="C50" t="e">
        <f>VLOOKUP($A50,Data!$D$3:$CJ$128,30,FALSE)</f>
        <v>#N/A</v>
      </c>
      <c r="D50" s="74" t="e">
        <f>VLOOKUP($A50,Data!$D$3:$CJ$128,64,FALSE)</f>
        <v>#N/A</v>
      </c>
      <c r="E50" s="74" t="e">
        <f>VLOOKUP($A50,Data!$D$3:$CJ$128,66,FALSE)</f>
        <v>#N/A</v>
      </c>
      <c r="F50" s="74" t="e">
        <f>VLOOKUP($A50,Data!$D$3:$CJ$128,67,FALSE)</f>
        <v>#N/A</v>
      </c>
      <c r="G50" s="78" t="e">
        <f>VLOOKUP($A50,Data!$D$3:$CJ$128,68,FALSE)</f>
        <v>#N/A</v>
      </c>
      <c r="H50" s="78" t="e">
        <f>VLOOKUP($A50,Data!$D$3:$CJ$128,69,FALSE)</f>
        <v>#N/A</v>
      </c>
      <c r="I50" s="74" t="e">
        <f>VLOOKUP($A50,Data!$D$3:$CJ$128,70,FALSE)</f>
        <v>#N/A</v>
      </c>
      <c r="J50" s="74" t="e">
        <f>VLOOKUP($A50,Data!$D$3:$CJ$128,71,FALSE)</f>
        <v>#N/A</v>
      </c>
      <c r="K50" s="74" t="e">
        <f>VLOOKUP($A50,Data!$D$3:$CJ$128,72,FALSE)</f>
        <v>#N/A</v>
      </c>
      <c r="L50" s="74" t="e">
        <f>VLOOKUP($A50,Data!$D$3:$CJ$128,73,FALSE)</f>
        <v>#N/A</v>
      </c>
      <c r="M50" s="74" t="e">
        <f>VLOOKUP($A50,Data!$D$3:$CJ$128,74,FALSE)</f>
        <v>#N/A</v>
      </c>
      <c r="N50" s="78" t="e">
        <f t="shared" si="7"/>
        <v>#N/A</v>
      </c>
      <c r="O50" s="78" t="e">
        <f t="shared" si="8"/>
        <v>#N/A</v>
      </c>
      <c r="P50" s="78" t="e">
        <f t="shared" si="9"/>
        <v>#N/A</v>
      </c>
      <c r="Q50" s="78" t="e">
        <f t="shared" si="10"/>
        <v>#N/A</v>
      </c>
      <c r="R50" s="78" t="e">
        <f t="shared" si="11"/>
        <v>#N/A</v>
      </c>
      <c r="S50" s="78" t="e">
        <f t="shared" si="12"/>
        <v>#N/A</v>
      </c>
      <c r="T50" s="74" t="e">
        <f t="shared" si="13"/>
        <v>#N/A</v>
      </c>
      <c r="U50" s="74" t="e">
        <f t="shared" si="14"/>
        <v>#N/A</v>
      </c>
      <c r="V50" s="74" t="e">
        <f t="shared" si="15"/>
        <v>#N/A</v>
      </c>
      <c r="W50" s="74" t="e">
        <f t="shared" si="16"/>
        <v>#N/A</v>
      </c>
      <c r="X50" s="74" t="e">
        <f t="shared" si="17"/>
        <v>#N/A</v>
      </c>
      <c r="Y50" s="74" t="e">
        <f t="shared" si="18"/>
        <v>#N/A</v>
      </c>
    </row>
    <row r="51" spans="1:25">
      <c r="A51" s="88">
        <f>'Batch input'!A50</f>
        <v>0</v>
      </c>
      <c r="B51">
        <f>'Batch input'!B50</f>
        <v>0</v>
      </c>
      <c r="C51" t="e">
        <f>VLOOKUP($A51,Data!$D$3:$CJ$128,30,FALSE)</f>
        <v>#N/A</v>
      </c>
      <c r="D51" s="74" t="e">
        <f>VLOOKUP($A51,Data!$D$3:$CJ$128,64,FALSE)</f>
        <v>#N/A</v>
      </c>
      <c r="E51" s="74" t="e">
        <f>VLOOKUP($A51,Data!$D$3:$CJ$128,66,FALSE)</f>
        <v>#N/A</v>
      </c>
      <c r="F51" s="74" t="e">
        <f>VLOOKUP($A51,Data!$D$3:$CJ$128,67,FALSE)</f>
        <v>#N/A</v>
      </c>
      <c r="G51" s="78" t="e">
        <f>VLOOKUP($A51,Data!$D$3:$CJ$128,68,FALSE)</f>
        <v>#N/A</v>
      </c>
      <c r="H51" s="78" t="e">
        <f>VLOOKUP($A51,Data!$D$3:$CJ$128,69,FALSE)</f>
        <v>#N/A</v>
      </c>
      <c r="I51" s="74" t="e">
        <f>VLOOKUP($A51,Data!$D$3:$CJ$128,70,FALSE)</f>
        <v>#N/A</v>
      </c>
      <c r="J51" s="74" t="e">
        <f>VLOOKUP($A51,Data!$D$3:$CJ$128,71,FALSE)</f>
        <v>#N/A</v>
      </c>
      <c r="K51" s="74" t="e">
        <f>VLOOKUP($A51,Data!$D$3:$CJ$128,72,FALSE)</f>
        <v>#N/A</v>
      </c>
      <c r="L51" s="74" t="e">
        <f>VLOOKUP($A51,Data!$D$3:$CJ$128,73,FALSE)</f>
        <v>#N/A</v>
      </c>
      <c r="M51" s="74" t="e">
        <f>VLOOKUP($A51,Data!$D$3:$CJ$128,74,FALSE)</f>
        <v>#N/A</v>
      </c>
      <c r="N51" s="78" t="e">
        <f t="shared" si="7"/>
        <v>#N/A</v>
      </c>
      <c r="O51" s="78" t="e">
        <f t="shared" si="8"/>
        <v>#N/A</v>
      </c>
      <c r="P51" s="78" t="e">
        <f t="shared" si="9"/>
        <v>#N/A</v>
      </c>
      <c r="Q51" s="78" t="e">
        <f t="shared" si="10"/>
        <v>#N/A</v>
      </c>
      <c r="R51" s="78" t="e">
        <f t="shared" si="11"/>
        <v>#N/A</v>
      </c>
      <c r="S51" s="78" t="e">
        <f t="shared" si="12"/>
        <v>#N/A</v>
      </c>
      <c r="T51" s="74" t="e">
        <f t="shared" si="13"/>
        <v>#N/A</v>
      </c>
      <c r="U51" s="74" t="e">
        <f t="shared" si="14"/>
        <v>#N/A</v>
      </c>
      <c r="V51" s="74" t="e">
        <f t="shared" si="15"/>
        <v>#N/A</v>
      </c>
      <c r="W51" s="74" t="e">
        <f t="shared" si="16"/>
        <v>#N/A</v>
      </c>
      <c r="X51" s="74" t="e">
        <f t="shared" si="17"/>
        <v>#N/A</v>
      </c>
      <c r="Y51" s="74" t="e">
        <f t="shared" si="18"/>
        <v>#N/A</v>
      </c>
    </row>
    <row r="52" spans="1:25">
      <c r="A52" s="88">
        <f>'Batch input'!A51</f>
        <v>0</v>
      </c>
      <c r="B52">
        <f>'Batch input'!B51</f>
        <v>0</v>
      </c>
      <c r="C52" t="e">
        <f>VLOOKUP($A52,Data!$D$3:$CJ$128,30,FALSE)</f>
        <v>#N/A</v>
      </c>
      <c r="D52" s="74" t="e">
        <f>VLOOKUP($A52,Data!$D$3:$CJ$128,64,FALSE)</f>
        <v>#N/A</v>
      </c>
      <c r="E52" s="74" t="e">
        <f>VLOOKUP($A52,Data!$D$3:$CJ$128,66,FALSE)</f>
        <v>#N/A</v>
      </c>
      <c r="F52" s="74" t="e">
        <f>VLOOKUP($A52,Data!$D$3:$CJ$128,67,FALSE)</f>
        <v>#N/A</v>
      </c>
      <c r="G52" s="78" t="e">
        <f>VLOOKUP($A52,Data!$D$3:$CJ$128,68,FALSE)</f>
        <v>#N/A</v>
      </c>
      <c r="H52" s="78" t="e">
        <f>VLOOKUP($A52,Data!$D$3:$CJ$128,69,FALSE)</f>
        <v>#N/A</v>
      </c>
      <c r="I52" s="74" t="e">
        <f>VLOOKUP($A52,Data!$D$3:$CJ$128,70,FALSE)</f>
        <v>#N/A</v>
      </c>
      <c r="J52" s="74" t="e">
        <f>VLOOKUP($A52,Data!$D$3:$CJ$128,71,FALSE)</f>
        <v>#N/A</v>
      </c>
      <c r="K52" s="74" t="e">
        <f>VLOOKUP($A52,Data!$D$3:$CJ$128,72,FALSE)</f>
        <v>#N/A</v>
      </c>
      <c r="L52" s="74" t="e">
        <f>VLOOKUP($A52,Data!$D$3:$CJ$128,73,FALSE)</f>
        <v>#N/A</v>
      </c>
      <c r="M52" s="74" t="e">
        <f>VLOOKUP($A52,Data!$D$3:$CJ$128,74,FALSE)</f>
        <v>#N/A</v>
      </c>
      <c r="N52" s="78" t="e">
        <f t="shared" si="7"/>
        <v>#N/A</v>
      </c>
      <c r="O52" s="78" t="e">
        <f t="shared" si="8"/>
        <v>#N/A</v>
      </c>
      <c r="P52" s="78" t="e">
        <f t="shared" si="9"/>
        <v>#N/A</v>
      </c>
      <c r="Q52" s="78" t="e">
        <f t="shared" si="10"/>
        <v>#N/A</v>
      </c>
      <c r="R52" s="78" t="e">
        <f t="shared" si="11"/>
        <v>#N/A</v>
      </c>
      <c r="S52" s="78" t="e">
        <f t="shared" si="12"/>
        <v>#N/A</v>
      </c>
      <c r="T52" s="74" t="e">
        <f t="shared" si="13"/>
        <v>#N/A</v>
      </c>
      <c r="U52" s="74" t="e">
        <f t="shared" si="14"/>
        <v>#N/A</v>
      </c>
      <c r="V52" s="74" t="e">
        <f t="shared" si="15"/>
        <v>#N/A</v>
      </c>
      <c r="W52" s="74" t="e">
        <f t="shared" si="16"/>
        <v>#N/A</v>
      </c>
      <c r="X52" s="74" t="e">
        <f t="shared" si="17"/>
        <v>#N/A</v>
      </c>
      <c r="Y52" s="74" t="e">
        <f t="shared" si="18"/>
        <v>#N/A</v>
      </c>
    </row>
    <row r="53" spans="1:25">
      <c r="A53" s="88">
        <f>'Batch input'!A52</f>
        <v>0</v>
      </c>
      <c r="B53">
        <f>'Batch input'!B52</f>
        <v>0</v>
      </c>
      <c r="C53" t="e">
        <f>VLOOKUP($A53,Data!$D$3:$CJ$128,30,FALSE)</f>
        <v>#N/A</v>
      </c>
      <c r="D53" s="74" t="e">
        <f>VLOOKUP($A53,Data!$D$3:$CJ$128,64,FALSE)</f>
        <v>#N/A</v>
      </c>
      <c r="E53" s="74" t="e">
        <f>VLOOKUP($A53,Data!$D$3:$CJ$128,66,FALSE)</f>
        <v>#N/A</v>
      </c>
      <c r="F53" s="74" t="e">
        <f>VLOOKUP($A53,Data!$D$3:$CJ$128,67,FALSE)</f>
        <v>#N/A</v>
      </c>
      <c r="G53" s="78" t="e">
        <f>VLOOKUP($A53,Data!$D$3:$CJ$128,68,FALSE)</f>
        <v>#N/A</v>
      </c>
      <c r="H53" s="78" t="e">
        <f>VLOOKUP($A53,Data!$D$3:$CJ$128,69,FALSE)</f>
        <v>#N/A</v>
      </c>
      <c r="I53" s="74" t="e">
        <f>VLOOKUP($A53,Data!$D$3:$CJ$128,70,FALSE)</f>
        <v>#N/A</v>
      </c>
      <c r="J53" s="74" t="e">
        <f>VLOOKUP($A53,Data!$D$3:$CJ$128,71,FALSE)</f>
        <v>#N/A</v>
      </c>
      <c r="K53" s="74" t="e">
        <f>VLOOKUP($A53,Data!$D$3:$CJ$128,72,FALSE)</f>
        <v>#N/A</v>
      </c>
      <c r="L53" s="74" t="e">
        <f>VLOOKUP($A53,Data!$D$3:$CJ$128,73,FALSE)</f>
        <v>#N/A</v>
      </c>
      <c r="M53" s="74" t="e">
        <f>VLOOKUP($A53,Data!$D$3:$CJ$128,74,FALSE)</f>
        <v>#N/A</v>
      </c>
      <c r="N53" s="78" t="e">
        <f t="shared" si="7"/>
        <v>#N/A</v>
      </c>
      <c r="O53" s="78" t="e">
        <f t="shared" si="8"/>
        <v>#N/A</v>
      </c>
      <c r="P53" s="78" t="e">
        <f t="shared" si="9"/>
        <v>#N/A</v>
      </c>
      <c r="Q53" s="78" t="e">
        <f t="shared" si="10"/>
        <v>#N/A</v>
      </c>
      <c r="R53" s="78" t="e">
        <f t="shared" si="11"/>
        <v>#N/A</v>
      </c>
      <c r="S53" s="78" t="e">
        <f t="shared" si="12"/>
        <v>#N/A</v>
      </c>
      <c r="T53" s="74" t="e">
        <f t="shared" si="13"/>
        <v>#N/A</v>
      </c>
      <c r="U53" s="74" t="e">
        <f t="shared" si="14"/>
        <v>#N/A</v>
      </c>
      <c r="V53" s="74" t="e">
        <f t="shared" si="15"/>
        <v>#N/A</v>
      </c>
      <c r="W53" s="74" t="e">
        <f t="shared" si="16"/>
        <v>#N/A</v>
      </c>
      <c r="X53" s="74" t="e">
        <f t="shared" si="17"/>
        <v>#N/A</v>
      </c>
      <c r="Y53" s="74" t="e">
        <f t="shared" si="18"/>
        <v>#N/A</v>
      </c>
    </row>
    <row r="54" spans="1:25">
      <c r="A54" s="88">
        <f>'Batch input'!A53</f>
        <v>0</v>
      </c>
      <c r="B54">
        <f>'Batch input'!B53</f>
        <v>0</v>
      </c>
      <c r="C54" t="e">
        <f>VLOOKUP($A54,Data!$D$3:$CJ$128,30,FALSE)</f>
        <v>#N/A</v>
      </c>
      <c r="D54" s="74" t="e">
        <f>VLOOKUP($A54,Data!$D$3:$CJ$128,64,FALSE)</f>
        <v>#N/A</v>
      </c>
      <c r="E54" s="74" t="e">
        <f>VLOOKUP($A54,Data!$D$3:$CJ$128,66,FALSE)</f>
        <v>#N/A</v>
      </c>
      <c r="F54" s="74" t="e">
        <f>VLOOKUP($A54,Data!$D$3:$CJ$128,67,FALSE)</f>
        <v>#N/A</v>
      </c>
      <c r="G54" s="78" t="e">
        <f>VLOOKUP($A54,Data!$D$3:$CJ$128,68,FALSE)</f>
        <v>#N/A</v>
      </c>
      <c r="H54" s="78" t="e">
        <f>VLOOKUP($A54,Data!$D$3:$CJ$128,69,FALSE)</f>
        <v>#N/A</v>
      </c>
      <c r="I54" s="74" t="e">
        <f>VLOOKUP($A54,Data!$D$3:$CJ$128,70,FALSE)</f>
        <v>#N/A</v>
      </c>
      <c r="J54" s="74" t="e">
        <f>VLOOKUP($A54,Data!$D$3:$CJ$128,71,FALSE)</f>
        <v>#N/A</v>
      </c>
      <c r="K54" s="74" t="e">
        <f>VLOOKUP($A54,Data!$D$3:$CJ$128,72,FALSE)</f>
        <v>#N/A</v>
      </c>
      <c r="L54" s="74" t="e">
        <f>VLOOKUP($A54,Data!$D$3:$CJ$128,73,FALSE)</f>
        <v>#N/A</v>
      </c>
      <c r="M54" s="74" t="e">
        <f>VLOOKUP($A54,Data!$D$3:$CJ$128,74,FALSE)</f>
        <v>#N/A</v>
      </c>
      <c r="N54" s="78" t="e">
        <f t="shared" si="7"/>
        <v>#N/A</v>
      </c>
      <c r="O54" s="78" t="e">
        <f t="shared" si="8"/>
        <v>#N/A</v>
      </c>
      <c r="P54" s="78" t="e">
        <f t="shared" si="9"/>
        <v>#N/A</v>
      </c>
      <c r="Q54" s="78" t="e">
        <f t="shared" si="10"/>
        <v>#N/A</v>
      </c>
      <c r="R54" s="78" t="e">
        <f t="shared" si="11"/>
        <v>#N/A</v>
      </c>
      <c r="S54" s="78" t="e">
        <f t="shared" si="12"/>
        <v>#N/A</v>
      </c>
      <c r="T54" s="74" t="e">
        <f t="shared" si="13"/>
        <v>#N/A</v>
      </c>
      <c r="U54" s="74" t="e">
        <f t="shared" si="14"/>
        <v>#N/A</v>
      </c>
      <c r="V54" s="74" t="e">
        <f t="shared" si="15"/>
        <v>#N/A</v>
      </c>
      <c r="W54" s="74" t="e">
        <f t="shared" si="16"/>
        <v>#N/A</v>
      </c>
      <c r="X54" s="74" t="e">
        <f t="shared" si="17"/>
        <v>#N/A</v>
      </c>
      <c r="Y54" s="74" t="e">
        <f t="shared" si="18"/>
        <v>#N/A</v>
      </c>
    </row>
    <row r="55" spans="1:25">
      <c r="A55" s="88">
        <f>'Batch input'!A54</f>
        <v>0</v>
      </c>
      <c r="B55">
        <f>'Batch input'!B54</f>
        <v>0</v>
      </c>
      <c r="C55" t="e">
        <f>VLOOKUP($A55,Data!$D$3:$CJ$128,30,FALSE)</f>
        <v>#N/A</v>
      </c>
      <c r="D55" s="74" t="e">
        <f>VLOOKUP($A55,Data!$D$3:$CJ$128,64,FALSE)</f>
        <v>#N/A</v>
      </c>
      <c r="E55" s="74" t="e">
        <f>VLOOKUP($A55,Data!$D$3:$CJ$128,66,FALSE)</f>
        <v>#N/A</v>
      </c>
      <c r="F55" s="74" t="e">
        <f>VLOOKUP($A55,Data!$D$3:$CJ$128,67,FALSE)</f>
        <v>#N/A</v>
      </c>
      <c r="G55" s="78" t="e">
        <f>VLOOKUP($A55,Data!$D$3:$CJ$128,68,FALSE)</f>
        <v>#N/A</v>
      </c>
      <c r="H55" s="78" t="e">
        <f>VLOOKUP($A55,Data!$D$3:$CJ$128,69,FALSE)</f>
        <v>#N/A</v>
      </c>
      <c r="I55" s="74" t="e">
        <f>VLOOKUP($A55,Data!$D$3:$CJ$128,70,FALSE)</f>
        <v>#N/A</v>
      </c>
      <c r="J55" s="74" t="e">
        <f>VLOOKUP($A55,Data!$D$3:$CJ$128,71,FALSE)</f>
        <v>#N/A</v>
      </c>
      <c r="K55" s="74" t="e">
        <f>VLOOKUP($A55,Data!$D$3:$CJ$128,72,FALSE)</f>
        <v>#N/A</v>
      </c>
      <c r="L55" s="74" t="e">
        <f>VLOOKUP($A55,Data!$D$3:$CJ$128,73,FALSE)</f>
        <v>#N/A</v>
      </c>
      <c r="M55" s="74" t="e">
        <f>VLOOKUP($A55,Data!$D$3:$CJ$128,74,FALSE)</f>
        <v>#N/A</v>
      </c>
      <c r="N55" s="78" t="e">
        <f t="shared" si="7"/>
        <v>#N/A</v>
      </c>
      <c r="O55" s="78" t="e">
        <f t="shared" si="8"/>
        <v>#N/A</v>
      </c>
      <c r="P55" s="78" t="e">
        <f t="shared" si="9"/>
        <v>#N/A</v>
      </c>
      <c r="Q55" s="78" t="e">
        <f t="shared" si="10"/>
        <v>#N/A</v>
      </c>
      <c r="R55" s="78" t="e">
        <f t="shared" si="11"/>
        <v>#N/A</v>
      </c>
      <c r="S55" s="78" t="e">
        <f t="shared" si="12"/>
        <v>#N/A</v>
      </c>
      <c r="T55" s="74" t="e">
        <f t="shared" si="13"/>
        <v>#N/A</v>
      </c>
      <c r="U55" s="74" t="e">
        <f t="shared" si="14"/>
        <v>#N/A</v>
      </c>
      <c r="V55" s="74" t="e">
        <f t="shared" si="15"/>
        <v>#N/A</v>
      </c>
      <c r="W55" s="74" t="e">
        <f t="shared" si="16"/>
        <v>#N/A</v>
      </c>
      <c r="X55" s="74" t="e">
        <f t="shared" si="17"/>
        <v>#N/A</v>
      </c>
      <c r="Y55" s="74" t="e">
        <f t="shared" si="18"/>
        <v>#N/A</v>
      </c>
    </row>
    <row r="56" spans="1:25">
      <c r="A56" s="88">
        <f>'Batch input'!A55</f>
        <v>0</v>
      </c>
      <c r="B56">
        <f>'Batch input'!B55</f>
        <v>0</v>
      </c>
      <c r="C56" t="e">
        <f>VLOOKUP($A56,Data!$D$3:$CJ$128,30,FALSE)</f>
        <v>#N/A</v>
      </c>
      <c r="D56" s="74" t="e">
        <f>VLOOKUP($A56,Data!$D$3:$CJ$128,64,FALSE)</f>
        <v>#N/A</v>
      </c>
      <c r="E56" s="74" t="e">
        <f>VLOOKUP($A56,Data!$D$3:$CJ$128,66,FALSE)</f>
        <v>#N/A</v>
      </c>
      <c r="F56" s="74" t="e">
        <f>VLOOKUP($A56,Data!$D$3:$CJ$128,67,FALSE)</f>
        <v>#N/A</v>
      </c>
      <c r="G56" s="78" t="e">
        <f>VLOOKUP($A56,Data!$D$3:$CJ$128,68,FALSE)</f>
        <v>#N/A</v>
      </c>
      <c r="H56" s="78" t="e">
        <f>VLOOKUP($A56,Data!$D$3:$CJ$128,69,FALSE)</f>
        <v>#N/A</v>
      </c>
      <c r="I56" s="74" t="e">
        <f>VLOOKUP($A56,Data!$D$3:$CJ$128,70,FALSE)</f>
        <v>#N/A</v>
      </c>
      <c r="J56" s="74" t="e">
        <f>VLOOKUP($A56,Data!$D$3:$CJ$128,71,FALSE)</f>
        <v>#N/A</v>
      </c>
      <c r="K56" s="74" t="e">
        <f>VLOOKUP($A56,Data!$D$3:$CJ$128,72,FALSE)</f>
        <v>#N/A</v>
      </c>
      <c r="L56" s="74" t="e">
        <f>VLOOKUP($A56,Data!$D$3:$CJ$128,73,FALSE)</f>
        <v>#N/A</v>
      </c>
      <c r="M56" s="74" t="e">
        <f>VLOOKUP($A56,Data!$D$3:$CJ$128,74,FALSE)</f>
        <v>#N/A</v>
      </c>
      <c r="N56" s="78" t="e">
        <f t="shared" si="7"/>
        <v>#N/A</v>
      </c>
      <c r="O56" s="78" t="e">
        <f t="shared" si="8"/>
        <v>#N/A</v>
      </c>
      <c r="P56" s="78" t="e">
        <f t="shared" si="9"/>
        <v>#N/A</v>
      </c>
      <c r="Q56" s="78" t="e">
        <f t="shared" si="10"/>
        <v>#N/A</v>
      </c>
      <c r="R56" s="78" t="e">
        <f t="shared" si="11"/>
        <v>#N/A</v>
      </c>
      <c r="S56" s="78" t="e">
        <f t="shared" si="12"/>
        <v>#N/A</v>
      </c>
      <c r="T56" s="74" t="e">
        <f t="shared" si="13"/>
        <v>#N/A</v>
      </c>
      <c r="U56" s="74" t="e">
        <f t="shared" si="14"/>
        <v>#N/A</v>
      </c>
      <c r="V56" s="74" t="e">
        <f t="shared" si="15"/>
        <v>#N/A</v>
      </c>
      <c r="W56" s="74" t="e">
        <f t="shared" si="16"/>
        <v>#N/A</v>
      </c>
      <c r="X56" s="74" t="e">
        <f t="shared" si="17"/>
        <v>#N/A</v>
      </c>
      <c r="Y56" s="74" t="e">
        <f t="shared" si="18"/>
        <v>#N/A</v>
      </c>
    </row>
    <row r="57" spans="1:25">
      <c r="A57" s="88">
        <f>'Batch input'!A56</f>
        <v>0</v>
      </c>
      <c r="B57">
        <f>'Batch input'!B56</f>
        <v>0</v>
      </c>
      <c r="C57" t="e">
        <f>VLOOKUP($A57,Data!$D$3:$CJ$128,30,FALSE)</f>
        <v>#N/A</v>
      </c>
      <c r="D57" s="74" t="e">
        <f>VLOOKUP($A57,Data!$D$3:$CJ$128,64,FALSE)</f>
        <v>#N/A</v>
      </c>
      <c r="E57" s="74" t="e">
        <f>VLOOKUP($A57,Data!$D$3:$CJ$128,66,FALSE)</f>
        <v>#N/A</v>
      </c>
      <c r="F57" s="74" t="e">
        <f>VLOOKUP($A57,Data!$D$3:$CJ$128,67,FALSE)</f>
        <v>#N/A</v>
      </c>
      <c r="G57" s="78" t="e">
        <f>VLOOKUP($A57,Data!$D$3:$CJ$128,68,FALSE)</f>
        <v>#N/A</v>
      </c>
      <c r="H57" s="78" t="e">
        <f>VLOOKUP($A57,Data!$D$3:$CJ$128,69,FALSE)</f>
        <v>#N/A</v>
      </c>
      <c r="I57" s="74" t="e">
        <f>VLOOKUP($A57,Data!$D$3:$CJ$128,70,FALSE)</f>
        <v>#N/A</v>
      </c>
      <c r="J57" s="74" t="e">
        <f>VLOOKUP($A57,Data!$D$3:$CJ$128,71,FALSE)</f>
        <v>#N/A</v>
      </c>
      <c r="K57" s="74" t="e">
        <f>VLOOKUP($A57,Data!$D$3:$CJ$128,72,FALSE)</f>
        <v>#N/A</v>
      </c>
      <c r="L57" s="74" t="e">
        <f>VLOOKUP($A57,Data!$D$3:$CJ$128,73,FALSE)</f>
        <v>#N/A</v>
      </c>
      <c r="M57" s="74" t="e">
        <f>VLOOKUP($A57,Data!$D$3:$CJ$128,74,FALSE)</f>
        <v>#N/A</v>
      </c>
      <c r="N57" s="78" t="e">
        <f t="shared" si="7"/>
        <v>#N/A</v>
      </c>
      <c r="O57" s="78" t="e">
        <f t="shared" si="8"/>
        <v>#N/A</v>
      </c>
      <c r="P57" s="78" t="e">
        <f t="shared" si="9"/>
        <v>#N/A</v>
      </c>
      <c r="Q57" s="78" t="e">
        <f t="shared" si="10"/>
        <v>#N/A</v>
      </c>
      <c r="R57" s="78" t="e">
        <f t="shared" si="11"/>
        <v>#N/A</v>
      </c>
      <c r="S57" s="78" t="e">
        <f t="shared" si="12"/>
        <v>#N/A</v>
      </c>
      <c r="T57" s="74" t="e">
        <f t="shared" si="13"/>
        <v>#N/A</v>
      </c>
      <c r="U57" s="74" t="e">
        <f t="shared" si="14"/>
        <v>#N/A</v>
      </c>
      <c r="V57" s="74" t="e">
        <f t="shared" si="15"/>
        <v>#N/A</v>
      </c>
      <c r="W57" s="74" t="e">
        <f t="shared" si="16"/>
        <v>#N/A</v>
      </c>
      <c r="X57" s="74" t="e">
        <f t="shared" si="17"/>
        <v>#N/A</v>
      </c>
      <c r="Y57" s="74" t="e">
        <f t="shared" si="18"/>
        <v>#N/A</v>
      </c>
    </row>
    <row r="58" spans="1:25">
      <c r="A58" s="88">
        <f>'Batch input'!A57</f>
        <v>0</v>
      </c>
      <c r="B58">
        <f>'Batch input'!B57</f>
        <v>0</v>
      </c>
      <c r="C58" t="e">
        <f>VLOOKUP($A58,Data!$D$3:$CJ$128,30,FALSE)</f>
        <v>#N/A</v>
      </c>
      <c r="D58" s="74" t="e">
        <f>VLOOKUP($A58,Data!$D$3:$CJ$128,64,FALSE)</f>
        <v>#N/A</v>
      </c>
      <c r="E58" s="74" t="e">
        <f>VLOOKUP($A58,Data!$D$3:$CJ$128,66,FALSE)</f>
        <v>#N/A</v>
      </c>
      <c r="F58" s="74" t="e">
        <f>VLOOKUP($A58,Data!$D$3:$CJ$128,67,FALSE)</f>
        <v>#N/A</v>
      </c>
      <c r="G58" s="78" t="e">
        <f>VLOOKUP($A58,Data!$D$3:$CJ$128,68,FALSE)</f>
        <v>#N/A</v>
      </c>
      <c r="H58" s="78" t="e">
        <f>VLOOKUP($A58,Data!$D$3:$CJ$128,69,FALSE)</f>
        <v>#N/A</v>
      </c>
      <c r="I58" s="74" t="e">
        <f>VLOOKUP($A58,Data!$D$3:$CJ$128,70,FALSE)</f>
        <v>#N/A</v>
      </c>
      <c r="J58" s="74" t="e">
        <f>VLOOKUP($A58,Data!$D$3:$CJ$128,71,FALSE)</f>
        <v>#N/A</v>
      </c>
      <c r="K58" s="74" t="e">
        <f>VLOOKUP($A58,Data!$D$3:$CJ$128,72,FALSE)</f>
        <v>#N/A</v>
      </c>
      <c r="L58" s="74" t="e">
        <f>VLOOKUP($A58,Data!$D$3:$CJ$128,73,FALSE)</f>
        <v>#N/A</v>
      </c>
      <c r="M58" s="74" t="e">
        <f>VLOOKUP($A58,Data!$D$3:$CJ$128,74,FALSE)</f>
        <v>#N/A</v>
      </c>
      <c r="N58" s="78" t="e">
        <f t="shared" si="7"/>
        <v>#N/A</v>
      </c>
      <c r="O58" s="78" t="e">
        <f t="shared" si="8"/>
        <v>#N/A</v>
      </c>
      <c r="P58" s="78" t="e">
        <f t="shared" si="9"/>
        <v>#N/A</v>
      </c>
      <c r="Q58" s="78" t="e">
        <f t="shared" si="10"/>
        <v>#N/A</v>
      </c>
      <c r="R58" s="78" t="e">
        <f t="shared" si="11"/>
        <v>#N/A</v>
      </c>
      <c r="S58" s="78" t="e">
        <f t="shared" si="12"/>
        <v>#N/A</v>
      </c>
      <c r="T58" s="74" t="e">
        <f t="shared" si="13"/>
        <v>#N/A</v>
      </c>
      <c r="U58" s="74" t="e">
        <f t="shared" si="14"/>
        <v>#N/A</v>
      </c>
      <c r="V58" s="74" t="e">
        <f t="shared" si="15"/>
        <v>#N/A</v>
      </c>
      <c r="W58" s="74" t="e">
        <f t="shared" si="16"/>
        <v>#N/A</v>
      </c>
      <c r="X58" s="74" t="e">
        <f t="shared" si="17"/>
        <v>#N/A</v>
      </c>
      <c r="Y58" s="74" t="e">
        <f t="shared" si="18"/>
        <v>#N/A</v>
      </c>
    </row>
    <row r="59" spans="1:25">
      <c r="A59" s="88">
        <f>'Batch input'!A58</f>
        <v>0</v>
      </c>
      <c r="B59">
        <f>'Batch input'!B58</f>
        <v>0</v>
      </c>
      <c r="C59" t="e">
        <f>VLOOKUP($A59,Data!$D$3:$CJ$128,30,FALSE)</f>
        <v>#N/A</v>
      </c>
      <c r="D59" s="74" t="e">
        <f>VLOOKUP($A59,Data!$D$3:$CJ$128,64,FALSE)</f>
        <v>#N/A</v>
      </c>
      <c r="E59" s="74" t="e">
        <f>VLOOKUP($A59,Data!$D$3:$CJ$128,66,FALSE)</f>
        <v>#N/A</v>
      </c>
      <c r="F59" s="74" t="e">
        <f>VLOOKUP($A59,Data!$D$3:$CJ$128,67,FALSE)</f>
        <v>#N/A</v>
      </c>
      <c r="G59" s="78" t="e">
        <f>VLOOKUP($A59,Data!$D$3:$CJ$128,68,FALSE)</f>
        <v>#N/A</v>
      </c>
      <c r="H59" s="78" t="e">
        <f>VLOOKUP($A59,Data!$D$3:$CJ$128,69,FALSE)</f>
        <v>#N/A</v>
      </c>
      <c r="I59" s="74" t="e">
        <f>VLOOKUP($A59,Data!$D$3:$CJ$128,70,FALSE)</f>
        <v>#N/A</v>
      </c>
      <c r="J59" s="74" t="e">
        <f>VLOOKUP($A59,Data!$D$3:$CJ$128,71,FALSE)</f>
        <v>#N/A</v>
      </c>
      <c r="K59" s="74" t="e">
        <f>VLOOKUP($A59,Data!$D$3:$CJ$128,72,FALSE)</f>
        <v>#N/A</v>
      </c>
      <c r="L59" s="74" t="e">
        <f>VLOOKUP($A59,Data!$D$3:$CJ$128,73,FALSE)</f>
        <v>#N/A</v>
      </c>
      <c r="M59" s="74" t="e">
        <f>VLOOKUP($A59,Data!$D$3:$CJ$128,74,FALSE)</f>
        <v>#N/A</v>
      </c>
      <c r="N59" s="78" t="e">
        <f t="shared" si="7"/>
        <v>#N/A</v>
      </c>
      <c r="O59" s="78" t="e">
        <f t="shared" si="8"/>
        <v>#N/A</v>
      </c>
      <c r="P59" s="78" t="e">
        <f t="shared" si="9"/>
        <v>#N/A</v>
      </c>
      <c r="Q59" s="78" t="e">
        <f t="shared" si="10"/>
        <v>#N/A</v>
      </c>
      <c r="R59" s="78" t="e">
        <f t="shared" si="11"/>
        <v>#N/A</v>
      </c>
      <c r="S59" s="78" t="e">
        <f t="shared" si="12"/>
        <v>#N/A</v>
      </c>
      <c r="T59" s="74" t="e">
        <f t="shared" si="13"/>
        <v>#N/A</v>
      </c>
      <c r="U59" s="74" t="e">
        <f t="shared" si="14"/>
        <v>#N/A</v>
      </c>
      <c r="V59" s="74" t="e">
        <f t="shared" si="15"/>
        <v>#N/A</v>
      </c>
      <c r="W59" s="74" t="e">
        <f t="shared" si="16"/>
        <v>#N/A</v>
      </c>
      <c r="X59" s="74" t="e">
        <f t="shared" si="17"/>
        <v>#N/A</v>
      </c>
      <c r="Y59" s="74" t="e">
        <f t="shared" si="18"/>
        <v>#N/A</v>
      </c>
    </row>
    <row r="60" spans="1:25">
      <c r="A60" s="88">
        <f>'Batch input'!A59</f>
        <v>0</v>
      </c>
      <c r="B60">
        <f>'Batch input'!B59</f>
        <v>0</v>
      </c>
      <c r="C60" t="e">
        <f>VLOOKUP($A60,Data!$D$3:$CJ$128,30,FALSE)</f>
        <v>#N/A</v>
      </c>
      <c r="D60" s="74" t="e">
        <f>VLOOKUP($A60,Data!$D$3:$CJ$128,64,FALSE)</f>
        <v>#N/A</v>
      </c>
      <c r="E60" s="74" t="e">
        <f>VLOOKUP($A60,Data!$D$3:$CJ$128,66,FALSE)</f>
        <v>#N/A</v>
      </c>
      <c r="F60" s="74" t="e">
        <f>VLOOKUP($A60,Data!$D$3:$CJ$128,67,FALSE)</f>
        <v>#N/A</v>
      </c>
      <c r="G60" s="78" t="e">
        <f>VLOOKUP($A60,Data!$D$3:$CJ$128,68,FALSE)</f>
        <v>#N/A</v>
      </c>
      <c r="H60" s="78" t="e">
        <f>VLOOKUP($A60,Data!$D$3:$CJ$128,69,FALSE)</f>
        <v>#N/A</v>
      </c>
      <c r="I60" s="74" t="e">
        <f>VLOOKUP($A60,Data!$D$3:$CJ$128,70,FALSE)</f>
        <v>#N/A</v>
      </c>
      <c r="J60" s="74" t="e">
        <f>VLOOKUP($A60,Data!$D$3:$CJ$128,71,FALSE)</f>
        <v>#N/A</v>
      </c>
      <c r="K60" s="74" t="e">
        <f>VLOOKUP($A60,Data!$D$3:$CJ$128,72,FALSE)</f>
        <v>#N/A</v>
      </c>
      <c r="L60" s="74" t="e">
        <f>VLOOKUP($A60,Data!$D$3:$CJ$128,73,FALSE)</f>
        <v>#N/A</v>
      </c>
      <c r="M60" s="74" t="e">
        <f>VLOOKUP($A60,Data!$D$3:$CJ$128,74,FALSE)</f>
        <v>#N/A</v>
      </c>
      <c r="N60" s="78" t="e">
        <f t="shared" si="7"/>
        <v>#N/A</v>
      </c>
      <c r="O60" s="78" t="e">
        <f t="shared" si="8"/>
        <v>#N/A</v>
      </c>
      <c r="P60" s="78" t="e">
        <f t="shared" si="9"/>
        <v>#N/A</v>
      </c>
      <c r="Q60" s="78" t="e">
        <f t="shared" si="10"/>
        <v>#N/A</v>
      </c>
      <c r="R60" s="78" t="e">
        <f t="shared" si="11"/>
        <v>#N/A</v>
      </c>
      <c r="S60" s="78" t="e">
        <f t="shared" si="12"/>
        <v>#N/A</v>
      </c>
      <c r="T60" s="74" t="e">
        <f t="shared" si="13"/>
        <v>#N/A</v>
      </c>
      <c r="U60" s="74" t="e">
        <f t="shared" si="14"/>
        <v>#N/A</v>
      </c>
      <c r="V60" s="74" t="e">
        <f t="shared" si="15"/>
        <v>#N/A</v>
      </c>
      <c r="W60" s="74" t="e">
        <f t="shared" si="16"/>
        <v>#N/A</v>
      </c>
      <c r="X60" s="74" t="e">
        <f t="shared" si="17"/>
        <v>#N/A</v>
      </c>
      <c r="Y60" s="74" t="e">
        <f t="shared" si="18"/>
        <v>#N/A</v>
      </c>
    </row>
    <row r="61" spans="1:25">
      <c r="A61" s="88">
        <f>'Batch input'!A60</f>
        <v>0</v>
      </c>
      <c r="B61">
        <f>'Batch input'!B60</f>
        <v>0</v>
      </c>
      <c r="C61" t="e">
        <f>VLOOKUP($A61,Data!$D$3:$CJ$128,30,FALSE)</f>
        <v>#N/A</v>
      </c>
      <c r="D61" s="74" t="e">
        <f>VLOOKUP($A61,Data!$D$3:$CJ$128,64,FALSE)</f>
        <v>#N/A</v>
      </c>
      <c r="E61" s="74" t="e">
        <f>VLOOKUP($A61,Data!$D$3:$CJ$128,66,FALSE)</f>
        <v>#N/A</v>
      </c>
      <c r="F61" s="74" t="e">
        <f>VLOOKUP($A61,Data!$D$3:$CJ$128,67,FALSE)</f>
        <v>#N/A</v>
      </c>
      <c r="G61" s="78" t="e">
        <f>VLOOKUP($A61,Data!$D$3:$CJ$128,68,FALSE)</f>
        <v>#N/A</v>
      </c>
      <c r="H61" s="78" t="e">
        <f>VLOOKUP($A61,Data!$D$3:$CJ$128,69,FALSE)</f>
        <v>#N/A</v>
      </c>
      <c r="I61" s="74" t="e">
        <f>VLOOKUP($A61,Data!$D$3:$CJ$128,70,FALSE)</f>
        <v>#N/A</v>
      </c>
      <c r="J61" s="74" t="e">
        <f>VLOOKUP($A61,Data!$D$3:$CJ$128,71,FALSE)</f>
        <v>#N/A</v>
      </c>
      <c r="K61" s="74" t="e">
        <f>VLOOKUP($A61,Data!$D$3:$CJ$128,72,FALSE)</f>
        <v>#N/A</v>
      </c>
      <c r="L61" s="74" t="e">
        <f>VLOOKUP($A61,Data!$D$3:$CJ$128,73,FALSE)</f>
        <v>#N/A</v>
      </c>
      <c r="M61" s="74" t="e">
        <f>VLOOKUP($A61,Data!$D$3:$CJ$128,74,FALSE)</f>
        <v>#N/A</v>
      </c>
      <c r="N61" s="78" t="e">
        <f t="shared" si="7"/>
        <v>#N/A</v>
      </c>
      <c r="O61" s="78" t="e">
        <f t="shared" si="8"/>
        <v>#N/A</v>
      </c>
      <c r="P61" s="78" t="e">
        <f t="shared" si="9"/>
        <v>#N/A</v>
      </c>
      <c r="Q61" s="78" t="e">
        <f t="shared" si="10"/>
        <v>#N/A</v>
      </c>
      <c r="R61" s="78" t="e">
        <f t="shared" si="11"/>
        <v>#N/A</v>
      </c>
      <c r="S61" s="78" t="e">
        <f t="shared" si="12"/>
        <v>#N/A</v>
      </c>
      <c r="T61" s="74" t="e">
        <f t="shared" si="13"/>
        <v>#N/A</v>
      </c>
      <c r="U61" s="74" t="e">
        <f t="shared" si="14"/>
        <v>#N/A</v>
      </c>
      <c r="V61" s="74" t="e">
        <f t="shared" si="15"/>
        <v>#N/A</v>
      </c>
      <c r="W61" s="74" t="e">
        <f t="shared" si="16"/>
        <v>#N/A</v>
      </c>
      <c r="X61" s="74" t="e">
        <f t="shared" si="17"/>
        <v>#N/A</v>
      </c>
      <c r="Y61" s="74" t="e">
        <f t="shared" si="18"/>
        <v>#N/A</v>
      </c>
    </row>
    <row r="62" spans="1:25">
      <c r="A62" s="88">
        <f>'Batch input'!A61</f>
        <v>0</v>
      </c>
      <c r="B62">
        <f>'Batch input'!B61</f>
        <v>0</v>
      </c>
      <c r="C62" t="e">
        <f>VLOOKUP($A62,Data!$D$3:$CJ$128,30,FALSE)</f>
        <v>#N/A</v>
      </c>
      <c r="D62" s="74" t="e">
        <f>VLOOKUP($A62,Data!$D$3:$CJ$128,64,FALSE)</f>
        <v>#N/A</v>
      </c>
      <c r="E62" s="74" t="e">
        <f>VLOOKUP($A62,Data!$D$3:$CJ$128,66,FALSE)</f>
        <v>#N/A</v>
      </c>
      <c r="F62" s="74" t="e">
        <f>VLOOKUP($A62,Data!$D$3:$CJ$128,67,FALSE)</f>
        <v>#N/A</v>
      </c>
      <c r="G62" s="78" t="e">
        <f>VLOOKUP($A62,Data!$D$3:$CJ$128,68,FALSE)</f>
        <v>#N/A</v>
      </c>
      <c r="H62" s="78" t="e">
        <f>VLOOKUP($A62,Data!$D$3:$CJ$128,69,FALSE)</f>
        <v>#N/A</v>
      </c>
      <c r="I62" s="74" t="e">
        <f>VLOOKUP($A62,Data!$D$3:$CJ$128,70,FALSE)</f>
        <v>#N/A</v>
      </c>
      <c r="J62" s="74" t="e">
        <f>VLOOKUP($A62,Data!$D$3:$CJ$128,71,FALSE)</f>
        <v>#N/A</v>
      </c>
      <c r="K62" s="74" t="e">
        <f>VLOOKUP($A62,Data!$D$3:$CJ$128,72,FALSE)</f>
        <v>#N/A</v>
      </c>
      <c r="L62" s="74" t="e">
        <f>VLOOKUP($A62,Data!$D$3:$CJ$128,73,FALSE)</f>
        <v>#N/A</v>
      </c>
      <c r="M62" s="74" t="e">
        <f>VLOOKUP($A62,Data!$D$3:$CJ$128,74,FALSE)</f>
        <v>#N/A</v>
      </c>
      <c r="N62" s="78" t="e">
        <f t="shared" si="7"/>
        <v>#N/A</v>
      </c>
      <c r="O62" s="78" t="e">
        <f t="shared" si="8"/>
        <v>#N/A</v>
      </c>
      <c r="P62" s="78" t="e">
        <f t="shared" si="9"/>
        <v>#N/A</v>
      </c>
      <c r="Q62" s="78" t="e">
        <f t="shared" si="10"/>
        <v>#N/A</v>
      </c>
      <c r="R62" s="78" t="e">
        <f t="shared" si="11"/>
        <v>#N/A</v>
      </c>
      <c r="S62" s="78" t="e">
        <f t="shared" si="12"/>
        <v>#N/A</v>
      </c>
      <c r="T62" s="74" t="e">
        <f t="shared" si="13"/>
        <v>#N/A</v>
      </c>
      <c r="U62" s="74" t="e">
        <f t="shared" si="14"/>
        <v>#N/A</v>
      </c>
      <c r="V62" s="74" t="e">
        <f t="shared" si="15"/>
        <v>#N/A</v>
      </c>
      <c r="W62" s="74" t="e">
        <f t="shared" si="16"/>
        <v>#N/A</v>
      </c>
      <c r="X62" s="74" t="e">
        <f t="shared" si="17"/>
        <v>#N/A</v>
      </c>
      <c r="Y62" s="74" t="e">
        <f t="shared" si="18"/>
        <v>#N/A</v>
      </c>
    </row>
    <row r="63" spans="1:25">
      <c r="A63" s="88">
        <f>'Batch input'!A62</f>
        <v>0</v>
      </c>
      <c r="B63">
        <f>'Batch input'!B62</f>
        <v>0</v>
      </c>
      <c r="C63" t="e">
        <f>VLOOKUP($A63,Data!$D$3:$CJ$128,30,FALSE)</f>
        <v>#N/A</v>
      </c>
      <c r="D63" s="74" t="e">
        <f>VLOOKUP($A63,Data!$D$3:$CJ$128,64,FALSE)</f>
        <v>#N/A</v>
      </c>
      <c r="E63" s="74" t="e">
        <f>VLOOKUP($A63,Data!$D$3:$CJ$128,66,FALSE)</f>
        <v>#N/A</v>
      </c>
      <c r="F63" s="74" t="e">
        <f>VLOOKUP($A63,Data!$D$3:$CJ$128,67,FALSE)</f>
        <v>#N/A</v>
      </c>
      <c r="G63" s="78" t="e">
        <f>VLOOKUP($A63,Data!$D$3:$CJ$128,68,FALSE)</f>
        <v>#N/A</v>
      </c>
      <c r="H63" s="78" t="e">
        <f>VLOOKUP($A63,Data!$D$3:$CJ$128,69,FALSE)</f>
        <v>#N/A</v>
      </c>
      <c r="I63" s="74" t="e">
        <f>VLOOKUP($A63,Data!$D$3:$CJ$128,70,FALSE)</f>
        <v>#N/A</v>
      </c>
      <c r="J63" s="74" t="e">
        <f>VLOOKUP($A63,Data!$D$3:$CJ$128,71,FALSE)</f>
        <v>#N/A</v>
      </c>
      <c r="K63" s="74" t="e">
        <f>VLOOKUP($A63,Data!$D$3:$CJ$128,72,FALSE)</f>
        <v>#N/A</v>
      </c>
      <c r="L63" s="74" t="e">
        <f>VLOOKUP($A63,Data!$D$3:$CJ$128,73,FALSE)</f>
        <v>#N/A</v>
      </c>
      <c r="M63" s="74" t="e">
        <f>VLOOKUP($A63,Data!$D$3:$CJ$128,74,FALSE)</f>
        <v>#N/A</v>
      </c>
      <c r="N63" s="78" t="e">
        <f t="shared" si="7"/>
        <v>#N/A</v>
      </c>
      <c r="O63" s="78" t="e">
        <f t="shared" si="8"/>
        <v>#N/A</v>
      </c>
      <c r="P63" s="78" t="e">
        <f t="shared" si="9"/>
        <v>#N/A</v>
      </c>
      <c r="Q63" s="78" t="e">
        <f t="shared" si="10"/>
        <v>#N/A</v>
      </c>
      <c r="R63" s="78" t="e">
        <f t="shared" si="11"/>
        <v>#N/A</v>
      </c>
      <c r="S63" s="78" t="e">
        <f t="shared" si="12"/>
        <v>#N/A</v>
      </c>
      <c r="T63" s="74" t="e">
        <f t="shared" si="13"/>
        <v>#N/A</v>
      </c>
      <c r="U63" s="74" t="e">
        <f t="shared" si="14"/>
        <v>#N/A</v>
      </c>
      <c r="V63" s="74" t="e">
        <f t="shared" si="15"/>
        <v>#N/A</v>
      </c>
      <c r="W63" s="74" t="e">
        <f t="shared" si="16"/>
        <v>#N/A</v>
      </c>
      <c r="X63" s="74" t="e">
        <f t="shared" si="17"/>
        <v>#N/A</v>
      </c>
      <c r="Y63" s="74" t="e">
        <f t="shared" si="18"/>
        <v>#N/A</v>
      </c>
    </row>
    <row r="64" spans="1:25">
      <c r="A64" s="88">
        <f>'Batch input'!A63</f>
        <v>0</v>
      </c>
      <c r="B64">
        <f>'Batch input'!B63</f>
        <v>0</v>
      </c>
      <c r="C64" t="e">
        <f>VLOOKUP($A64,Data!$D$3:$CJ$128,30,FALSE)</f>
        <v>#N/A</v>
      </c>
      <c r="D64" s="74" t="e">
        <f>VLOOKUP($A64,Data!$D$3:$CJ$128,64,FALSE)</f>
        <v>#N/A</v>
      </c>
      <c r="E64" s="74" t="e">
        <f>VLOOKUP($A64,Data!$D$3:$CJ$128,66,FALSE)</f>
        <v>#N/A</v>
      </c>
      <c r="F64" s="74" t="e">
        <f>VLOOKUP($A64,Data!$D$3:$CJ$128,67,FALSE)</f>
        <v>#N/A</v>
      </c>
      <c r="G64" s="78" t="e">
        <f>VLOOKUP($A64,Data!$D$3:$CJ$128,68,FALSE)</f>
        <v>#N/A</v>
      </c>
      <c r="H64" s="78" t="e">
        <f>VLOOKUP($A64,Data!$D$3:$CJ$128,69,FALSE)</f>
        <v>#N/A</v>
      </c>
      <c r="I64" s="74" t="e">
        <f>VLOOKUP($A64,Data!$D$3:$CJ$128,70,FALSE)</f>
        <v>#N/A</v>
      </c>
      <c r="J64" s="74" t="e">
        <f>VLOOKUP($A64,Data!$D$3:$CJ$128,71,FALSE)</f>
        <v>#N/A</v>
      </c>
      <c r="K64" s="74" t="e">
        <f>VLOOKUP($A64,Data!$D$3:$CJ$128,72,FALSE)</f>
        <v>#N/A</v>
      </c>
      <c r="L64" s="74" t="e">
        <f>VLOOKUP($A64,Data!$D$3:$CJ$128,73,FALSE)</f>
        <v>#N/A</v>
      </c>
      <c r="M64" s="74" t="e">
        <f>VLOOKUP($A64,Data!$D$3:$CJ$128,74,FALSE)</f>
        <v>#N/A</v>
      </c>
      <c r="N64" s="78" t="e">
        <f t="shared" si="7"/>
        <v>#N/A</v>
      </c>
      <c r="O64" s="78" t="e">
        <f t="shared" si="8"/>
        <v>#N/A</v>
      </c>
      <c r="P64" s="78" t="e">
        <f t="shared" si="9"/>
        <v>#N/A</v>
      </c>
      <c r="Q64" s="78" t="e">
        <f t="shared" si="10"/>
        <v>#N/A</v>
      </c>
      <c r="R64" s="78" t="e">
        <f t="shared" si="11"/>
        <v>#N/A</v>
      </c>
      <c r="S64" s="78" t="e">
        <f t="shared" si="12"/>
        <v>#N/A</v>
      </c>
      <c r="T64" s="74" t="e">
        <f t="shared" si="13"/>
        <v>#N/A</v>
      </c>
      <c r="U64" s="74" t="e">
        <f t="shared" si="14"/>
        <v>#N/A</v>
      </c>
      <c r="V64" s="74" t="e">
        <f t="shared" si="15"/>
        <v>#N/A</v>
      </c>
      <c r="W64" s="74" t="e">
        <f t="shared" si="16"/>
        <v>#N/A</v>
      </c>
      <c r="X64" s="74" t="e">
        <f t="shared" si="17"/>
        <v>#N/A</v>
      </c>
      <c r="Y64" s="74" t="e">
        <f t="shared" si="18"/>
        <v>#N/A</v>
      </c>
    </row>
    <row r="65" spans="1:25">
      <c r="A65" s="88">
        <f>'Batch input'!A64</f>
        <v>0</v>
      </c>
      <c r="B65">
        <f>'Batch input'!B64</f>
        <v>0</v>
      </c>
      <c r="C65" t="e">
        <f>VLOOKUP($A65,Data!$D$3:$CJ$128,30,FALSE)</f>
        <v>#N/A</v>
      </c>
      <c r="D65" s="74" t="e">
        <f>VLOOKUP($A65,Data!$D$3:$CJ$128,64,FALSE)</f>
        <v>#N/A</v>
      </c>
      <c r="E65" s="74" t="e">
        <f>VLOOKUP($A65,Data!$D$3:$CJ$128,66,FALSE)</f>
        <v>#N/A</v>
      </c>
      <c r="F65" s="74" t="e">
        <f>VLOOKUP($A65,Data!$D$3:$CJ$128,67,FALSE)</f>
        <v>#N/A</v>
      </c>
      <c r="G65" s="78" t="e">
        <f>VLOOKUP($A65,Data!$D$3:$CJ$128,68,FALSE)</f>
        <v>#N/A</v>
      </c>
      <c r="H65" s="78" t="e">
        <f>VLOOKUP($A65,Data!$D$3:$CJ$128,69,FALSE)</f>
        <v>#N/A</v>
      </c>
      <c r="I65" s="74" t="e">
        <f>VLOOKUP($A65,Data!$D$3:$CJ$128,70,FALSE)</f>
        <v>#N/A</v>
      </c>
      <c r="J65" s="74" t="e">
        <f>VLOOKUP($A65,Data!$D$3:$CJ$128,71,FALSE)</f>
        <v>#N/A</v>
      </c>
      <c r="K65" s="74" t="e">
        <f>VLOOKUP($A65,Data!$D$3:$CJ$128,72,FALSE)</f>
        <v>#N/A</v>
      </c>
      <c r="L65" s="74" t="e">
        <f>VLOOKUP($A65,Data!$D$3:$CJ$128,73,FALSE)</f>
        <v>#N/A</v>
      </c>
      <c r="M65" s="74" t="e">
        <f>VLOOKUP($A65,Data!$D$3:$CJ$128,74,FALSE)</f>
        <v>#N/A</v>
      </c>
      <c r="N65" s="78" t="e">
        <f t="shared" si="7"/>
        <v>#N/A</v>
      </c>
      <c r="O65" s="78" t="e">
        <f t="shared" si="8"/>
        <v>#N/A</v>
      </c>
      <c r="P65" s="78" t="e">
        <f t="shared" si="9"/>
        <v>#N/A</v>
      </c>
      <c r="Q65" s="78" t="e">
        <f t="shared" si="10"/>
        <v>#N/A</v>
      </c>
      <c r="R65" s="78" t="e">
        <f t="shared" si="11"/>
        <v>#N/A</v>
      </c>
      <c r="S65" s="78" t="e">
        <f t="shared" si="12"/>
        <v>#N/A</v>
      </c>
      <c r="T65" s="74" t="e">
        <f t="shared" si="13"/>
        <v>#N/A</v>
      </c>
      <c r="U65" s="74" t="e">
        <f t="shared" si="14"/>
        <v>#N/A</v>
      </c>
      <c r="V65" s="74" t="e">
        <f t="shared" si="15"/>
        <v>#N/A</v>
      </c>
      <c r="W65" s="74" t="e">
        <f t="shared" si="16"/>
        <v>#N/A</v>
      </c>
      <c r="X65" s="74" t="e">
        <f t="shared" si="17"/>
        <v>#N/A</v>
      </c>
      <c r="Y65" s="74" t="e">
        <f t="shared" si="18"/>
        <v>#N/A</v>
      </c>
    </row>
    <row r="66" spans="1:25">
      <c r="A66" s="88">
        <f>'Batch input'!A65</f>
        <v>0</v>
      </c>
      <c r="B66">
        <f>'Batch input'!B65</f>
        <v>0</v>
      </c>
      <c r="C66" t="e">
        <f>VLOOKUP($A66,Data!$D$3:$CJ$128,30,FALSE)</f>
        <v>#N/A</v>
      </c>
      <c r="D66" s="74" t="e">
        <f>VLOOKUP($A66,Data!$D$3:$CJ$128,64,FALSE)</f>
        <v>#N/A</v>
      </c>
      <c r="E66" s="74" t="e">
        <f>VLOOKUP($A66,Data!$D$3:$CJ$128,66,FALSE)</f>
        <v>#N/A</v>
      </c>
      <c r="F66" s="74" t="e">
        <f>VLOOKUP($A66,Data!$D$3:$CJ$128,67,FALSE)</f>
        <v>#N/A</v>
      </c>
      <c r="G66" s="78" t="e">
        <f>VLOOKUP($A66,Data!$D$3:$CJ$128,68,FALSE)</f>
        <v>#N/A</v>
      </c>
      <c r="H66" s="78" t="e">
        <f>VLOOKUP($A66,Data!$D$3:$CJ$128,69,FALSE)</f>
        <v>#N/A</v>
      </c>
      <c r="I66" s="74" t="e">
        <f>VLOOKUP($A66,Data!$D$3:$CJ$128,70,FALSE)</f>
        <v>#N/A</v>
      </c>
      <c r="J66" s="74" t="e">
        <f>VLOOKUP($A66,Data!$D$3:$CJ$128,71,FALSE)</f>
        <v>#N/A</v>
      </c>
      <c r="K66" s="74" t="e">
        <f>VLOOKUP($A66,Data!$D$3:$CJ$128,72,FALSE)</f>
        <v>#N/A</v>
      </c>
      <c r="L66" s="74" t="e">
        <f>VLOOKUP($A66,Data!$D$3:$CJ$128,73,FALSE)</f>
        <v>#N/A</v>
      </c>
      <c r="M66" s="74" t="e">
        <f>VLOOKUP($A66,Data!$D$3:$CJ$128,74,FALSE)</f>
        <v>#N/A</v>
      </c>
      <c r="N66" s="78" t="e">
        <f t="shared" si="7"/>
        <v>#N/A</v>
      </c>
      <c r="O66" s="78" t="e">
        <f t="shared" si="8"/>
        <v>#N/A</v>
      </c>
      <c r="P66" s="78" t="e">
        <f t="shared" si="9"/>
        <v>#N/A</v>
      </c>
      <c r="Q66" s="78" t="e">
        <f t="shared" si="10"/>
        <v>#N/A</v>
      </c>
      <c r="R66" s="78" t="e">
        <f t="shared" si="11"/>
        <v>#N/A</v>
      </c>
      <c r="S66" s="78" t="e">
        <f t="shared" si="12"/>
        <v>#N/A</v>
      </c>
      <c r="T66" s="74" t="e">
        <f t="shared" si="13"/>
        <v>#N/A</v>
      </c>
      <c r="U66" s="74" t="e">
        <f t="shared" si="14"/>
        <v>#N/A</v>
      </c>
      <c r="V66" s="74" t="e">
        <f t="shared" si="15"/>
        <v>#N/A</v>
      </c>
      <c r="W66" s="74" t="e">
        <f t="shared" si="16"/>
        <v>#N/A</v>
      </c>
      <c r="X66" s="74" t="e">
        <f t="shared" si="17"/>
        <v>#N/A</v>
      </c>
      <c r="Y66" s="74" t="e">
        <f t="shared" si="18"/>
        <v>#N/A</v>
      </c>
    </row>
    <row r="67" spans="1:25">
      <c r="A67" s="88">
        <f>'Batch input'!A66</f>
        <v>0</v>
      </c>
      <c r="B67">
        <f>'Batch input'!B66</f>
        <v>0</v>
      </c>
      <c r="C67" t="e">
        <f>VLOOKUP($A67,Data!$D$3:$CJ$128,30,FALSE)</f>
        <v>#N/A</v>
      </c>
      <c r="D67" s="74" t="e">
        <f>VLOOKUP($A67,Data!$D$3:$CJ$128,64,FALSE)</f>
        <v>#N/A</v>
      </c>
      <c r="E67" s="74" t="e">
        <f>VLOOKUP($A67,Data!$D$3:$CJ$128,66,FALSE)</f>
        <v>#N/A</v>
      </c>
      <c r="F67" s="74" t="e">
        <f>VLOOKUP($A67,Data!$D$3:$CJ$128,67,FALSE)</f>
        <v>#N/A</v>
      </c>
      <c r="G67" s="78" t="e">
        <f>VLOOKUP($A67,Data!$D$3:$CJ$128,68,FALSE)</f>
        <v>#N/A</v>
      </c>
      <c r="H67" s="78" t="e">
        <f>VLOOKUP($A67,Data!$D$3:$CJ$128,69,FALSE)</f>
        <v>#N/A</v>
      </c>
      <c r="I67" s="74" t="e">
        <f>VLOOKUP($A67,Data!$D$3:$CJ$128,70,FALSE)</f>
        <v>#N/A</v>
      </c>
      <c r="J67" s="74" t="e">
        <f>VLOOKUP($A67,Data!$D$3:$CJ$128,71,FALSE)</f>
        <v>#N/A</v>
      </c>
      <c r="K67" s="74" t="e">
        <f>VLOOKUP($A67,Data!$D$3:$CJ$128,72,FALSE)</f>
        <v>#N/A</v>
      </c>
      <c r="L67" s="74" t="e">
        <f>VLOOKUP($A67,Data!$D$3:$CJ$128,73,FALSE)</f>
        <v>#N/A</v>
      </c>
      <c r="M67" s="74" t="e">
        <f>VLOOKUP($A67,Data!$D$3:$CJ$128,74,FALSE)</f>
        <v>#N/A</v>
      </c>
      <c r="N67" s="78" t="e">
        <f t="shared" si="7"/>
        <v>#N/A</v>
      </c>
      <c r="O67" s="78" t="e">
        <f t="shared" si="8"/>
        <v>#N/A</v>
      </c>
      <c r="P67" s="78" t="e">
        <f t="shared" si="9"/>
        <v>#N/A</v>
      </c>
      <c r="Q67" s="78" t="e">
        <f t="shared" si="10"/>
        <v>#N/A</v>
      </c>
      <c r="R67" s="78" t="e">
        <f t="shared" si="11"/>
        <v>#N/A</v>
      </c>
      <c r="S67" s="78" t="e">
        <f t="shared" si="12"/>
        <v>#N/A</v>
      </c>
      <c r="T67" s="74" t="e">
        <f t="shared" si="13"/>
        <v>#N/A</v>
      </c>
      <c r="U67" s="74" t="e">
        <f t="shared" si="14"/>
        <v>#N/A</v>
      </c>
      <c r="V67" s="74" t="e">
        <f t="shared" si="15"/>
        <v>#N/A</v>
      </c>
      <c r="W67" s="74" t="e">
        <f t="shared" si="16"/>
        <v>#N/A</v>
      </c>
      <c r="X67" s="74" t="e">
        <f t="shared" si="17"/>
        <v>#N/A</v>
      </c>
      <c r="Y67" s="74" t="e">
        <f t="shared" si="18"/>
        <v>#N/A</v>
      </c>
    </row>
    <row r="68" spans="1:25">
      <c r="A68" s="88">
        <f>'Batch input'!A67</f>
        <v>0</v>
      </c>
      <c r="B68">
        <f>'Batch input'!B67</f>
        <v>0</v>
      </c>
      <c r="C68" t="e">
        <f>VLOOKUP($A68,Data!$D$3:$CJ$128,30,FALSE)</f>
        <v>#N/A</v>
      </c>
      <c r="D68" s="74" t="e">
        <f>VLOOKUP($A68,Data!$D$3:$CJ$128,64,FALSE)</f>
        <v>#N/A</v>
      </c>
      <c r="E68" s="74" t="e">
        <f>VLOOKUP($A68,Data!$D$3:$CJ$128,66,FALSE)</f>
        <v>#N/A</v>
      </c>
      <c r="F68" s="74" t="e">
        <f>VLOOKUP($A68,Data!$D$3:$CJ$128,67,FALSE)</f>
        <v>#N/A</v>
      </c>
      <c r="G68" s="78" t="e">
        <f>VLOOKUP($A68,Data!$D$3:$CJ$128,68,FALSE)</f>
        <v>#N/A</v>
      </c>
      <c r="H68" s="78" t="e">
        <f>VLOOKUP($A68,Data!$D$3:$CJ$128,69,FALSE)</f>
        <v>#N/A</v>
      </c>
      <c r="I68" s="74" t="e">
        <f>VLOOKUP($A68,Data!$D$3:$CJ$128,70,FALSE)</f>
        <v>#N/A</v>
      </c>
      <c r="J68" s="74" t="e">
        <f>VLOOKUP($A68,Data!$D$3:$CJ$128,71,FALSE)</f>
        <v>#N/A</v>
      </c>
      <c r="K68" s="74" t="e">
        <f>VLOOKUP($A68,Data!$D$3:$CJ$128,72,FALSE)</f>
        <v>#N/A</v>
      </c>
      <c r="L68" s="74" t="e">
        <f>VLOOKUP($A68,Data!$D$3:$CJ$128,73,FALSE)</f>
        <v>#N/A</v>
      </c>
      <c r="M68" s="74" t="e">
        <f>VLOOKUP($A68,Data!$D$3:$CJ$128,74,FALSE)</f>
        <v>#N/A</v>
      </c>
      <c r="N68" s="78" t="e">
        <f t="shared" si="7"/>
        <v>#N/A</v>
      </c>
      <c r="O68" s="78" t="e">
        <f t="shared" si="8"/>
        <v>#N/A</v>
      </c>
      <c r="P68" s="78" t="e">
        <f t="shared" si="9"/>
        <v>#N/A</v>
      </c>
      <c r="Q68" s="78" t="e">
        <f t="shared" si="10"/>
        <v>#N/A</v>
      </c>
      <c r="R68" s="78" t="e">
        <f t="shared" si="11"/>
        <v>#N/A</v>
      </c>
      <c r="S68" s="78" t="e">
        <f t="shared" si="12"/>
        <v>#N/A</v>
      </c>
      <c r="T68" s="74" t="e">
        <f t="shared" si="13"/>
        <v>#N/A</v>
      </c>
      <c r="U68" s="74" t="e">
        <f t="shared" si="14"/>
        <v>#N/A</v>
      </c>
      <c r="V68" s="74" t="e">
        <f t="shared" si="15"/>
        <v>#N/A</v>
      </c>
      <c r="W68" s="74" t="e">
        <f t="shared" si="16"/>
        <v>#N/A</v>
      </c>
      <c r="X68" s="74" t="e">
        <f t="shared" si="17"/>
        <v>#N/A</v>
      </c>
      <c r="Y68" s="74" t="e">
        <f t="shared" si="18"/>
        <v>#N/A</v>
      </c>
    </row>
    <row r="69" spans="1:25">
      <c r="A69" s="88">
        <f>'Batch input'!A68</f>
        <v>0</v>
      </c>
      <c r="B69">
        <f>'Batch input'!B68</f>
        <v>0</v>
      </c>
      <c r="C69" t="e">
        <f>VLOOKUP($A69,Data!$D$3:$CJ$128,30,FALSE)</f>
        <v>#N/A</v>
      </c>
      <c r="D69" s="74" t="e">
        <f>VLOOKUP($A69,Data!$D$3:$CJ$128,64,FALSE)</f>
        <v>#N/A</v>
      </c>
      <c r="E69" s="74" t="e">
        <f>VLOOKUP($A69,Data!$D$3:$CJ$128,66,FALSE)</f>
        <v>#N/A</v>
      </c>
      <c r="F69" s="74" t="e">
        <f>VLOOKUP($A69,Data!$D$3:$CJ$128,67,FALSE)</f>
        <v>#N/A</v>
      </c>
      <c r="G69" s="78" t="e">
        <f>VLOOKUP($A69,Data!$D$3:$CJ$128,68,FALSE)</f>
        <v>#N/A</v>
      </c>
      <c r="H69" s="78" t="e">
        <f>VLOOKUP($A69,Data!$D$3:$CJ$128,69,FALSE)</f>
        <v>#N/A</v>
      </c>
      <c r="I69" s="74" t="e">
        <f>VLOOKUP($A69,Data!$D$3:$CJ$128,70,FALSE)</f>
        <v>#N/A</v>
      </c>
      <c r="J69" s="74" t="e">
        <f>VLOOKUP($A69,Data!$D$3:$CJ$128,71,FALSE)</f>
        <v>#N/A</v>
      </c>
      <c r="K69" s="74" t="e">
        <f>VLOOKUP($A69,Data!$D$3:$CJ$128,72,FALSE)</f>
        <v>#N/A</v>
      </c>
      <c r="L69" s="74" t="e">
        <f>VLOOKUP($A69,Data!$D$3:$CJ$128,73,FALSE)</f>
        <v>#N/A</v>
      </c>
      <c r="M69" s="74" t="e">
        <f>VLOOKUP($A69,Data!$D$3:$CJ$128,74,FALSE)</f>
        <v>#N/A</v>
      </c>
      <c r="N69" s="78" t="e">
        <f t="shared" si="7"/>
        <v>#N/A</v>
      </c>
      <c r="O69" s="78" t="e">
        <f t="shared" si="8"/>
        <v>#N/A</v>
      </c>
      <c r="P69" s="78" t="e">
        <f t="shared" si="9"/>
        <v>#N/A</v>
      </c>
      <c r="Q69" s="78" t="e">
        <f t="shared" si="10"/>
        <v>#N/A</v>
      </c>
      <c r="R69" s="78" t="e">
        <f t="shared" si="11"/>
        <v>#N/A</v>
      </c>
      <c r="S69" s="78" t="e">
        <f t="shared" si="12"/>
        <v>#N/A</v>
      </c>
      <c r="T69" s="74" t="e">
        <f t="shared" si="13"/>
        <v>#N/A</v>
      </c>
      <c r="U69" s="74" t="e">
        <f t="shared" si="14"/>
        <v>#N/A</v>
      </c>
      <c r="V69" s="74" t="e">
        <f t="shared" si="15"/>
        <v>#N/A</v>
      </c>
      <c r="W69" s="74" t="e">
        <f t="shared" si="16"/>
        <v>#N/A</v>
      </c>
      <c r="X69" s="74" t="e">
        <f t="shared" si="17"/>
        <v>#N/A</v>
      </c>
      <c r="Y69" s="74" t="e">
        <f t="shared" si="18"/>
        <v>#N/A</v>
      </c>
    </row>
    <row r="70" spans="1:25">
      <c r="A70" s="88">
        <f>'Batch input'!A69</f>
        <v>0</v>
      </c>
      <c r="B70">
        <f>'Batch input'!B69</f>
        <v>0</v>
      </c>
      <c r="C70" t="e">
        <f>VLOOKUP($A70,Data!$D$3:$CJ$128,30,FALSE)</f>
        <v>#N/A</v>
      </c>
      <c r="D70" s="74" t="e">
        <f>VLOOKUP($A70,Data!$D$3:$CJ$128,64,FALSE)</f>
        <v>#N/A</v>
      </c>
      <c r="E70" s="74" t="e">
        <f>VLOOKUP($A70,Data!$D$3:$CJ$128,66,FALSE)</f>
        <v>#N/A</v>
      </c>
      <c r="F70" s="74" t="e">
        <f>VLOOKUP($A70,Data!$D$3:$CJ$128,67,FALSE)</f>
        <v>#N/A</v>
      </c>
      <c r="G70" s="78" t="e">
        <f>VLOOKUP($A70,Data!$D$3:$CJ$128,68,FALSE)</f>
        <v>#N/A</v>
      </c>
      <c r="H70" s="78" t="e">
        <f>VLOOKUP($A70,Data!$D$3:$CJ$128,69,FALSE)</f>
        <v>#N/A</v>
      </c>
      <c r="I70" s="74" t="e">
        <f>VLOOKUP($A70,Data!$D$3:$CJ$128,70,FALSE)</f>
        <v>#N/A</v>
      </c>
      <c r="J70" s="74" t="e">
        <f>VLOOKUP($A70,Data!$D$3:$CJ$128,71,FALSE)</f>
        <v>#N/A</v>
      </c>
      <c r="K70" s="74" t="e">
        <f>VLOOKUP($A70,Data!$D$3:$CJ$128,72,FALSE)</f>
        <v>#N/A</v>
      </c>
      <c r="L70" s="74" t="e">
        <f>VLOOKUP($A70,Data!$D$3:$CJ$128,73,FALSE)</f>
        <v>#N/A</v>
      </c>
      <c r="M70" s="74" t="e">
        <f>VLOOKUP($A70,Data!$D$3:$CJ$128,74,FALSE)</f>
        <v>#N/A</v>
      </c>
      <c r="N70" s="78" t="e">
        <f t="shared" si="7"/>
        <v>#N/A</v>
      </c>
      <c r="O70" s="78" t="e">
        <f t="shared" si="8"/>
        <v>#N/A</v>
      </c>
      <c r="P70" s="78" t="e">
        <f t="shared" si="9"/>
        <v>#N/A</v>
      </c>
      <c r="Q70" s="78" t="e">
        <f t="shared" si="10"/>
        <v>#N/A</v>
      </c>
      <c r="R70" s="78" t="e">
        <f t="shared" si="11"/>
        <v>#N/A</v>
      </c>
      <c r="S70" s="78" t="e">
        <f t="shared" si="12"/>
        <v>#N/A</v>
      </c>
      <c r="T70" s="74" t="e">
        <f t="shared" si="13"/>
        <v>#N/A</v>
      </c>
      <c r="U70" s="74" t="e">
        <f t="shared" si="14"/>
        <v>#N/A</v>
      </c>
      <c r="V70" s="74" t="e">
        <f t="shared" si="15"/>
        <v>#N/A</v>
      </c>
      <c r="W70" s="74" t="e">
        <f t="shared" si="16"/>
        <v>#N/A</v>
      </c>
      <c r="X70" s="74" t="e">
        <f t="shared" si="17"/>
        <v>#N/A</v>
      </c>
      <c r="Y70" s="74" t="e">
        <f t="shared" si="18"/>
        <v>#N/A</v>
      </c>
    </row>
    <row r="71" spans="1:25">
      <c r="A71" s="88">
        <f>'Batch input'!A70</f>
        <v>0</v>
      </c>
      <c r="B71">
        <f>'Batch input'!B70</f>
        <v>0</v>
      </c>
      <c r="C71" t="e">
        <f>VLOOKUP($A71,Data!$D$3:$CJ$128,30,FALSE)</f>
        <v>#N/A</v>
      </c>
      <c r="D71" s="74" t="e">
        <f>VLOOKUP($A71,Data!$D$3:$CJ$128,64,FALSE)</f>
        <v>#N/A</v>
      </c>
      <c r="E71" s="74" t="e">
        <f>VLOOKUP($A71,Data!$D$3:$CJ$128,66,FALSE)</f>
        <v>#N/A</v>
      </c>
      <c r="F71" s="74" t="e">
        <f>VLOOKUP($A71,Data!$D$3:$CJ$128,67,FALSE)</f>
        <v>#N/A</v>
      </c>
      <c r="G71" s="78" t="e">
        <f>VLOOKUP($A71,Data!$D$3:$CJ$128,68,FALSE)</f>
        <v>#N/A</v>
      </c>
      <c r="H71" s="78" t="e">
        <f>VLOOKUP($A71,Data!$D$3:$CJ$128,69,FALSE)</f>
        <v>#N/A</v>
      </c>
      <c r="I71" s="74" t="e">
        <f>VLOOKUP($A71,Data!$D$3:$CJ$128,70,FALSE)</f>
        <v>#N/A</v>
      </c>
      <c r="J71" s="74" t="e">
        <f>VLOOKUP($A71,Data!$D$3:$CJ$128,71,FALSE)</f>
        <v>#N/A</v>
      </c>
      <c r="K71" s="74" t="e">
        <f>VLOOKUP($A71,Data!$D$3:$CJ$128,72,FALSE)</f>
        <v>#N/A</v>
      </c>
      <c r="L71" s="74" t="e">
        <f>VLOOKUP($A71,Data!$D$3:$CJ$128,73,FALSE)</f>
        <v>#N/A</v>
      </c>
      <c r="M71" s="74" t="e">
        <f>VLOOKUP($A71,Data!$D$3:$CJ$128,74,FALSE)</f>
        <v>#N/A</v>
      </c>
      <c r="N71" s="78" t="e">
        <f t="shared" si="7"/>
        <v>#N/A</v>
      </c>
      <c r="O71" s="78" t="e">
        <f t="shared" si="8"/>
        <v>#N/A</v>
      </c>
      <c r="P71" s="78" t="e">
        <f t="shared" si="9"/>
        <v>#N/A</v>
      </c>
      <c r="Q71" s="78" t="e">
        <f t="shared" si="10"/>
        <v>#N/A</v>
      </c>
      <c r="R71" s="78" t="e">
        <f t="shared" si="11"/>
        <v>#N/A</v>
      </c>
      <c r="S71" s="78" t="e">
        <f t="shared" si="12"/>
        <v>#N/A</v>
      </c>
      <c r="T71" s="74" t="e">
        <f t="shared" si="13"/>
        <v>#N/A</v>
      </c>
      <c r="U71" s="74" t="e">
        <f t="shared" si="14"/>
        <v>#N/A</v>
      </c>
      <c r="V71" s="74" t="e">
        <f t="shared" si="15"/>
        <v>#N/A</v>
      </c>
      <c r="W71" s="74" t="e">
        <f t="shared" si="16"/>
        <v>#N/A</v>
      </c>
      <c r="X71" s="74" t="e">
        <f t="shared" si="17"/>
        <v>#N/A</v>
      </c>
      <c r="Y71" s="74" t="e">
        <f t="shared" si="18"/>
        <v>#N/A</v>
      </c>
    </row>
    <row r="72" spans="1:25">
      <c r="A72" s="88">
        <f>'Batch input'!A71</f>
        <v>0</v>
      </c>
      <c r="B72">
        <f>'Batch input'!B71</f>
        <v>0</v>
      </c>
      <c r="C72" t="e">
        <f>VLOOKUP($A72,Data!$D$3:$CJ$128,30,FALSE)</f>
        <v>#N/A</v>
      </c>
      <c r="D72" s="74" t="e">
        <f>VLOOKUP($A72,Data!$D$3:$CJ$128,64,FALSE)</f>
        <v>#N/A</v>
      </c>
      <c r="E72" s="74" t="e">
        <f>VLOOKUP($A72,Data!$D$3:$CJ$128,66,FALSE)</f>
        <v>#N/A</v>
      </c>
      <c r="F72" s="74" t="e">
        <f>VLOOKUP($A72,Data!$D$3:$CJ$128,67,FALSE)</f>
        <v>#N/A</v>
      </c>
      <c r="G72" s="78" t="e">
        <f>VLOOKUP($A72,Data!$D$3:$CJ$128,68,FALSE)</f>
        <v>#N/A</v>
      </c>
      <c r="H72" s="78" t="e">
        <f>VLOOKUP($A72,Data!$D$3:$CJ$128,69,FALSE)</f>
        <v>#N/A</v>
      </c>
      <c r="I72" s="74" t="e">
        <f>VLOOKUP($A72,Data!$D$3:$CJ$128,70,FALSE)</f>
        <v>#N/A</v>
      </c>
      <c r="J72" s="74" t="e">
        <f>VLOOKUP($A72,Data!$D$3:$CJ$128,71,FALSE)</f>
        <v>#N/A</v>
      </c>
      <c r="K72" s="74" t="e">
        <f>VLOOKUP($A72,Data!$D$3:$CJ$128,72,FALSE)</f>
        <v>#N/A</v>
      </c>
      <c r="L72" s="74" t="e">
        <f>VLOOKUP($A72,Data!$D$3:$CJ$128,73,FALSE)</f>
        <v>#N/A</v>
      </c>
      <c r="M72" s="74" t="e">
        <f>VLOOKUP($A72,Data!$D$3:$CJ$128,74,FALSE)</f>
        <v>#N/A</v>
      </c>
      <c r="N72" s="78" t="e">
        <f t="shared" si="7"/>
        <v>#N/A</v>
      </c>
      <c r="O72" s="78" t="e">
        <f t="shared" si="8"/>
        <v>#N/A</v>
      </c>
      <c r="P72" s="78" t="e">
        <f t="shared" si="9"/>
        <v>#N/A</v>
      </c>
      <c r="Q72" s="78" t="e">
        <f t="shared" si="10"/>
        <v>#N/A</v>
      </c>
      <c r="R72" s="78" t="e">
        <f t="shared" si="11"/>
        <v>#N/A</v>
      </c>
      <c r="S72" s="78" t="e">
        <f t="shared" si="12"/>
        <v>#N/A</v>
      </c>
      <c r="T72" s="74" t="e">
        <f t="shared" si="13"/>
        <v>#N/A</v>
      </c>
      <c r="U72" s="74" t="e">
        <f t="shared" si="14"/>
        <v>#N/A</v>
      </c>
      <c r="V72" s="74" t="e">
        <f t="shared" si="15"/>
        <v>#N/A</v>
      </c>
      <c r="W72" s="74" t="e">
        <f t="shared" si="16"/>
        <v>#N/A</v>
      </c>
      <c r="X72" s="74" t="e">
        <f t="shared" si="17"/>
        <v>#N/A</v>
      </c>
      <c r="Y72" s="74" t="e">
        <f t="shared" si="18"/>
        <v>#N/A</v>
      </c>
    </row>
    <row r="73" spans="1:25">
      <c r="A73" s="88">
        <f>'Batch input'!A72</f>
        <v>0</v>
      </c>
      <c r="B73">
        <f>'Batch input'!B72</f>
        <v>0</v>
      </c>
      <c r="C73" t="e">
        <f>VLOOKUP($A73,Data!$D$3:$CJ$128,30,FALSE)</f>
        <v>#N/A</v>
      </c>
      <c r="D73" s="74" t="e">
        <f>VLOOKUP($A73,Data!$D$3:$CJ$128,64,FALSE)</f>
        <v>#N/A</v>
      </c>
      <c r="E73" s="74" t="e">
        <f>VLOOKUP($A73,Data!$D$3:$CJ$128,66,FALSE)</f>
        <v>#N/A</v>
      </c>
      <c r="F73" s="74" t="e">
        <f>VLOOKUP($A73,Data!$D$3:$CJ$128,67,FALSE)</f>
        <v>#N/A</v>
      </c>
      <c r="G73" s="78" t="e">
        <f>VLOOKUP($A73,Data!$D$3:$CJ$128,68,FALSE)</f>
        <v>#N/A</v>
      </c>
      <c r="H73" s="78" t="e">
        <f>VLOOKUP($A73,Data!$D$3:$CJ$128,69,FALSE)</f>
        <v>#N/A</v>
      </c>
      <c r="I73" s="74" t="e">
        <f>VLOOKUP($A73,Data!$D$3:$CJ$128,70,FALSE)</f>
        <v>#N/A</v>
      </c>
      <c r="J73" s="74" t="e">
        <f>VLOOKUP($A73,Data!$D$3:$CJ$128,71,FALSE)</f>
        <v>#N/A</v>
      </c>
      <c r="K73" s="74" t="e">
        <f>VLOOKUP($A73,Data!$D$3:$CJ$128,72,FALSE)</f>
        <v>#N/A</v>
      </c>
      <c r="L73" s="74" t="e">
        <f>VLOOKUP($A73,Data!$D$3:$CJ$128,73,FALSE)</f>
        <v>#N/A</v>
      </c>
      <c r="M73" s="74" t="e">
        <f>VLOOKUP($A73,Data!$D$3:$CJ$128,74,FALSE)</f>
        <v>#N/A</v>
      </c>
      <c r="N73" s="78" t="e">
        <f t="shared" si="7"/>
        <v>#N/A</v>
      </c>
      <c r="O73" s="78" t="e">
        <f t="shared" si="8"/>
        <v>#N/A</v>
      </c>
      <c r="P73" s="78" t="e">
        <f t="shared" si="9"/>
        <v>#N/A</v>
      </c>
      <c r="Q73" s="78" t="e">
        <f t="shared" si="10"/>
        <v>#N/A</v>
      </c>
      <c r="R73" s="78" t="e">
        <f t="shared" si="11"/>
        <v>#N/A</v>
      </c>
      <c r="S73" s="78" t="e">
        <f t="shared" si="12"/>
        <v>#N/A</v>
      </c>
      <c r="T73" s="74" t="e">
        <f t="shared" si="13"/>
        <v>#N/A</v>
      </c>
      <c r="U73" s="74" t="e">
        <f t="shared" si="14"/>
        <v>#N/A</v>
      </c>
      <c r="V73" s="74" t="e">
        <f t="shared" si="15"/>
        <v>#N/A</v>
      </c>
      <c r="W73" s="74" t="e">
        <f t="shared" si="16"/>
        <v>#N/A</v>
      </c>
      <c r="X73" s="74" t="e">
        <f t="shared" si="17"/>
        <v>#N/A</v>
      </c>
      <c r="Y73" s="74" t="e">
        <f t="shared" si="18"/>
        <v>#N/A</v>
      </c>
    </row>
    <row r="74" spans="1:25">
      <c r="A74" s="88">
        <f>'Batch input'!A73</f>
        <v>0</v>
      </c>
      <c r="B74">
        <f>'Batch input'!B73</f>
        <v>0</v>
      </c>
      <c r="C74" t="e">
        <f>VLOOKUP($A74,Data!$D$3:$CJ$128,30,FALSE)</f>
        <v>#N/A</v>
      </c>
      <c r="D74" s="74" t="e">
        <f>VLOOKUP($A74,Data!$D$3:$CJ$128,64,FALSE)</f>
        <v>#N/A</v>
      </c>
      <c r="E74" s="74" t="e">
        <f>VLOOKUP($A74,Data!$D$3:$CJ$128,66,FALSE)</f>
        <v>#N/A</v>
      </c>
      <c r="F74" s="74" t="e">
        <f>VLOOKUP($A74,Data!$D$3:$CJ$128,67,FALSE)</f>
        <v>#N/A</v>
      </c>
      <c r="G74" s="78" t="e">
        <f>VLOOKUP($A74,Data!$D$3:$CJ$128,68,FALSE)</f>
        <v>#N/A</v>
      </c>
      <c r="H74" s="78" t="e">
        <f>VLOOKUP($A74,Data!$D$3:$CJ$128,69,FALSE)</f>
        <v>#N/A</v>
      </c>
      <c r="I74" s="74" t="e">
        <f>VLOOKUP($A74,Data!$D$3:$CJ$128,70,FALSE)</f>
        <v>#N/A</v>
      </c>
      <c r="J74" s="74" t="e">
        <f>VLOOKUP($A74,Data!$D$3:$CJ$128,71,FALSE)</f>
        <v>#N/A</v>
      </c>
      <c r="K74" s="74" t="e">
        <f>VLOOKUP($A74,Data!$D$3:$CJ$128,72,FALSE)</f>
        <v>#N/A</v>
      </c>
      <c r="L74" s="74" t="e">
        <f>VLOOKUP($A74,Data!$D$3:$CJ$128,73,FALSE)</f>
        <v>#N/A</v>
      </c>
      <c r="M74" s="74" t="e">
        <f>VLOOKUP($A74,Data!$D$3:$CJ$128,74,FALSE)</f>
        <v>#N/A</v>
      </c>
      <c r="N74" s="78" t="e">
        <f t="shared" si="7"/>
        <v>#N/A</v>
      </c>
      <c r="O74" s="78" t="e">
        <f t="shared" si="8"/>
        <v>#N/A</v>
      </c>
      <c r="P74" s="78" t="e">
        <f t="shared" si="9"/>
        <v>#N/A</v>
      </c>
      <c r="Q74" s="78" t="e">
        <f t="shared" si="10"/>
        <v>#N/A</v>
      </c>
      <c r="R74" s="78" t="e">
        <f t="shared" si="11"/>
        <v>#N/A</v>
      </c>
      <c r="S74" s="78" t="e">
        <f t="shared" si="12"/>
        <v>#N/A</v>
      </c>
      <c r="T74" s="74" t="e">
        <f t="shared" si="13"/>
        <v>#N/A</v>
      </c>
      <c r="U74" s="74" t="e">
        <f t="shared" si="14"/>
        <v>#N/A</v>
      </c>
      <c r="V74" s="74" t="e">
        <f t="shared" si="15"/>
        <v>#N/A</v>
      </c>
      <c r="W74" s="74" t="e">
        <f t="shared" si="16"/>
        <v>#N/A</v>
      </c>
      <c r="X74" s="74" t="e">
        <f t="shared" si="17"/>
        <v>#N/A</v>
      </c>
      <c r="Y74" s="74" t="e">
        <f t="shared" si="18"/>
        <v>#N/A</v>
      </c>
    </row>
    <row r="75" spans="1:25">
      <c r="A75" s="88">
        <f>'Batch input'!A74</f>
        <v>0</v>
      </c>
      <c r="B75">
        <f>'Batch input'!B74</f>
        <v>0</v>
      </c>
      <c r="C75" t="e">
        <f>VLOOKUP($A75,Data!$D$3:$CJ$128,30,FALSE)</f>
        <v>#N/A</v>
      </c>
      <c r="D75" s="74" t="e">
        <f>VLOOKUP($A75,Data!$D$3:$CJ$128,64,FALSE)</f>
        <v>#N/A</v>
      </c>
      <c r="E75" s="74" t="e">
        <f>VLOOKUP($A75,Data!$D$3:$CJ$128,66,FALSE)</f>
        <v>#N/A</v>
      </c>
      <c r="F75" s="74" t="e">
        <f>VLOOKUP($A75,Data!$D$3:$CJ$128,67,FALSE)</f>
        <v>#N/A</v>
      </c>
      <c r="G75" s="78" t="e">
        <f>VLOOKUP($A75,Data!$D$3:$CJ$128,68,FALSE)</f>
        <v>#N/A</v>
      </c>
      <c r="H75" s="78" t="e">
        <f>VLOOKUP($A75,Data!$D$3:$CJ$128,69,FALSE)</f>
        <v>#N/A</v>
      </c>
      <c r="I75" s="74" t="e">
        <f>VLOOKUP($A75,Data!$D$3:$CJ$128,70,FALSE)</f>
        <v>#N/A</v>
      </c>
      <c r="J75" s="74" t="e">
        <f>VLOOKUP($A75,Data!$D$3:$CJ$128,71,FALSE)</f>
        <v>#N/A</v>
      </c>
      <c r="K75" s="74" t="e">
        <f>VLOOKUP($A75,Data!$D$3:$CJ$128,72,FALSE)</f>
        <v>#N/A</v>
      </c>
      <c r="L75" s="74" t="e">
        <f>VLOOKUP($A75,Data!$D$3:$CJ$128,73,FALSE)</f>
        <v>#N/A</v>
      </c>
      <c r="M75" s="74" t="e">
        <f>VLOOKUP($A75,Data!$D$3:$CJ$128,74,FALSE)</f>
        <v>#N/A</v>
      </c>
      <c r="N75" s="78" t="e">
        <f t="shared" si="7"/>
        <v>#N/A</v>
      </c>
      <c r="O75" s="78" t="e">
        <f t="shared" si="8"/>
        <v>#N/A</v>
      </c>
      <c r="P75" s="78" t="e">
        <f t="shared" si="9"/>
        <v>#N/A</v>
      </c>
      <c r="Q75" s="78" t="e">
        <f t="shared" si="10"/>
        <v>#N/A</v>
      </c>
      <c r="R75" s="78" t="e">
        <f t="shared" si="11"/>
        <v>#N/A</v>
      </c>
      <c r="S75" s="78" t="e">
        <f t="shared" si="12"/>
        <v>#N/A</v>
      </c>
      <c r="T75" s="74" t="e">
        <f t="shared" si="13"/>
        <v>#N/A</v>
      </c>
      <c r="U75" s="74" t="e">
        <f t="shared" si="14"/>
        <v>#N/A</v>
      </c>
      <c r="V75" s="74" t="e">
        <f t="shared" si="15"/>
        <v>#N/A</v>
      </c>
      <c r="W75" s="74" t="e">
        <f t="shared" si="16"/>
        <v>#N/A</v>
      </c>
      <c r="X75" s="74" t="e">
        <f t="shared" si="17"/>
        <v>#N/A</v>
      </c>
      <c r="Y75" s="74" t="e">
        <f t="shared" si="18"/>
        <v>#N/A</v>
      </c>
    </row>
    <row r="76" spans="1:25">
      <c r="A76" s="88">
        <f>'Batch input'!A75</f>
        <v>0</v>
      </c>
      <c r="B76">
        <f>'Batch input'!B75</f>
        <v>0</v>
      </c>
      <c r="C76" t="e">
        <f>VLOOKUP($A76,Data!$D$3:$CJ$128,30,FALSE)</f>
        <v>#N/A</v>
      </c>
      <c r="D76" s="74" t="e">
        <f>VLOOKUP($A76,Data!$D$3:$CJ$128,64,FALSE)</f>
        <v>#N/A</v>
      </c>
      <c r="E76" s="74" t="e">
        <f>VLOOKUP($A76,Data!$D$3:$CJ$128,66,FALSE)</f>
        <v>#N/A</v>
      </c>
      <c r="F76" s="74" t="e">
        <f>VLOOKUP($A76,Data!$D$3:$CJ$128,67,FALSE)</f>
        <v>#N/A</v>
      </c>
      <c r="G76" s="78" t="e">
        <f>VLOOKUP($A76,Data!$D$3:$CJ$128,68,FALSE)</f>
        <v>#N/A</v>
      </c>
      <c r="H76" s="78" t="e">
        <f>VLOOKUP($A76,Data!$D$3:$CJ$128,69,FALSE)</f>
        <v>#N/A</v>
      </c>
      <c r="I76" s="74" t="e">
        <f>VLOOKUP($A76,Data!$D$3:$CJ$128,70,FALSE)</f>
        <v>#N/A</v>
      </c>
      <c r="J76" s="74" t="e">
        <f>VLOOKUP($A76,Data!$D$3:$CJ$128,71,FALSE)</f>
        <v>#N/A</v>
      </c>
      <c r="K76" s="74" t="e">
        <f>VLOOKUP($A76,Data!$D$3:$CJ$128,72,FALSE)</f>
        <v>#N/A</v>
      </c>
      <c r="L76" s="74" t="e">
        <f>VLOOKUP($A76,Data!$D$3:$CJ$128,73,FALSE)</f>
        <v>#N/A</v>
      </c>
      <c r="M76" s="74" t="e">
        <f>VLOOKUP($A76,Data!$D$3:$CJ$128,74,FALSE)</f>
        <v>#N/A</v>
      </c>
      <c r="N76" s="78" t="e">
        <f t="shared" si="7"/>
        <v>#N/A</v>
      </c>
      <c r="O76" s="78" t="e">
        <f t="shared" si="8"/>
        <v>#N/A</v>
      </c>
      <c r="P76" s="78" t="e">
        <f t="shared" si="9"/>
        <v>#N/A</v>
      </c>
      <c r="Q76" s="78" t="e">
        <f t="shared" si="10"/>
        <v>#N/A</v>
      </c>
      <c r="R76" s="78" t="e">
        <f t="shared" si="11"/>
        <v>#N/A</v>
      </c>
      <c r="S76" s="78" t="e">
        <f t="shared" si="12"/>
        <v>#N/A</v>
      </c>
      <c r="T76" s="74" t="e">
        <f t="shared" si="13"/>
        <v>#N/A</v>
      </c>
      <c r="U76" s="74" t="e">
        <f t="shared" si="14"/>
        <v>#N/A</v>
      </c>
      <c r="V76" s="74" t="e">
        <f t="shared" si="15"/>
        <v>#N/A</v>
      </c>
      <c r="W76" s="74" t="e">
        <f t="shared" si="16"/>
        <v>#N/A</v>
      </c>
      <c r="X76" s="74" t="e">
        <f t="shared" si="17"/>
        <v>#N/A</v>
      </c>
      <c r="Y76" s="74" t="e">
        <f t="shared" si="18"/>
        <v>#N/A</v>
      </c>
    </row>
    <row r="77" spans="1:25">
      <c r="A77" s="88">
        <f>'Batch input'!A76</f>
        <v>0</v>
      </c>
      <c r="B77">
        <f>'Batch input'!B76</f>
        <v>0</v>
      </c>
      <c r="C77" t="e">
        <f>VLOOKUP($A77,Data!$D$3:$CJ$128,30,FALSE)</f>
        <v>#N/A</v>
      </c>
      <c r="D77" s="74" t="e">
        <f>VLOOKUP($A77,Data!$D$3:$CJ$128,64,FALSE)</f>
        <v>#N/A</v>
      </c>
      <c r="E77" s="74" t="e">
        <f>VLOOKUP($A77,Data!$D$3:$CJ$128,66,FALSE)</f>
        <v>#N/A</v>
      </c>
      <c r="F77" s="74" t="e">
        <f>VLOOKUP($A77,Data!$D$3:$CJ$128,67,FALSE)</f>
        <v>#N/A</v>
      </c>
      <c r="G77" s="78" t="e">
        <f>VLOOKUP($A77,Data!$D$3:$CJ$128,68,FALSE)</f>
        <v>#N/A</v>
      </c>
      <c r="H77" s="78" t="e">
        <f>VLOOKUP($A77,Data!$D$3:$CJ$128,69,FALSE)</f>
        <v>#N/A</v>
      </c>
      <c r="I77" s="74" t="e">
        <f>VLOOKUP($A77,Data!$D$3:$CJ$128,70,FALSE)</f>
        <v>#N/A</v>
      </c>
      <c r="J77" s="74" t="e">
        <f>VLOOKUP($A77,Data!$D$3:$CJ$128,71,FALSE)</f>
        <v>#N/A</v>
      </c>
      <c r="K77" s="74" t="e">
        <f>VLOOKUP($A77,Data!$D$3:$CJ$128,72,FALSE)</f>
        <v>#N/A</v>
      </c>
      <c r="L77" s="74" t="e">
        <f>VLOOKUP($A77,Data!$D$3:$CJ$128,73,FALSE)</f>
        <v>#N/A</v>
      </c>
      <c r="M77" s="74" t="e">
        <f>VLOOKUP($A77,Data!$D$3:$CJ$128,74,FALSE)</f>
        <v>#N/A</v>
      </c>
      <c r="N77" s="78" t="e">
        <f t="shared" si="7"/>
        <v>#N/A</v>
      </c>
      <c r="O77" s="78" t="e">
        <f t="shared" si="8"/>
        <v>#N/A</v>
      </c>
      <c r="P77" s="78" t="e">
        <f t="shared" si="9"/>
        <v>#N/A</v>
      </c>
      <c r="Q77" s="78" t="e">
        <f t="shared" si="10"/>
        <v>#N/A</v>
      </c>
      <c r="R77" s="78" t="e">
        <f t="shared" si="11"/>
        <v>#N/A</v>
      </c>
      <c r="S77" s="78" t="e">
        <f t="shared" si="12"/>
        <v>#N/A</v>
      </c>
      <c r="T77" s="74" t="e">
        <f t="shared" si="13"/>
        <v>#N/A</v>
      </c>
      <c r="U77" s="74" t="e">
        <f t="shared" si="14"/>
        <v>#N/A</v>
      </c>
      <c r="V77" s="74" t="e">
        <f t="shared" si="15"/>
        <v>#N/A</v>
      </c>
      <c r="W77" s="74" t="e">
        <f t="shared" si="16"/>
        <v>#N/A</v>
      </c>
      <c r="X77" s="74" t="e">
        <f t="shared" si="17"/>
        <v>#N/A</v>
      </c>
      <c r="Y77" s="74" t="e">
        <f t="shared" si="18"/>
        <v>#N/A</v>
      </c>
    </row>
    <row r="78" spans="1:25">
      <c r="A78" s="88">
        <f>'Batch input'!A77</f>
        <v>0</v>
      </c>
      <c r="B78">
        <f>'Batch input'!B77</f>
        <v>0</v>
      </c>
      <c r="C78" t="e">
        <f>VLOOKUP($A78,Data!$D$3:$CJ$128,30,FALSE)</f>
        <v>#N/A</v>
      </c>
      <c r="D78" s="74" t="e">
        <f>VLOOKUP($A78,Data!$D$3:$CJ$128,64,FALSE)</f>
        <v>#N/A</v>
      </c>
      <c r="E78" s="74" t="e">
        <f>VLOOKUP($A78,Data!$D$3:$CJ$128,66,FALSE)</f>
        <v>#N/A</v>
      </c>
      <c r="F78" s="74" t="e">
        <f>VLOOKUP($A78,Data!$D$3:$CJ$128,67,FALSE)</f>
        <v>#N/A</v>
      </c>
      <c r="G78" s="78" t="e">
        <f>VLOOKUP($A78,Data!$D$3:$CJ$128,68,FALSE)</f>
        <v>#N/A</v>
      </c>
      <c r="H78" s="78" t="e">
        <f>VLOOKUP($A78,Data!$D$3:$CJ$128,69,FALSE)</f>
        <v>#N/A</v>
      </c>
      <c r="I78" s="74" t="e">
        <f>VLOOKUP($A78,Data!$D$3:$CJ$128,70,FALSE)</f>
        <v>#N/A</v>
      </c>
      <c r="J78" s="74" t="e">
        <f>VLOOKUP($A78,Data!$D$3:$CJ$128,71,FALSE)</f>
        <v>#N/A</v>
      </c>
      <c r="K78" s="74" t="e">
        <f>VLOOKUP($A78,Data!$D$3:$CJ$128,72,FALSE)</f>
        <v>#N/A</v>
      </c>
      <c r="L78" s="74" t="e">
        <f>VLOOKUP($A78,Data!$D$3:$CJ$128,73,FALSE)</f>
        <v>#N/A</v>
      </c>
      <c r="M78" s="74" t="e">
        <f>VLOOKUP($A78,Data!$D$3:$CJ$128,74,FALSE)</f>
        <v>#N/A</v>
      </c>
      <c r="N78" s="78" t="e">
        <f t="shared" si="7"/>
        <v>#N/A</v>
      </c>
      <c r="O78" s="78" t="e">
        <f t="shared" si="8"/>
        <v>#N/A</v>
      </c>
      <c r="P78" s="78" t="e">
        <f t="shared" si="9"/>
        <v>#N/A</v>
      </c>
      <c r="Q78" s="78" t="e">
        <f t="shared" si="10"/>
        <v>#N/A</v>
      </c>
      <c r="R78" s="78" t="e">
        <f t="shared" si="11"/>
        <v>#N/A</v>
      </c>
      <c r="S78" s="78" t="e">
        <f t="shared" si="12"/>
        <v>#N/A</v>
      </c>
      <c r="T78" s="74" t="e">
        <f t="shared" si="13"/>
        <v>#N/A</v>
      </c>
      <c r="U78" s="74" t="e">
        <f t="shared" si="14"/>
        <v>#N/A</v>
      </c>
      <c r="V78" s="74" t="e">
        <f t="shared" si="15"/>
        <v>#N/A</v>
      </c>
      <c r="W78" s="74" t="e">
        <f t="shared" si="16"/>
        <v>#N/A</v>
      </c>
      <c r="X78" s="74" t="e">
        <f t="shared" si="17"/>
        <v>#N/A</v>
      </c>
      <c r="Y78" s="74" t="e">
        <f t="shared" si="18"/>
        <v>#N/A</v>
      </c>
    </row>
    <row r="79" spans="1:25">
      <c r="A79" s="88">
        <f>'Batch input'!A78</f>
        <v>0</v>
      </c>
      <c r="B79">
        <f>'Batch input'!B78</f>
        <v>0</v>
      </c>
      <c r="C79" t="e">
        <f>VLOOKUP($A79,Data!$D$3:$CJ$128,30,FALSE)</f>
        <v>#N/A</v>
      </c>
      <c r="D79" s="74" t="e">
        <f>VLOOKUP($A79,Data!$D$3:$CJ$128,64,FALSE)</f>
        <v>#N/A</v>
      </c>
      <c r="E79" s="74" t="e">
        <f>VLOOKUP($A79,Data!$D$3:$CJ$128,66,FALSE)</f>
        <v>#N/A</v>
      </c>
      <c r="F79" s="74" t="e">
        <f>VLOOKUP($A79,Data!$D$3:$CJ$128,67,FALSE)</f>
        <v>#N/A</v>
      </c>
      <c r="G79" s="78" t="e">
        <f>VLOOKUP($A79,Data!$D$3:$CJ$128,68,FALSE)</f>
        <v>#N/A</v>
      </c>
      <c r="H79" s="78" t="e">
        <f>VLOOKUP($A79,Data!$D$3:$CJ$128,69,FALSE)</f>
        <v>#N/A</v>
      </c>
      <c r="I79" s="74" t="e">
        <f>VLOOKUP($A79,Data!$D$3:$CJ$128,70,FALSE)</f>
        <v>#N/A</v>
      </c>
      <c r="J79" s="74" t="e">
        <f>VLOOKUP($A79,Data!$D$3:$CJ$128,71,FALSE)</f>
        <v>#N/A</v>
      </c>
      <c r="K79" s="74" t="e">
        <f>VLOOKUP($A79,Data!$D$3:$CJ$128,72,FALSE)</f>
        <v>#N/A</v>
      </c>
      <c r="L79" s="74" t="e">
        <f>VLOOKUP($A79,Data!$D$3:$CJ$128,73,FALSE)</f>
        <v>#N/A</v>
      </c>
      <c r="M79" s="74" t="e">
        <f>VLOOKUP($A79,Data!$D$3:$CJ$128,74,FALSE)</f>
        <v>#N/A</v>
      </c>
      <c r="N79" s="78" t="e">
        <f t="shared" si="7"/>
        <v>#N/A</v>
      </c>
      <c r="O79" s="78" t="e">
        <f t="shared" si="8"/>
        <v>#N/A</v>
      </c>
      <c r="P79" s="78" t="e">
        <f t="shared" si="9"/>
        <v>#N/A</v>
      </c>
      <c r="Q79" s="78" t="e">
        <f t="shared" si="10"/>
        <v>#N/A</v>
      </c>
      <c r="R79" s="78" t="e">
        <f t="shared" si="11"/>
        <v>#N/A</v>
      </c>
      <c r="S79" s="78" t="e">
        <f t="shared" si="12"/>
        <v>#N/A</v>
      </c>
      <c r="T79" s="74" t="e">
        <f t="shared" si="13"/>
        <v>#N/A</v>
      </c>
      <c r="U79" s="74" t="e">
        <f t="shared" si="14"/>
        <v>#N/A</v>
      </c>
      <c r="V79" s="74" t="e">
        <f t="shared" si="15"/>
        <v>#N/A</v>
      </c>
      <c r="W79" s="74" t="e">
        <f t="shared" si="16"/>
        <v>#N/A</v>
      </c>
      <c r="X79" s="74" t="e">
        <f t="shared" si="17"/>
        <v>#N/A</v>
      </c>
      <c r="Y79" s="74" t="e">
        <f t="shared" si="18"/>
        <v>#N/A</v>
      </c>
    </row>
    <row r="80" spans="1:25">
      <c r="A80" s="88">
        <f>'Batch input'!A79</f>
        <v>0</v>
      </c>
      <c r="B80">
        <f>'Batch input'!B79</f>
        <v>0</v>
      </c>
      <c r="C80" t="e">
        <f>VLOOKUP($A80,Data!$D$3:$CJ$128,30,FALSE)</f>
        <v>#N/A</v>
      </c>
      <c r="D80" s="74" t="e">
        <f>VLOOKUP($A80,Data!$D$3:$CJ$128,64,FALSE)</f>
        <v>#N/A</v>
      </c>
      <c r="E80" s="74" t="e">
        <f>VLOOKUP($A80,Data!$D$3:$CJ$128,66,FALSE)</f>
        <v>#N/A</v>
      </c>
      <c r="F80" s="74" t="e">
        <f>VLOOKUP($A80,Data!$D$3:$CJ$128,67,FALSE)</f>
        <v>#N/A</v>
      </c>
      <c r="G80" s="78" t="e">
        <f>VLOOKUP($A80,Data!$D$3:$CJ$128,68,FALSE)</f>
        <v>#N/A</v>
      </c>
      <c r="H80" s="78" t="e">
        <f>VLOOKUP($A80,Data!$D$3:$CJ$128,69,FALSE)</f>
        <v>#N/A</v>
      </c>
      <c r="I80" s="74" t="e">
        <f>VLOOKUP($A80,Data!$D$3:$CJ$128,70,FALSE)</f>
        <v>#N/A</v>
      </c>
      <c r="J80" s="74" t="e">
        <f>VLOOKUP($A80,Data!$D$3:$CJ$128,71,FALSE)</f>
        <v>#N/A</v>
      </c>
      <c r="K80" s="74" t="e">
        <f>VLOOKUP($A80,Data!$D$3:$CJ$128,72,FALSE)</f>
        <v>#N/A</v>
      </c>
      <c r="L80" s="74" t="e">
        <f>VLOOKUP($A80,Data!$D$3:$CJ$128,73,FALSE)</f>
        <v>#N/A</v>
      </c>
      <c r="M80" s="74" t="e">
        <f>VLOOKUP($A80,Data!$D$3:$CJ$128,74,FALSE)</f>
        <v>#N/A</v>
      </c>
      <c r="N80" s="78" t="e">
        <f t="shared" si="7"/>
        <v>#N/A</v>
      </c>
      <c r="O80" s="78" t="e">
        <f t="shared" si="8"/>
        <v>#N/A</v>
      </c>
      <c r="P80" s="78" t="e">
        <f t="shared" si="9"/>
        <v>#N/A</v>
      </c>
      <c r="Q80" s="78" t="e">
        <f t="shared" si="10"/>
        <v>#N/A</v>
      </c>
      <c r="R80" s="78" t="e">
        <f t="shared" si="11"/>
        <v>#N/A</v>
      </c>
      <c r="S80" s="78" t="e">
        <f t="shared" si="12"/>
        <v>#N/A</v>
      </c>
      <c r="T80" s="74" t="e">
        <f t="shared" si="13"/>
        <v>#N/A</v>
      </c>
      <c r="U80" s="74" t="e">
        <f t="shared" si="14"/>
        <v>#N/A</v>
      </c>
      <c r="V80" s="74" t="e">
        <f t="shared" si="15"/>
        <v>#N/A</v>
      </c>
      <c r="W80" s="74" t="e">
        <f t="shared" si="16"/>
        <v>#N/A</v>
      </c>
      <c r="X80" s="74" t="e">
        <f t="shared" si="17"/>
        <v>#N/A</v>
      </c>
      <c r="Y80" s="74" t="e">
        <f t="shared" si="18"/>
        <v>#N/A</v>
      </c>
    </row>
    <row r="81" spans="1:25">
      <c r="A81" s="88">
        <f>'Batch input'!A80</f>
        <v>0</v>
      </c>
      <c r="B81">
        <f>'Batch input'!B80</f>
        <v>0</v>
      </c>
      <c r="C81" t="e">
        <f>VLOOKUP($A81,Data!$D$3:$CJ$128,30,FALSE)</f>
        <v>#N/A</v>
      </c>
      <c r="D81" s="74" t="e">
        <f>VLOOKUP($A81,Data!$D$3:$CJ$128,64,FALSE)</f>
        <v>#N/A</v>
      </c>
      <c r="E81" s="74" t="e">
        <f>VLOOKUP($A81,Data!$D$3:$CJ$128,66,FALSE)</f>
        <v>#N/A</v>
      </c>
      <c r="F81" s="74" t="e">
        <f>VLOOKUP($A81,Data!$D$3:$CJ$128,67,FALSE)</f>
        <v>#N/A</v>
      </c>
      <c r="G81" s="78" t="e">
        <f>VLOOKUP($A81,Data!$D$3:$CJ$128,68,FALSE)</f>
        <v>#N/A</v>
      </c>
      <c r="H81" s="78" t="e">
        <f>VLOOKUP($A81,Data!$D$3:$CJ$128,69,FALSE)</f>
        <v>#N/A</v>
      </c>
      <c r="I81" s="74" t="e">
        <f>VLOOKUP($A81,Data!$D$3:$CJ$128,70,FALSE)</f>
        <v>#N/A</v>
      </c>
      <c r="J81" s="74" t="e">
        <f>VLOOKUP($A81,Data!$D$3:$CJ$128,71,FALSE)</f>
        <v>#N/A</v>
      </c>
      <c r="K81" s="74" t="e">
        <f>VLOOKUP($A81,Data!$D$3:$CJ$128,72,FALSE)</f>
        <v>#N/A</v>
      </c>
      <c r="L81" s="74" t="e">
        <f>VLOOKUP($A81,Data!$D$3:$CJ$128,73,FALSE)</f>
        <v>#N/A</v>
      </c>
      <c r="M81" s="74" t="e">
        <f>VLOOKUP($A81,Data!$D$3:$CJ$128,74,FALSE)</f>
        <v>#N/A</v>
      </c>
      <c r="N81" s="78" t="e">
        <f t="shared" si="7"/>
        <v>#N/A</v>
      </c>
      <c r="O81" s="78" t="e">
        <f t="shared" si="8"/>
        <v>#N/A</v>
      </c>
      <c r="P81" s="78" t="e">
        <f t="shared" si="9"/>
        <v>#N/A</v>
      </c>
      <c r="Q81" s="78" t="e">
        <f t="shared" si="10"/>
        <v>#N/A</v>
      </c>
      <c r="R81" s="78" t="e">
        <f t="shared" si="11"/>
        <v>#N/A</v>
      </c>
      <c r="S81" s="78" t="e">
        <f t="shared" si="12"/>
        <v>#N/A</v>
      </c>
      <c r="T81" s="74" t="e">
        <f t="shared" si="13"/>
        <v>#N/A</v>
      </c>
      <c r="U81" s="74" t="e">
        <f t="shared" si="14"/>
        <v>#N/A</v>
      </c>
      <c r="V81" s="74" t="e">
        <f t="shared" si="15"/>
        <v>#N/A</v>
      </c>
      <c r="W81" s="74" t="e">
        <f t="shared" si="16"/>
        <v>#N/A</v>
      </c>
      <c r="X81" s="74" t="e">
        <f t="shared" si="17"/>
        <v>#N/A</v>
      </c>
      <c r="Y81" s="74" t="e">
        <f t="shared" si="18"/>
        <v>#N/A</v>
      </c>
    </row>
    <row r="82" spans="1:25">
      <c r="A82" s="88">
        <f>'Batch input'!A81</f>
        <v>0</v>
      </c>
      <c r="B82">
        <f>'Batch input'!B81</f>
        <v>0</v>
      </c>
      <c r="C82" t="e">
        <f>VLOOKUP($A82,Data!$D$3:$CJ$128,30,FALSE)</f>
        <v>#N/A</v>
      </c>
      <c r="D82" s="74" t="e">
        <f>VLOOKUP($A82,Data!$D$3:$CJ$128,64,FALSE)</f>
        <v>#N/A</v>
      </c>
      <c r="E82" s="74" t="e">
        <f>VLOOKUP($A82,Data!$D$3:$CJ$128,66,FALSE)</f>
        <v>#N/A</v>
      </c>
      <c r="F82" s="74" t="e">
        <f>VLOOKUP($A82,Data!$D$3:$CJ$128,67,FALSE)</f>
        <v>#N/A</v>
      </c>
      <c r="G82" s="78" t="e">
        <f>VLOOKUP($A82,Data!$D$3:$CJ$128,68,FALSE)</f>
        <v>#N/A</v>
      </c>
      <c r="H82" s="78" t="e">
        <f>VLOOKUP($A82,Data!$D$3:$CJ$128,69,FALSE)</f>
        <v>#N/A</v>
      </c>
      <c r="I82" s="74" t="e">
        <f>VLOOKUP($A82,Data!$D$3:$CJ$128,70,FALSE)</f>
        <v>#N/A</v>
      </c>
      <c r="J82" s="74" t="e">
        <f>VLOOKUP($A82,Data!$D$3:$CJ$128,71,FALSE)</f>
        <v>#N/A</v>
      </c>
      <c r="K82" s="74" t="e">
        <f>VLOOKUP($A82,Data!$D$3:$CJ$128,72,FALSE)</f>
        <v>#N/A</v>
      </c>
      <c r="L82" s="74" t="e">
        <f>VLOOKUP($A82,Data!$D$3:$CJ$128,73,FALSE)</f>
        <v>#N/A</v>
      </c>
      <c r="M82" s="74" t="e">
        <f>VLOOKUP($A82,Data!$D$3:$CJ$128,74,FALSE)</f>
        <v>#N/A</v>
      </c>
      <c r="N82" s="78" t="e">
        <f t="shared" si="7"/>
        <v>#N/A</v>
      </c>
      <c r="O82" s="78" t="e">
        <f t="shared" si="8"/>
        <v>#N/A</v>
      </c>
      <c r="P82" s="78" t="e">
        <f t="shared" si="9"/>
        <v>#N/A</v>
      </c>
      <c r="Q82" s="78" t="e">
        <f t="shared" si="10"/>
        <v>#N/A</v>
      </c>
      <c r="R82" s="78" t="e">
        <f t="shared" si="11"/>
        <v>#N/A</v>
      </c>
      <c r="S82" s="78" t="e">
        <f t="shared" si="12"/>
        <v>#N/A</v>
      </c>
      <c r="T82" s="74" t="e">
        <f t="shared" si="13"/>
        <v>#N/A</v>
      </c>
      <c r="U82" s="74" t="e">
        <f t="shared" si="14"/>
        <v>#N/A</v>
      </c>
      <c r="V82" s="74" t="e">
        <f t="shared" si="15"/>
        <v>#N/A</v>
      </c>
      <c r="W82" s="74" t="e">
        <f t="shared" si="16"/>
        <v>#N/A</v>
      </c>
      <c r="X82" s="74" t="e">
        <f t="shared" si="17"/>
        <v>#N/A</v>
      </c>
      <c r="Y82" s="74" t="e">
        <f t="shared" si="18"/>
        <v>#N/A</v>
      </c>
    </row>
    <row r="83" spans="1:25">
      <c r="A83" s="88">
        <f>'Batch input'!A82</f>
        <v>0</v>
      </c>
      <c r="B83">
        <f>'Batch input'!B82</f>
        <v>0</v>
      </c>
      <c r="C83" t="e">
        <f>VLOOKUP($A83,Data!$D$3:$CJ$128,30,FALSE)</f>
        <v>#N/A</v>
      </c>
      <c r="D83" s="74" t="e">
        <f>VLOOKUP($A83,Data!$D$3:$CJ$128,64,FALSE)</f>
        <v>#N/A</v>
      </c>
      <c r="E83" s="74" t="e">
        <f>VLOOKUP($A83,Data!$D$3:$CJ$128,66,FALSE)</f>
        <v>#N/A</v>
      </c>
      <c r="F83" s="74" t="e">
        <f>VLOOKUP($A83,Data!$D$3:$CJ$128,67,FALSE)</f>
        <v>#N/A</v>
      </c>
      <c r="G83" s="78" t="e">
        <f>VLOOKUP($A83,Data!$D$3:$CJ$128,68,FALSE)</f>
        <v>#N/A</v>
      </c>
      <c r="H83" s="78" t="e">
        <f>VLOOKUP($A83,Data!$D$3:$CJ$128,69,FALSE)</f>
        <v>#N/A</v>
      </c>
      <c r="I83" s="74" t="e">
        <f>VLOOKUP($A83,Data!$D$3:$CJ$128,70,FALSE)</f>
        <v>#N/A</v>
      </c>
      <c r="J83" s="74" t="e">
        <f>VLOOKUP($A83,Data!$D$3:$CJ$128,71,FALSE)</f>
        <v>#N/A</v>
      </c>
      <c r="K83" s="74" t="e">
        <f>VLOOKUP($A83,Data!$D$3:$CJ$128,72,FALSE)</f>
        <v>#N/A</v>
      </c>
      <c r="L83" s="74" t="e">
        <f>VLOOKUP($A83,Data!$D$3:$CJ$128,73,FALSE)</f>
        <v>#N/A</v>
      </c>
      <c r="M83" s="74" t="e">
        <f>VLOOKUP($A83,Data!$D$3:$CJ$128,74,FALSE)</f>
        <v>#N/A</v>
      </c>
      <c r="N83" s="78" t="e">
        <f t="shared" si="7"/>
        <v>#N/A</v>
      </c>
      <c r="O83" s="78" t="e">
        <f t="shared" si="8"/>
        <v>#N/A</v>
      </c>
      <c r="P83" s="78" t="e">
        <f t="shared" si="9"/>
        <v>#N/A</v>
      </c>
      <c r="Q83" s="78" t="e">
        <f t="shared" si="10"/>
        <v>#N/A</v>
      </c>
      <c r="R83" s="78" t="e">
        <f t="shared" si="11"/>
        <v>#N/A</v>
      </c>
      <c r="S83" s="78" t="e">
        <f t="shared" si="12"/>
        <v>#N/A</v>
      </c>
      <c r="T83" s="74" t="e">
        <f t="shared" si="13"/>
        <v>#N/A</v>
      </c>
      <c r="U83" s="74" t="e">
        <f t="shared" si="14"/>
        <v>#N/A</v>
      </c>
      <c r="V83" s="74" t="e">
        <f t="shared" si="15"/>
        <v>#N/A</v>
      </c>
      <c r="W83" s="74" t="e">
        <f t="shared" si="16"/>
        <v>#N/A</v>
      </c>
      <c r="X83" s="74" t="e">
        <f t="shared" si="17"/>
        <v>#N/A</v>
      </c>
      <c r="Y83" s="74" t="e">
        <f t="shared" si="18"/>
        <v>#N/A</v>
      </c>
    </row>
    <row r="84" spans="1:25">
      <c r="A84" s="88">
        <f>'Batch input'!A83</f>
        <v>0</v>
      </c>
      <c r="B84">
        <f>'Batch input'!B83</f>
        <v>0</v>
      </c>
      <c r="C84" t="e">
        <f>VLOOKUP($A84,Data!$D$3:$CJ$128,30,FALSE)</f>
        <v>#N/A</v>
      </c>
      <c r="D84" s="74" t="e">
        <f>VLOOKUP($A84,Data!$D$3:$CJ$128,64,FALSE)</f>
        <v>#N/A</v>
      </c>
      <c r="E84" s="74" t="e">
        <f>VLOOKUP($A84,Data!$D$3:$CJ$128,66,FALSE)</f>
        <v>#N/A</v>
      </c>
      <c r="F84" s="74" t="e">
        <f>VLOOKUP($A84,Data!$D$3:$CJ$128,67,FALSE)</f>
        <v>#N/A</v>
      </c>
      <c r="G84" s="78" t="e">
        <f>VLOOKUP($A84,Data!$D$3:$CJ$128,68,FALSE)</f>
        <v>#N/A</v>
      </c>
      <c r="H84" s="78" t="e">
        <f>VLOOKUP($A84,Data!$D$3:$CJ$128,69,FALSE)</f>
        <v>#N/A</v>
      </c>
      <c r="I84" s="74" t="e">
        <f>VLOOKUP($A84,Data!$D$3:$CJ$128,70,FALSE)</f>
        <v>#N/A</v>
      </c>
      <c r="J84" s="74" t="e">
        <f>VLOOKUP($A84,Data!$D$3:$CJ$128,71,FALSE)</f>
        <v>#N/A</v>
      </c>
      <c r="K84" s="74" t="e">
        <f>VLOOKUP($A84,Data!$D$3:$CJ$128,72,FALSE)</f>
        <v>#N/A</v>
      </c>
      <c r="L84" s="74" t="e">
        <f>VLOOKUP($A84,Data!$D$3:$CJ$128,73,FALSE)</f>
        <v>#N/A</v>
      </c>
      <c r="M84" s="74" t="e">
        <f>VLOOKUP($A84,Data!$D$3:$CJ$128,74,FALSE)</f>
        <v>#N/A</v>
      </c>
      <c r="N84" s="78" t="e">
        <f t="shared" si="7"/>
        <v>#N/A</v>
      </c>
      <c r="O84" s="78" t="e">
        <f t="shared" si="8"/>
        <v>#N/A</v>
      </c>
      <c r="P84" s="78" t="e">
        <f t="shared" si="9"/>
        <v>#N/A</v>
      </c>
      <c r="Q84" s="78" t="e">
        <f t="shared" si="10"/>
        <v>#N/A</v>
      </c>
      <c r="R84" s="78" t="e">
        <f t="shared" si="11"/>
        <v>#N/A</v>
      </c>
      <c r="S84" s="78" t="e">
        <f t="shared" si="12"/>
        <v>#N/A</v>
      </c>
      <c r="T84" s="74" t="e">
        <f t="shared" si="13"/>
        <v>#N/A</v>
      </c>
      <c r="U84" s="74" t="e">
        <f t="shared" si="14"/>
        <v>#N/A</v>
      </c>
      <c r="V84" s="74" t="e">
        <f t="shared" si="15"/>
        <v>#N/A</v>
      </c>
      <c r="W84" s="74" t="e">
        <f t="shared" si="16"/>
        <v>#N/A</v>
      </c>
      <c r="X84" s="74" t="e">
        <f t="shared" si="17"/>
        <v>#N/A</v>
      </c>
      <c r="Y84" s="74" t="e">
        <f t="shared" si="18"/>
        <v>#N/A</v>
      </c>
    </row>
    <row r="85" spans="1:25">
      <c r="A85" s="88">
        <f>'Batch input'!A84</f>
        <v>0</v>
      </c>
      <c r="B85">
        <f>'Batch input'!B84</f>
        <v>0</v>
      </c>
      <c r="C85" t="e">
        <f>VLOOKUP($A85,Data!$D$3:$CJ$128,30,FALSE)</f>
        <v>#N/A</v>
      </c>
      <c r="D85" s="74" t="e">
        <f>VLOOKUP($A85,Data!$D$3:$CJ$128,64,FALSE)</f>
        <v>#N/A</v>
      </c>
      <c r="E85" s="74" t="e">
        <f>VLOOKUP($A85,Data!$D$3:$CJ$128,66,FALSE)</f>
        <v>#N/A</v>
      </c>
      <c r="F85" s="74" t="e">
        <f>VLOOKUP($A85,Data!$D$3:$CJ$128,67,FALSE)</f>
        <v>#N/A</v>
      </c>
      <c r="G85" s="78" t="e">
        <f>VLOOKUP($A85,Data!$D$3:$CJ$128,68,FALSE)</f>
        <v>#N/A</v>
      </c>
      <c r="H85" s="78" t="e">
        <f>VLOOKUP($A85,Data!$D$3:$CJ$128,69,FALSE)</f>
        <v>#N/A</v>
      </c>
      <c r="I85" s="74" t="e">
        <f>VLOOKUP($A85,Data!$D$3:$CJ$128,70,FALSE)</f>
        <v>#N/A</v>
      </c>
      <c r="J85" s="74" t="e">
        <f>VLOOKUP($A85,Data!$D$3:$CJ$128,71,FALSE)</f>
        <v>#N/A</v>
      </c>
      <c r="K85" s="74" t="e">
        <f>VLOOKUP($A85,Data!$D$3:$CJ$128,72,FALSE)</f>
        <v>#N/A</v>
      </c>
      <c r="L85" s="74" t="e">
        <f>VLOOKUP($A85,Data!$D$3:$CJ$128,73,FALSE)</f>
        <v>#N/A</v>
      </c>
      <c r="M85" s="74" t="e">
        <f>VLOOKUP($A85,Data!$D$3:$CJ$128,74,FALSE)</f>
        <v>#N/A</v>
      </c>
      <c r="N85" s="78" t="e">
        <f t="shared" si="7"/>
        <v>#N/A</v>
      </c>
      <c r="O85" s="78" t="e">
        <f t="shared" si="8"/>
        <v>#N/A</v>
      </c>
      <c r="P85" s="78" t="e">
        <f t="shared" si="9"/>
        <v>#N/A</v>
      </c>
      <c r="Q85" s="78" t="e">
        <f t="shared" si="10"/>
        <v>#N/A</v>
      </c>
      <c r="R85" s="78" t="e">
        <f t="shared" si="11"/>
        <v>#N/A</v>
      </c>
      <c r="S85" s="78" t="e">
        <f t="shared" si="12"/>
        <v>#N/A</v>
      </c>
      <c r="T85" s="74" t="e">
        <f t="shared" si="13"/>
        <v>#N/A</v>
      </c>
      <c r="U85" s="74" t="e">
        <f t="shared" si="14"/>
        <v>#N/A</v>
      </c>
      <c r="V85" s="74" t="e">
        <f t="shared" si="15"/>
        <v>#N/A</v>
      </c>
      <c r="W85" s="74" t="e">
        <f t="shared" si="16"/>
        <v>#N/A</v>
      </c>
      <c r="X85" s="74" t="e">
        <f t="shared" si="17"/>
        <v>#N/A</v>
      </c>
      <c r="Y85" s="74" t="e">
        <f t="shared" si="18"/>
        <v>#N/A</v>
      </c>
    </row>
    <row r="86" spans="1:25">
      <c r="A86" s="88">
        <f>'Batch input'!A85</f>
        <v>0</v>
      </c>
      <c r="B86">
        <f>'Batch input'!B85</f>
        <v>0</v>
      </c>
      <c r="C86" t="e">
        <f>VLOOKUP($A86,Data!$D$3:$CJ$128,30,FALSE)</f>
        <v>#N/A</v>
      </c>
      <c r="D86" s="74" t="e">
        <f>VLOOKUP($A86,Data!$D$3:$CJ$128,64,FALSE)</f>
        <v>#N/A</v>
      </c>
      <c r="E86" s="74" t="e">
        <f>VLOOKUP($A86,Data!$D$3:$CJ$128,66,FALSE)</f>
        <v>#N/A</v>
      </c>
      <c r="F86" s="74" t="e">
        <f>VLOOKUP($A86,Data!$D$3:$CJ$128,67,FALSE)</f>
        <v>#N/A</v>
      </c>
      <c r="G86" s="78" t="e">
        <f>VLOOKUP($A86,Data!$D$3:$CJ$128,68,FALSE)</f>
        <v>#N/A</v>
      </c>
      <c r="H86" s="78" t="e">
        <f>VLOOKUP($A86,Data!$D$3:$CJ$128,69,FALSE)</f>
        <v>#N/A</v>
      </c>
      <c r="I86" s="74" t="e">
        <f>VLOOKUP($A86,Data!$D$3:$CJ$128,70,FALSE)</f>
        <v>#N/A</v>
      </c>
      <c r="J86" s="74" t="e">
        <f>VLOOKUP($A86,Data!$D$3:$CJ$128,71,FALSE)</f>
        <v>#N/A</v>
      </c>
      <c r="K86" s="74" t="e">
        <f>VLOOKUP($A86,Data!$D$3:$CJ$128,72,FALSE)</f>
        <v>#N/A</v>
      </c>
      <c r="L86" s="74" t="e">
        <f>VLOOKUP($A86,Data!$D$3:$CJ$128,73,FALSE)</f>
        <v>#N/A</v>
      </c>
      <c r="M86" s="74" t="e">
        <f>VLOOKUP($A86,Data!$D$3:$CJ$128,74,FALSE)</f>
        <v>#N/A</v>
      </c>
      <c r="N86" s="78" t="e">
        <f t="shared" si="7"/>
        <v>#N/A</v>
      </c>
      <c r="O86" s="78" t="e">
        <f t="shared" si="8"/>
        <v>#N/A</v>
      </c>
      <c r="P86" s="78" t="e">
        <f t="shared" si="9"/>
        <v>#N/A</v>
      </c>
      <c r="Q86" s="78" t="e">
        <f t="shared" si="10"/>
        <v>#N/A</v>
      </c>
      <c r="R86" s="78" t="e">
        <f t="shared" si="11"/>
        <v>#N/A</v>
      </c>
      <c r="S86" s="78" t="e">
        <f t="shared" si="12"/>
        <v>#N/A</v>
      </c>
      <c r="T86" s="74" t="e">
        <f t="shared" si="13"/>
        <v>#N/A</v>
      </c>
      <c r="U86" s="74" t="e">
        <f t="shared" si="14"/>
        <v>#N/A</v>
      </c>
      <c r="V86" s="74" t="e">
        <f t="shared" si="15"/>
        <v>#N/A</v>
      </c>
      <c r="W86" s="74" t="e">
        <f t="shared" si="16"/>
        <v>#N/A</v>
      </c>
      <c r="X86" s="74" t="e">
        <f t="shared" si="17"/>
        <v>#N/A</v>
      </c>
      <c r="Y86" s="74" t="e">
        <f t="shared" si="18"/>
        <v>#N/A</v>
      </c>
    </row>
    <row r="87" spans="1:25">
      <c r="A87" s="88">
        <f>'Batch input'!A86</f>
        <v>0</v>
      </c>
      <c r="B87">
        <f>'Batch input'!B86</f>
        <v>0</v>
      </c>
      <c r="C87" t="e">
        <f>VLOOKUP($A87,Data!$D$3:$CJ$128,30,FALSE)</f>
        <v>#N/A</v>
      </c>
      <c r="D87" s="74" t="e">
        <f>VLOOKUP($A87,Data!$D$3:$CJ$128,64,FALSE)</f>
        <v>#N/A</v>
      </c>
      <c r="E87" s="74" t="e">
        <f>VLOOKUP($A87,Data!$D$3:$CJ$128,66,FALSE)</f>
        <v>#N/A</v>
      </c>
      <c r="F87" s="74" t="e">
        <f>VLOOKUP($A87,Data!$D$3:$CJ$128,67,FALSE)</f>
        <v>#N/A</v>
      </c>
      <c r="G87" s="78" t="e">
        <f>VLOOKUP($A87,Data!$D$3:$CJ$128,68,FALSE)</f>
        <v>#N/A</v>
      </c>
      <c r="H87" s="78" t="e">
        <f>VLOOKUP($A87,Data!$D$3:$CJ$128,69,FALSE)</f>
        <v>#N/A</v>
      </c>
      <c r="I87" s="74" t="e">
        <f>VLOOKUP($A87,Data!$D$3:$CJ$128,70,FALSE)</f>
        <v>#N/A</v>
      </c>
      <c r="J87" s="74" t="e">
        <f>VLOOKUP($A87,Data!$D$3:$CJ$128,71,FALSE)</f>
        <v>#N/A</v>
      </c>
      <c r="K87" s="74" t="e">
        <f>VLOOKUP($A87,Data!$D$3:$CJ$128,72,FALSE)</f>
        <v>#N/A</v>
      </c>
      <c r="L87" s="74" t="e">
        <f>VLOOKUP($A87,Data!$D$3:$CJ$128,73,FALSE)</f>
        <v>#N/A</v>
      </c>
      <c r="M87" s="74" t="e">
        <f>VLOOKUP($A87,Data!$D$3:$CJ$128,74,FALSE)</f>
        <v>#N/A</v>
      </c>
      <c r="N87" s="78" t="e">
        <f t="shared" si="7"/>
        <v>#N/A</v>
      </c>
      <c r="O87" s="78" t="e">
        <f t="shared" si="8"/>
        <v>#N/A</v>
      </c>
      <c r="P87" s="78" t="e">
        <f t="shared" si="9"/>
        <v>#N/A</v>
      </c>
      <c r="Q87" s="78" t="e">
        <f t="shared" si="10"/>
        <v>#N/A</v>
      </c>
      <c r="R87" s="78" t="e">
        <f t="shared" si="11"/>
        <v>#N/A</v>
      </c>
      <c r="S87" s="78" t="e">
        <f t="shared" si="12"/>
        <v>#N/A</v>
      </c>
      <c r="T87" s="74" t="e">
        <f t="shared" si="13"/>
        <v>#N/A</v>
      </c>
      <c r="U87" s="74" t="e">
        <f t="shared" si="14"/>
        <v>#N/A</v>
      </c>
      <c r="V87" s="74" t="e">
        <f t="shared" si="15"/>
        <v>#N/A</v>
      </c>
      <c r="W87" s="74" t="e">
        <f t="shared" si="16"/>
        <v>#N/A</v>
      </c>
      <c r="X87" s="74" t="e">
        <f t="shared" si="17"/>
        <v>#N/A</v>
      </c>
      <c r="Y87" s="74" t="e">
        <f t="shared" si="18"/>
        <v>#N/A</v>
      </c>
    </row>
    <row r="88" spans="1:25">
      <c r="A88" s="88">
        <f>'Batch input'!A87</f>
        <v>0</v>
      </c>
      <c r="B88">
        <f>'Batch input'!B87</f>
        <v>0</v>
      </c>
      <c r="C88" t="e">
        <f>VLOOKUP($A88,Data!$D$3:$CJ$128,30,FALSE)</f>
        <v>#N/A</v>
      </c>
      <c r="D88" s="74" t="e">
        <f>VLOOKUP($A88,Data!$D$3:$CJ$128,64,FALSE)</f>
        <v>#N/A</v>
      </c>
      <c r="E88" s="74" t="e">
        <f>VLOOKUP($A88,Data!$D$3:$CJ$128,66,FALSE)</f>
        <v>#N/A</v>
      </c>
      <c r="F88" s="74" t="e">
        <f>VLOOKUP($A88,Data!$D$3:$CJ$128,67,FALSE)</f>
        <v>#N/A</v>
      </c>
      <c r="G88" s="78" t="e">
        <f>VLOOKUP($A88,Data!$D$3:$CJ$128,68,FALSE)</f>
        <v>#N/A</v>
      </c>
      <c r="H88" s="78" t="e">
        <f>VLOOKUP($A88,Data!$D$3:$CJ$128,69,FALSE)</f>
        <v>#N/A</v>
      </c>
      <c r="I88" s="74" t="e">
        <f>VLOOKUP($A88,Data!$D$3:$CJ$128,70,FALSE)</f>
        <v>#N/A</v>
      </c>
      <c r="J88" s="74" t="e">
        <f>VLOOKUP($A88,Data!$D$3:$CJ$128,71,FALSE)</f>
        <v>#N/A</v>
      </c>
      <c r="K88" s="74" t="e">
        <f>VLOOKUP($A88,Data!$D$3:$CJ$128,72,FALSE)</f>
        <v>#N/A</v>
      </c>
      <c r="L88" s="74" t="e">
        <f>VLOOKUP($A88,Data!$D$3:$CJ$128,73,FALSE)</f>
        <v>#N/A</v>
      </c>
      <c r="M88" s="74" t="e">
        <f>VLOOKUP($A88,Data!$D$3:$CJ$128,74,FALSE)</f>
        <v>#N/A</v>
      </c>
      <c r="N88" s="78" t="e">
        <f t="shared" si="7"/>
        <v>#N/A</v>
      </c>
      <c r="O88" s="78" t="e">
        <f t="shared" si="8"/>
        <v>#N/A</v>
      </c>
      <c r="P88" s="78" t="e">
        <f t="shared" si="9"/>
        <v>#N/A</v>
      </c>
      <c r="Q88" s="78" t="e">
        <f t="shared" si="10"/>
        <v>#N/A</v>
      </c>
      <c r="R88" s="78" t="e">
        <f t="shared" si="11"/>
        <v>#N/A</v>
      </c>
      <c r="S88" s="78" t="e">
        <f t="shared" si="12"/>
        <v>#N/A</v>
      </c>
      <c r="T88" s="74" t="e">
        <f t="shared" si="13"/>
        <v>#N/A</v>
      </c>
      <c r="U88" s="74" t="e">
        <f t="shared" si="14"/>
        <v>#N/A</v>
      </c>
      <c r="V88" s="74" t="e">
        <f t="shared" si="15"/>
        <v>#N/A</v>
      </c>
      <c r="W88" s="74" t="e">
        <f t="shared" si="16"/>
        <v>#N/A</v>
      </c>
      <c r="X88" s="74" t="e">
        <f t="shared" si="17"/>
        <v>#N/A</v>
      </c>
      <c r="Y88" s="74" t="e">
        <f t="shared" si="18"/>
        <v>#N/A</v>
      </c>
    </row>
    <row r="89" spans="1:25">
      <c r="A89" s="88">
        <f>'Batch input'!A88</f>
        <v>0</v>
      </c>
      <c r="B89">
        <f>'Batch input'!B88</f>
        <v>0</v>
      </c>
      <c r="C89" t="e">
        <f>VLOOKUP($A89,Data!$D$3:$CJ$128,30,FALSE)</f>
        <v>#N/A</v>
      </c>
      <c r="D89" s="74" t="e">
        <f>VLOOKUP($A89,Data!$D$3:$CJ$128,64,FALSE)</f>
        <v>#N/A</v>
      </c>
      <c r="E89" s="74" t="e">
        <f>VLOOKUP($A89,Data!$D$3:$CJ$128,66,FALSE)</f>
        <v>#N/A</v>
      </c>
      <c r="F89" s="74" t="e">
        <f>VLOOKUP($A89,Data!$D$3:$CJ$128,67,FALSE)</f>
        <v>#N/A</v>
      </c>
      <c r="G89" s="78" t="e">
        <f>VLOOKUP($A89,Data!$D$3:$CJ$128,68,FALSE)</f>
        <v>#N/A</v>
      </c>
      <c r="H89" s="78" t="e">
        <f>VLOOKUP($A89,Data!$D$3:$CJ$128,69,FALSE)</f>
        <v>#N/A</v>
      </c>
      <c r="I89" s="74" t="e">
        <f>VLOOKUP($A89,Data!$D$3:$CJ$128,70,FALSE)</f>
        <v>#N/A</v>
      </c>
      <c r="J89" s="74" t="e">
        <f>VLOOKUP($A89,Data!$D$3:$CJ$128,71,FALSE)</f>
        <v>#N/A</v>
      </c>
      <c r="K89" s="74" t="e">
        <f>VLOOKUP($A89,Data!$D$3:$CJ$128,72,FALSE)</f>
        <v>#N/A</v>
      </c>
      <c r="L89" s="74" t="e">
        <f>VLOOKUP($A89,Data!$D$3:$CJ$128,73,FALSE)</f>
        <v>#N/A</v>
      </c>
      <c r="M89" s="74" t="e">
        <f>VLOOKUP($A89,Data!$D$3:$CJ$128,74,FALSE)</f>
        <v>#N/A</v>
      </c>
      <c r="N89" s="78" t="e">
        <f t="shared" si="7"/>
        <v>#N/A</v>
      </c>
      <c r="O89" s="78" t="e">
        <f t="shared" si="8"/>
        <v>#N/A</v>
      </c>
      <c r="P89" s="78" t="e">
        <f t="shared" si="9"/>
        <v>#N/A</v>
      </c>
      <c r="Q89" s="78" t="e">
        <f t="shared" si="10"/>
        <v>#N/A</v>
      </c>
      <c r="R89" s="78" t="e">
        <f t="shared" si="11"/>
        <v>#N/A</v>
      </c>
      <c r="S89" s="78" t="e">
        <f t="shared" si="12"/>
        <v>#N/A</v>
      </c>
      <c r="T89" s="74" t="e">
        <f t="shared" si="13"/>
        <v>#N/A</v>
      </c>
      <c r="U89" s="74" t="e">
        <f t="shared" si="14"/>
        <v>#N/A</v>
      </c>
      <c r="V89" s="74" t="e">
        <f t="shared" si="15"/>
        <v>#N/A</v>
      </c>
      <c r="W89" s="74" t="e">
        <f t="shared" si="16"/>
        <v>#N/A</v>
      </c>
      <c r="X89" s="74" t="e">
        <f t="shared" si="17"/>
        <v>#N/A</v>
      </c>
      <c r="Y89" s="74" t="e">
        <f t="shared" si="18"/>
        <v>#N/A</v>
      </c>
    </row>
    <row r="90" spans="1:25">
      <c r="A90" s="88">
        <f>'Batch input'!A89</f>
        <v>0</v>
      </c>
      <c r="B90">
        <f>'Batch input'!B89</f>
        <v>0</v>
      </c>
      <c r="C90" t="e">
        <f>VLOOKUP($A90,Data!$D$3:$CJ$128,30,FALSE)</f>
        <v>#N/A</v>
      </c>
      <c r="D90" s="74" t="e">
        <f>VLOOKUP($A90,Data!$D$3:$CJ$128,64,FALSE)</f>
        <v>#N/A</v>
      </c>
      <c r="E90" s="74" t="e">
        <f>VLOOKUP($A90,Data!$D$3:$CJ$128,66,FALSE)</f>
        <v>#N/A</v>
      </c>
      <c r="F90" s="74" t="e">
        <f>VLOOKUP($A90,Data!$D$3:$CJ$128,67,FALSE)</f>
        <v>#N/A</v>
      </c>
      <c r="G90" s="78" t="e">
        <f>VLOOKUP($A90,Data!$D$3:$CJ$128,68,FALSE)</f>
        <v>#N/A</v>
      </c>
      <c r="H90" s="78" t="e">
        <f>VLOOKUP($A90,Data!$D$3:$CJ$128,69,FALSE)</f>
        <v>#N/A</v>
      </c>
      <c r="I90" s="74" t="e">
        <f>VLOOKUP($A90,Data!$D$3:$CJ$128,70,FALSE)</f>
        <v>#N/A</v>
      </c>
      <c r="J90" s="74" t="e">
        <f>VLOOKUP($A90,Data!$D$3:$CJ$128,71,FALSE)</f>
        <v>#N/A</v>
      </c>
      <c r="K90" s="74" t="e">
        <f>VLOOKUP($A90,Data!$D$3:$CJ$128,72,FALSE)</f>
        <v>#N/A</v>
      </c>
      <c r="L90" s="74" t="e">
        <f>VLOOKUP($A90,Data!$D$3:$CJ$128,73,FALSE)</f>
        <v>#N/A</v>
      </c>
      <c r="M90" s="74" t="e">
        <f>VLOOKUP($A90,Data!$D$3:$CJ$128,74,FALSE)</f>
        <v>#N/A</v>
      </c>
      <c r="N90" s="78" t="e">
        <f t="shared" si="7"/>
        <v>#N/A</v>
      </c>
      <c r="O90" s="78" t="e">
        <f t="shared" si="8"/>
        <v>#N/A</v>
      </c>
      <c r="P90" s="78" t="e">
        <f t="shared" si="9"/>
        <v>#N/A</v>
      </c>
      <c r="Q90" s="78" t="e">
        <f t="shared" si="10"/>
        <v>#N/A</v>
      </c>
      <c r="R90" s="78" t="e">
        <f t="shared" si="11"/>
        <v>#N/A</v>
      </c>
      <c r="S90" s="78" t="e">
        <f t="shared" si="12"/>
        <v>#N/A</v>
      </c>
      <c r="T90" s="74" t="e">
        <f t="shared" si="13"/>
        <v>#N/A</v>
      </c>
      <c r="U90" s="74" t="e">
        <f t="shared" si="14"/>
        <v>#N/A</v>
      </c>
      <c r="V90" s="74" t="e">
        <f t="shared" si="15"/>
        <v>#N/A</v>
      </c>
      <c r="W90" s="74" t="e">
        <f t="shared" si="16"/>
        <v>#N/A</v>
      </c>
      <c r="X90" s="74" t="e">
        <f t="shared" si="17"/>
        <v>#N/A</v>
      </c>
      <c r="Y90" s="74" t="e">
        <f t="shared" si="18"/>
        <v>#N/A</v>
      </c>
    </row>
    <row r="91" spans="1:25">
      <c r="A91" s="88">
        <f>'Batch input'!A90</f>
        <v>0</v>
      </c>
      <c r="B91">
        <f>'Batch input'!B90</f>
        <v>0</v>
      </c>
      <c r="C91" t="e">
        <f>VLOOKUP($A91,Data!$D$3:$CJ$128,30,FALSE)</f>
        <v>#N/A</v>
      </c>
      <c r="D91" s="74" t="e">
        <f>VLOOKUP($A91,Data!$D$3:$CJ$128,64,FALSE)</f>
        <v>#N/A</v>
      </c>
      <c r="E91" s="74" t="e">
        <f>VLOOKUP($A91,Data!$D$3:$CJ$128,66,FALSE)</f>
        <v>#N/A</v>
      </c>
      <c r="F91" s="74" t="e">
        <f>VLOOKUP($A91,Data!$D$3:$CJ$128,67,FALSE)</f>
        <v>#N/A</v>
      </c>
      <c r="G91" s="78" t="e">
        <f>VLOOKUP($A91,Data!$D$3:$CJ$128,68,FALSE)</f>
        <v>#N/A</v>
      </c>
      <c r="H91" s="78" t="e">
        <f>VLOOKUP($A91,Data!$D$3:$CJ$128,69,FALSE)</f>
        <v>#N/A</v>
      </c>
      <c r="I91" s="74" t="e">
        <f>VLOOKUP($A91,Data!$D$3:$CJ$128,70,FALSE)</f>
        <v>#N/A</v>
      </c>
      <c r="J91" s="74" t="e">
        <f>VLOOKUP($A91,Data!$D$3:$CJ$128,71,FALSE)</f>
        <v>#N/A</v>
      </c>
      <c r="K91" s="74" t="e">
        <f>VLOOKUP($A91,Data!$D$3:$CJ$128,72,FALSE)</f>
        <v>#N/A</v>
      </c>
      <c r="L91" s="74" t="e">
        <f>VLOOKUP($A91,Data!$D$3:$CJ$128,73,FALSE)</f>
        <v>#N/A</v>
      </c>
      <c r="M91" s="74" t="e">
        <f>VLOOKUP($A91,Data!$D$3:$CJ$128,74,FALSE)</f>
        <v>#N/A</v>
      </c>
      <c r="N91" s="78" t="e">
        <f t="shared" si="7"/>
        <v>#N/A</v>
      </c>
      <c r="O91" s="78" t="e">
        <f t="shared" si="8"/>
        <v>#N/A</v>
      </c>
      <c r="P91" s="78" t="e">
        <f t="shared" si="9"/>
        <v>#N/A</v>
      </c>
      <c r="Q91" s="78" t="e">
        <f t="shared" si="10"/>
        <v>#N/A</v>
      </c>
      <c r="R91" s="78" t="e">
        <f t="shared" si="11"/>
        <v>#N/A</v>
      </c>
      <c r="S91" s="78" t="e">
        <f t="shared" si="12"/>
        <v>#N/A</v>
      </c>
      <c r="T91" s="74" t="e">
        <f t="shared" si="13"/>
        <v>#N/A</v>
      </c>
      <c r="U91" s="74" t="e">
        <f t="shared" si="14"/>
        <v>#N/A</v>
      </c>
      <c r="V91" s="74" t="e">
        <f t="shared" si="15"/>
        <v>#N/A</v>
      </c>
      <c r="W91" s="74" t="e">
        <f t="shared" si="16"/>
        <v>#N/A</v>
      </c>
      <c r="X91" s="74" t="e">
        <f t="shared" si="17"/>
        <v>#N/A</v>
      </c>
      <c r="Y91" s="74" t="e">
        <f t="shared" si="18"/>
        <v>#N/A</v>
      </c>
    </row>
    <row r="92" spans="1:25">
      <c r="A92" s="88">
        <f>'Batch input'!A91</f>
        <v>0</v>
      </c>
      <c r="B92">
        <f>'Batch input'!B91</f>
        <v>0</v>
      </c>
      <c r="C92" t="e">
        <f>VLOOKUP($A92,Data!$D$3:$CJ$128,30,FALSE)</f>
        <v>#N/A</v>
      </c>
      <c r="D92" s="74" t="e">
        <f>VLOOKUP($A92,Data!$D$3:$CJ$128,64,FALSE)</f>
        <v>#N/A</v>
      </c>
      <c r="E92" s="74" t="e">
        <f>VLOOKUP($A92,Data!$D$3:$CJ$128,66,FALSE)</f>
        <v>#N/A</v>
      </c>
      <c r="F92" s="74" t="e">
        <f>VLOOKUP($A92,Data!$D$3:$CJ$128,67,FALSE)</f>
        <v>#N/A</v>
      </c>
      <c r="G92" s="78" t="e">
        <f>VLOOKUP($A92,Data!$D$3:$CJ$128,68,FALSE)</f>
        <v>#N/A</v>
      </c>
      <c r="H92" s="78" t="e">
        <f>VLOOKUP($A92,Data!$D$3:$CJ$128,69,FALSE)</f>
        <v>#N/A</v>
      </c>
      <c r="I92" s="74" t="e">
        <f>VLOOKUP($A92,Data!$D$3:$CJ$128,70,FALSE)</f>
        <v>#N/A</v>
      </c>
      <c r="J92" s="74" t="e">
        <f>VLOOKUP($A92,Data!$D$3:$CJ$128,71,FALSE)</f>
        <v>#N/A</v>
      </c>
      <c r="K92" s="74" t="e">
        <f>VLOOKUP($A92,Data!$D$3:$CJ$128,72,FALSE)</f>
        <v>#N/A</v>
      </c>
      <c r="L92" s="74" t="e">
        <f>VLOOKUP($A92,Data!$D$3:$CJ$128,73,FALSE)</f>
        <v>#N/A</v>
      </c>
      <c r="M92" s="74" t="e">
        <f>VLOOKUP($A92,Data!$D$3:$CJ$128,74,FALSE)</f>
        <v>#N/A</v>
      </c>
      <c r="N92" s="78" t="e">
        <f t="shared" si="7"/>
        <v>#N/A</v>
      </c>
      <c r="O92" s="78" t="e">
        <f t="shared" si="8"/>
        <v>#N/A</v>
      </c>
      <c r="P92" s="78" t="e">
        <f t="shared" si="9"/>
        <v>#N/A</v>
      </c>
      <c r="Q92" s="78" t="e">
        <f t="shared" si="10"/>
        <v>#N/A</v>
      </c>
      <c r="R92" s="78" t="e">
        <f t="shared" si="11"/>
        <v>#N/A</v>
      </c>
      <c r="S92" s="78" t="e">
        <f t="shared" si="12"/>
        <v>#N/A</v>
      </c>
      <c r="T92" s="74" t="e">
        <f t="shared" si="13"/>
        <v>#N/A</v>
      </c>
      <c r="U92" s="74" t="e">
        <f t="shared" si="14"/>
        <v>#N/A</v>
      </c>
      <c r="V92" s="74" t="e">
        <f t="shared" si="15"/>
        <v>#N/A</v>
      </c>
      <c r="W92" s="74" t="e">
        <f t="shared" si="16"/>
        <v>#N/A</v>
      </c>
      <c r="X92" s="74" t="e">
        <f t="shared" si="17"/>
        <v>#N/A</v>
      </c>
      <c r="Y92" s="74" t="e">
        <f t="shared" si="18"/>
        <v>#N/A</v>
      </c>
    </row>
    <row r="93" spans="1:25">
      <c r="A93" s="88">
        <f>'Batch input'!A92</f>
        <v>0</v>
      </c>
      <c r="B93">
        <f>'Batch input'!B92</f>
        <v>0</v>
      </c>
      <c r="C93" t="e">
        <f>VLOOKUP($A93,Data!$D$3:$CJ$128,30,FALSE)</f>
        <v>#N/A</v>
      </c>
      <c r="D93" s="74" t="e">
        <f>VLOOKUP($A93,Data!$D$3:$CJ$128,64,FALSE)</f>
        <v>#N/A</v>
      </c>
      <c r="E93" s="74" t="e">
        <f>VLOOKUP($A93,Data!$D$3:$CJ$128,66,FALSE)</f>
        <v>#N/A</v>
      </c>
      <c r="F93" s="74" t="e">
        <f>VLOOKUP($A93,Data!$D$3:$CJ$128,67,FALSE)</f>
        <v>#N/A</v>
      </c>
      <c r="G93" s="78" t="e">
        <f>VLOOKUP($A93,Data!$D$3:$CJ$128,68,FALSE)</f>
        <v>#N/A</v>
      </c>
      <c r="H93" s="78" t="e">
        <f>VLOOKUP($A93,Data!$D$3:$CJ$128,69,FALSE)</f>
        <v>#N/A</v>
      </c>
      <c r="I93" s="74" t="e">
        <f>VLOOKUP($A93,Data!$D$3:$CJ$128,70,FALSE)</f>
        <v>#N/A</v>
      </c>
      <c r="J93" s="74" t="e">
        <f>VLOOKUP($A93,Data!$D$3:$CJ$128,71,FALSE)</f>
        <v>#N/A</v>
      </c>
      <c r="K93" s="74" t="e">
        <f>VLOOKUP($A93,Data!$D$3:$CJ$128,72,FALSE)</f>
        <v>#N/A</v>
      </c>
      <c r="L93" s="74" t="e">
        <f>VLOOKUP($A93,Data!$D$3:$CJ$128,73,FALSE)</f>
        <v>#N/A</v>
      </c>
      <c r="M93" s="74" t="e">
        <f>VLOOKUP($A93,Data!$D$3:$CJ$128,74,FALSE)</f>
        <v>#N/A</v>
      </c>
      <c r="N93" s="78" t="e">
        <f t="shared" si="7"/>
        <v>#N/A</v>
      </c>
      <c r="O93" s="78" t="e">
        <f t="shared" si="8"/>
        <v>#N/A</v>
      </c>
      <c r="P93" s="78" t="e">
        <f t="shared" si="9"/>
        <v>#N/A</v>
      </c>
      <c r="Q93" s="78" t="e">
        <f t="shared" si="10"/>
        <v>#N/A</v>
      </c>
      <c r="R93" s="78" t="e">
        <f t="shared" si="11"/>
        <v>#N/A</v>
      </c>
      <c r="S93" s="78" t="e">
        <f t="shared" si="12"/>
        <v>#N/A</v>
      </c>
      <c r="T93" s="74" t="e">
        <f t="shared" si="13"/>
        <v>#N/A</v>
      </c>
      <c r="U93" s="74" t="e">
        <f t="shared" si="14"/>
        <v>#N/A</v>
      </c>
      <c r="V93" s="74" t="e">
        <f t="shared" si="15"/>
        <v>#N/A</v>
      </c>
      <c r="W93" s="74" t="e">
        <f t="shared" si="16"/>
        <v>#N/A</v>
      </c>
      <c r="X93" s="74" t="e">
        <f t="shared" si="17"/>
        <v>#N/A</v>
      </c>
      <c r="Y93" s="74" t="e">
        <f t="shared" si="18"/>
        <v>#N/A</v>
      </c>
    </row>
    <row r="94" spans="1:25">
      <c r="A94" s="88">
        <f>'Batch input'!A93</f>
        <v>0</v>
      </c>
      <c r="B94">
        <f>'Batch input'!B93</f>
        <v>0</v>
      </c>
      <c r="C94" t="e">
        <f>VLOOKUP($A94,Data!$D$3:$CJ$128,30,FALSE)</f>
        <v>#N/A</v>
      </c>
      <c r="D94" s="74" t="e">
        <f>VLOOKUP($A94,Data!$D$3:$CJ$128,64,FALSE)</f>
        <v>#N/A</v>
      </c>
      <c r="E94" s="74" t="e">
        <f>VLOOKUP($A94,Data!$D$3:$CJ$128,66,FALSE)</f>
        <v>#N/A</v>
      </c>
      <c r="F94" s="74" t="e">
        <f>VLOOKUP($A94,Data!$D$3:$CJ$128,67,FALSE)</f>
        <v>#N/A</v>
      </c>
      <c r="G94" s="78" t="e">
        <f>VLOOKUP($A94,Data!$D$3:$CJ$128,68,FALSE)</f>
        <v>#N/A</v>
      </c>
      <c r="H94" s="78" t="e">
        <f>VLOOKUP($A94,Data!$D$3:$CJ$128,69,FALSE)</f>
        <v>#N/A</v>
      </c>
      <c r="I94" s="74" t="e">
        <f>VLOOKUP($A94,Data!$D$3:$CJ$128,70,FALSE)</f>
        <v>#N/A</v>
      </c>
      <c r="J94" s="74" t="e">
        <f>VLOOKUP($A94,Data!$D$3:$CJ$128,71,FALSE)</f>
        <v>#N/A</v>
      </c>
      <c r="K94" s="74" t="e">
        <f>VLOOKUP($A94,Data!$D$3:$CJ$128,72,FALSE)</f>
        <v>#N/A</v>
      </c>
      <c r="L94" s="74" t="e">
        <f>VLOOKUP($A94,Data!$D$3:$CJ$128,73,FALSE)</f>
        <v>#N/A</v>
      </c>
      <c r="M94" s="74" t="e">
        <f>VLOOKUP($A94,Data!$D$3:$CJ$128,74,FALSE)</f>
        <v>#N/A</v>
      </c>
      <c r="N94" s="78" t="e">
        <f t="shared" si="7"/>
        <v>#N/A</v>
      </c>
      <c r="O94" s="78" t="e">
        <f t="shared" si="8"/>
        <v>#N/A</v>
      </c>
      <c r="P94" s="78" t="e">
        <f t="shared" si="9"/>
        <v>#N/A</v>
      </c>
      <c r="Q94" s="78" t="e">
        <f t="shared" si="10"/>
        <v>#N/A</v>
      </c>
      <c r="R94" s="78" t="e">
        <f t="shared" si="11"/>
        <v>#N/A</v>
      </c>
      <c r="S94" s="78" t="e">
        <f t="shared" si="12"/>
        <v>#N/A</v>
      </c>
      <c r="T94" s="74" t="e">
        <f t="shared" si="13"/>
        <v>#N/A</v>
      </c>
      <c r="U94" s="74" t="e">
        <f t="shared" si="14"/>
        <v>#N/A</v>
      </c>
      <c r="V94" s="74" t="e">
        <f t="shared" si="15"/>
        <v>#N/A</v>
      </c>
      <c r="W94" s="74" t="e">
        <f t="shared" si="16"/>
        <v>#N/A</v>
      </c>
      <c r="X94" s="74" t="e">
        <f t="shared" si="17"/>
        <v>#N/A</v>
      </c>
      <c r="Y94" s="74" t="e">
        <f t="shared" si="18"/>
        <v>#N/A</v>
      </c>
    </row>
    <row r="95" spans="1:25">
      <c r="A95" s="88">
        <f>'Batch input'!A94</f>
        <v>0</v>
      </c>
      <c r="B95">
        <f>'Batch input'!B94</f>
        <v>0</v>
      </c>
      <c r="C95" t="e">
        <f>VLOOKUP($A95,Data!$D$3:$CJ$128,30,FALSE)</f>
        <v>#N/A</v>
      </c>
      <c r="D95" s="74" t="e">
        <f>VLOOKUP($A95,Data!$D$3:$CJ$128,64,FALSE)</f>
        <v>#N/A</v>
      </c>
      <c r="E95" s="74" t="e">
        <f>VLOOKUP($A95,Data!$D$3:$CJ$128,66,FALSE)</f>
        <v>#N/A</v>
      </c>
      <c r="F95" s="74" t="e">
        <f>VLOOKUP($A95,Data!$D$3:$CJ$128,67,FALSE)</f>
        <v>#N/A</v>
      </c>
      <c r="G95" s="78" t="e">
        <f>VLOOKUP($A95,Data!$D$3:$CJ$128,68,FALSE)</f>
        <v>#N/A</v>
      </c>
      <c r="H95" s="78" t="e">
        <f>VLOOKUP($A95,Data!$D$3:$CJ$128,69,FALSE)</f>
        <v>#N/A</v>
      </c>
      <c r="I95" s="74" t="e">
        <f>VLOOKUP($A95,Data!$D$3:$CJ$128,70,FALSE)</f>
        <v>#N/A</v>
      </c>
      <c r="J95" s="74" t="e">
        <f>VLOOKUP($A95,Data!$D$3:$CJ$128,71,FALSE)</f>
        <v>#N/A</v>
      </c>
      <c r="K95" s="74" t="e">
        <f>VLOOKUP($A95,Data!$D$3:$CJ$128,72,FALSE)</f>
        <v>#N/A</v>
      </c>
      <c r="L95" s="74" t="e">
        <f>VLOOKUP($A95,Data!$D$3:$CJ$128,73,FALSE)</f>
        <v>#N/A</v>
      </c>
      <c r="M95" s="74" t="e">
        <f>VLOOKUP($A95,Data!$D$3:$CJ$128,74,FALSE)</f>
        <v>#N/A</v>
      </c>
      <c r="N95" s="78" t="e">
        <f t="shared" si="7"/>
        <v>#N/A</v>
      </c>
      <c r="O95" s="78" t="e">
        <f t="shared" si="8"/>
        <v>#N/A</v>
      </c>
      <c r="P95" s="78" t="e">
        <f t="shared" si="9"/>
        <v>#N/A</v>
      </c>
      <c r="Q95" s="78" t="e">
        <f t="shared" si="10"/>
        <v>#N/A</v>
      </c>
      <c r="R95" s="78" t="e">
        <f t="shared" si="11"/>
        <v>#N/A</v>
      </c>
      <c r="S95" s="78" t="e">
        <f t="shared" si="12"/>
        <v>#N/A</v>
      </c>
      <c r="T95" s="74" t="e">
        <f t="shared" si="13"/>
        <v>#N/A</v>
      </c>
      <c r="U95" s="74" t="e">
        <f t="shared" si="14"/>
        <v>#N/A</v>
      </c>
      <c r="V95" s="74" t="e">
        <f t="shared" si="15"/>
        <v>#N/A</v>
      </c>
      <c r="W95" s="74" t="e">
        <f t="shared" si="16"/>
        <v>#N/A</v>
      </c>
      <c r="X95" s="74" t="e">
        <f t="shared" si="17"/>
        <v>#N/A</v>
      </c>
      <c r="Y95" s="74" t="e">
        <f t="shared" si="18"/>
        <v>#N/A</v>
      </c>
    </row>
    <row r="96" spans="1:25">
      <c r="A96" s="88">
        <f>'Batch input'!A95</f>
        <v>0</v>
      </c>
      <c r="B96">
        <f>'Batch input'!B95</f>
        <v>0</v>
      </c>
      <c r="C96" t="e">
        <f>VLOOKUP($A96,Data!$D$3:$CJ$128,30,FALSE)</f>
        <v>#N/A</v>
      </c>
      <c r="D96" s="74" t="e">
        <f>VLOOKUP($A96,Data!$D$3:$CJ$128,64,FALSE)</f>
        <v>#N/A</v>
      </c>
      <c r="E96" s="74" t="e">
        <f>VLOOKUP($A96,Data!$D$3:$CJ$128,66,FALSE)</f>
        <v>#N/A</v>
      </c>
      <c r="F96" s="74" t="e">
        <f>VLOOKUP($A96,Data!$D$3:$CJ$128,67,FALSE)</f>
        <v>#N/A</v>
      </c>
      <c r="G96" s="78" t="e">
        <f>VLOOKUP($A96,Data!$D$3:$CJ$128,68,FALSE)</f>
        <v>#N/A</v>
      </c>
      <c r="H96" s="78" t="e">
        <f>VLOOKUP($A96,Data!$D$3:$CJ$128,69,FALSE)</f>
        <v>#N/A</v>
      </c>
      <c r="I96" s="74" t="e">
        <f>VLOOKUP($A96,Data!$D$3:$CJ$128,70,FALSE)</f>
        <v>#N/A</v>
      </c>
      <c r="J96" s="74" t="e">
        <f>VLOOKUP($A96,Data!$D$3:$CJ$128,71,FALSE)</f>
        <v>#N/A</v>
      </c>
      <c r="K96" s="74" t="e">
        <f>VLOOKUP($A96,Data!$D$3:$CJ$128,72,FALSE)</f>
        <v>#N/A</v>
      </c>
      <c r="L96" s="74" t="e">
        <f>VLOOKUP($A96,Data!$D$3:$CJ$128,73,FALSE)</f>
        <v>#N/A</v>
      </c>
      <c r="M96" s="74" t="e">
        <f>VLOOKUP($A96,Data!$D$3:$CJ$128,74,FALSE)</f>
        <v>#N/A</v>
      </c>
      <c r="N96" s="78" t="e">
        <f t="shared" si="7"/>
        <v>#N/A</v>
      </c>
      <c r="O96" s="78" t="e">
        <f t="shared" si="8"/>
        <v>#N/A</v>
      </c>
      <c r="P96" s="78" t="e">
        <f t="shared" si="9"/>
        <v>#N/A</v>
      </c>
      <c r="Q96" s="78" t="e">
        <f t="shared" si="10"/>
        <v>#N/A</v>
      </c>
      <c r="R96" s="78" t="e">
        <f t="shared" si="11"/>
        <v>#N/A</v>
      </c>
      <c r="S96" s="78" t="e">
        <f t="shared" si="12"/>
        <v>#N/A</v>
      </c>
      <c r="T96" s="74" t="e">
        <f t="shared" si="13"/>
        <v>#N/A</v>
      </c>
      <c r="U96" s="74" t="e">
        <f t="shared" si="14"/>
        <v>#N/A</v>
      </c>
      <c r="V96" s="74" t="e">
        <f t="shared" si="15"/>
        <v>#N/A</v>
      </c>
      <c r="W96" s="74" t="e">
        <f t="shared" si="16"/>
        <v>#N/A</v>
      </c>
      <c r="X96" s="74" t="e">
        <f t="shared" si="17"/>
        <v>#N/A</v>
      </c>
      <c r="Y96" s="74" t="e">
        <f t="shared" si="18"/>
        <v>#N/A</v>
      </c>
    </row>
    <row r="97" spans="1:25">
      <c r="A97" s="88">
        <f>'Batch input'!A96</f>
        <v>0</v>
      </c>
      <c r="B97">
        <f>'Batch input'!B96</f>
        <v>0</v>
      </c>
      <c r="C97" t="e">
        <f>VLOOKUP($A97,Data!$D$3:$CJ$128,30,FALSE)</f>
        <v>#N/A</v>
      </c>
      <c r="D97" s="74" t="e">
        <f>VLOOKUP($A97,Data!$D$3:$CJ$128,64,FALSE)</f>
        <v>#N/A</v>
      </c>
      <c r="E97" s="74" t="e">
        <f>VLOOKUP($A97,Data!$D$3:$CJ$128,66,FALSE)</f>
        <v>#N/A</v>
      </c>
      <c r="F97" s="74" t="e">
        <f>VLOOKUP($A97,Data!$D$3:$CJ$128,67,FALSE)</f>
        <v>#N/A</v>
      </c>
      <c r="G97" s="78" t="e">
        <f>VLOOKUP($A97,Data!$D$3:$CJ$128,68,FALSE)</f>
        <v>#N/A</v>
      </c>
      <c r="H97" s="78" t="e">
        <f>VLOOKUP($A97,Data!$D$3:$CJ$128,69,FALSE)</f>
        <v>#N/A</v>
      </c>
      <c r="I97" s="74" t="e">
        <f>VLOOKUP($A97,Data!$D$3:$CJ$128,70,FALSE)</f>
        <v>#N/A</v>
      </c>
      <c r="J97" s="74" t="e">
        <f>VLOOKUP($A97,Data!$D$3:$CJ$128,71,FALSE)</f>
        <v>#N/A</v>
      </c>
      <c r="K97" s="74" t="e">
        <f>VLOOKUP($A97,Data!$D$3:$CJ$128,72,FALSE)</f>
        <v>#N/A</v>
      </c>
      <c r="L97" s="74" t="e">
        <f>VLOOKUP($A97,Data!$D$3:$CJ$128,73,FALSE)</f>
        <v>#N/A</v>
      </c>
      <c r="M97" s="74" t="e">
        <f>VLOOKUP($A97,Data!$D$3:$CJ$128,74,FALSE)</f>
        <v>#N/A</v>
      </c>
      <c r="N97" s="78" t="e">
        <f t="shared" si="7"/>
        <v>#N/A</v>
      </c>
      <c r="O97" s="78" t="e">
        <f t="shared" si="8"/>
        <v>#N/A</v>
      </c>
      <c r="P97" s="78" t="e">
        <f t="shared" si="9"/>
        <v>#N/A</v>
      </c>
      <c r="Q97" s="78" t="e">
        <f t="shared" si="10"/>
        <v>#N/A</v>
      </c>
      <c r="R97" s="78" t="e">
        <f t="shared" si="11"/>
        <v>#N/A</v>
      </c>
      <c r="S97" s="78" t="e">
        <f t="shared" si="12"/>
        <v>#N/A</v>
      </c>
      <c r="T97" s="74" t="e">
        <f t="shared" si="13"/>
        <v>#N/A</v>
      </c>
      <c r="U97" s="74" t="e">
        <f t="shared" si="14"/>
        <v>#N/A</v>
      </c>
      <c r="V97" s="74" t="e">
        <f t="shared" si="15"/>
        <v>#N/A</v>
      </c>
      <c r="W97" s="74" t="e">
        <f t="shared" si="16"/>
        <v>#N/A</v>
      </c>
      <c r="X97" s="74" t="e">
        <f t="shared" si="17"/>
        <v>#N/A</v>
      </c>
      <c r="Y97" s="74" t="e">
        <f t="shared" si="18"/>
        <v>#N/A</v>
      </c>
    </row>
    <row r="98" spans="1:25">
      <c r="A98" s="88">
        <f>'Batch input'!A97</f>
        <v>0</v>
      </c>
      <c r="B98">
        <f>'Batch input'!B97</f>
        <v>0</v>
      </c>
      <c r="C98" t="e">
        <f>VLOOKUP($A98,Data!$D$3:$CJ$128,30,FALSE)</f>
        <v>#N/A</v>
      </c>
      <c r="D98" s="74" t="e">
        <f>VLOOKUP($A98,Data!$D$3:$CJ$128,64,FALSE)</f>
        <v>#N/A</v>
      </c>
      <c r="E98" s="74" t="e">
        <f>VLOOKUP($A98,Data!$D$3:$CJ$128,66,FALSE)</f>
        <v>#N/A</v>
      </c>
      <c r="F98" s="74" t="e">
        <f>VLOOKUP($A98,Data!$D$3:$CJ$128,67,FALSE)</f>
        <v>#N/A</v>
      </c>
      <c r="G98" s="78" t="e">
        <f>VLOOKUP($A98,Data!$D$3:$CJ$128,68,FALSE)</f>
        <v>#N/A</v>
      </c>
      <c r="H98" s="78" t="e">
        <f>VLOOKUP($A98,Data!$D$3:$CJ$128,69,FALSE)</f>
        <v>#N/A</v>
      </c>
      <c r="I98" s="74" t="e">
        <f>VLOOKUP($A98,Data!$D$3:$CJ$128,70,FALSE)</f>
        <v>#N/A</v>
      </c>
      <c r="J98" s="74" t="e">
        <f>VLOOKUP($A98,Data!$D$3:$CJ$128,71,FALSE)</f>
        <v>#N/A</v>
      </c>
      <c r="K98" s="74" t="e">
        <f>VLOOKUP($A98,Data!$D$3:$CJ$128,72,FALSE)</f>
        <v>#N/A</v>
      </c>
      <c r="L98" s="74" t="e">
        <f>VLOOKUP($A98,Data!$D$3:$CJ$128,73,FALSE)</f>
        <v>#N/A</v>
      </c>
      <c r="M98" s="74" t="e">
        <f>VLOOKUP($A98,Data!$D$3:$CJ$128,74,FALSE)</f>
        <v>#N/A</v>
      </c>
      <c r="N98" s="78" t="e">
        <f t="shared" si="7"/>
        <v>#N/A</v>
      </c>
      <c r="O98" s="78" t="e">
        <f t="shared" si="8"/>
        <v>#N/A</v>
      </c>
      <c r="P98" s="78" t="e">
        <f t="shared" si="9"/>
        <v>#N/A</v>
      </c>
      <c r="Q98" s="78" t="e">
        <f t="shared" si="10"/>
        <v>#N/A</v>
      </c>
      <c r="R98" s="78" t="e">
        <f t="shared" si="11"/>
        <v>#N/A</v>
      </c>
      <c r="S98" s="78" t="e">
        <f t="shared" si="12"/>
        <v>#N/A</v>
      </c>
      <c r="T98" s="74" t="e">
        <f t="shared" si="13"/>
        <v>#N/A</v>
      </c>
      <c r="U98" s="74" t="e">
        <f t="shared" si="14"/>
        <v>#N/A</v>
      </c>
      <c r="V98" s="74" t="e">
        <f t="shared" si="15"/>
        <v>#N/A</v>
      </c>
      <c r="W98" s="74" t="e">
        <f t="shared" si="16"/>
        <v>#N/A</v>
      </c>
      <c r="X98" s="74" t="e">
        <f t="shared" si="17"/>
        <v>#N/A</v>
      </c>
      <c r="Y98" s="74" t="e">
        <f t="shared" si="18"/>
        <v>#N/A</v>
      </c>
    </row>
    <row r="99" spans="1:25">
      <c r="A99" s="88">
        <f>'Batch input'!A98</f>
        <v>0</v>
      </c>
      <c r="B99">
        <f>'Batch input'!B98</f>
        <v>0</v>
      </c>
      <c r="C99" t="e">
        <f>VLOOKUP($A99,Data!$D$3:$CJ$128,30,FALSE)</f>
        <v>#N/A</v>
      </c>
      <c r="D99" s="74" t="e">
        <f>VLOOKUP($A99,Data!$D$3:$CJ$128,64,FALSE)</f>
        <v>#N/A</v>
      </c>
      <c r="E99" s="74" t="e">
        <f>VLOOKUP($A99,Data!$D$3:$CJ$128,66,FALSE)</f>
        <v>#N/A</v>
      </c>
      <c r="F99" s="74" t="e">
        <f>VLOOKUP($A99,Data!$D$3:$CJ$128,67,FALSE)</f>
        <v>#N/A</v>
      </c>
      <c r="G99" s="78" t="e">
        <f>VLOOKUP($A99,Data!$D$3:$CJ$128,68,FALSE)</f>
        <v>#N/A</v>
      </c>
      <c r="H99" s="78" t="e">
        <f>VLOOKUP($A99,Data!$D$3:$CJ$128,69,FALSE)</f>
        <v>#N/A</v>
      </c>
      <c r="I99" s="74" t="e">
        <f>VLOOKUP($A99,Data!$D$3:$CJ$128,70,FALSE)</f>
        <v>#N/A</v>
      </c>
      <c r="J99" s="74" t="e">
        <f>VLOOKUP($A99,Data!$D$3:$CJ$128,71,FALSE)</f>
        <v>#N/A</v>
      </c>
      <c r="K99" s="74" t="e">
        <f>VLOOKUP($A99,Data!$D$3:$CJ$128,72,FALSE)</f>
        <v>#N/A</v>
      </c>
      <c r="L99" s="74" t="e">
        <f>VLOOKUP($A99,Data!$D$3:$CJ$128,73,FALSE)</f>
        <v>#N/A</v>
      </c>
      <c r="M99" s="74" t="e">
        <f>VLOOKUP($A99,Data!$D$3:$CJ$128,74,FALSE)</f>
        <v>#N/A</v>
      </c>
      <c r="N99" s="78" t="e">
        <f t="shared" si="7"/>
        <v>#N/A</v>
      </c>
      <c r="O99" s="78" t="e">
        <f t="shared" si="8"/>
        <v>#N/A</v>
      </c>
      <c r="P99" s="78" t="e">
        <f t="shared" si="9"/>
        <v>#N/A</v>
      </c>
      <c r="Q99" s="78" t="e">
        <f t="shared" si="10"/>
        <v>#N/A</v>
      </c>
      <c r="R99" s="78" t="e">
        <f t="shared" si="11"/>
        <v>#N/A</v>
      </c>
      <c r="S99" s="78" t="e">
        <f t="shared" si="12"/>
        <v>#N/A</v>
      </c>
      <c r="T99" s="74" t="e">
        <f t="shared" si="13"/>
        <v>#N/A</v>
      </c>
      <c r="U99" s="74" t="e">
        <f t="shared" si="14"/>
        <v>#N/A</v>
      </c>
      <c r="V99" s="74" t="e">
        <f t="shared" si="15"/>
        <v>#N/A</v>
      </c>
      <c r="W99" s="74" t="e">
        <f t="shared" si="16"/>
        <v>#N/A</v>
      </c>
      <c r="X99" s="74" t="e">
        <f t="shared" si="17"/>
        <v>#N/A</v>
      </c>
      <c r="Y99" s="74" t="e">
        <f t="shared" si="18"/>
        <v>#N/A</v>
      </c>
    </row>
    <row r="100" spans="1:25">
      <c r="A100" s="88">
        <f>'Batch input'!A99</f>
        <v>0</v>
      </c>
      <c r="B100">
        <f>'Batch input'!B99</f>
        <v>0</v>
      </c>
      <c r="C100" t="e">
        <f>VLOOKUP($A100,Data!$D$3:$CJ$128,30,FALSE)</f>
        <v>#N/A</v>
      </c>
      <c r="D100" s="74" t="e">
        <f>VLOOKUP($A100,Data!$D$3:$CJ$128,64,FALSE)</f>
        <v>#N/A</v>
      </c>
      <c r="E100" s="74" t="e">
        <f>VLOOKUP($A100,Data!$D$3:$CJ$128,66,FALSE)</f>
        <v>#N/A</v>
      </c>
      <c r="F100" s="74" t="e">
        <f>VLOOKUP($A100,Data!$D$3:$CJ$128,67,FALSE)</f>
        <v>#N/A</v>
      </c>
      <c r="G100" s="78" t="e">
        <f>VLOOKUP($A100,Data!$D$3:$CJ$128,68,FALSE)</f>
        <v>#N/A</v>
      </c>
      <c r="H100" s="78" t="e">
        <f>VLOOKUP($A100,Data!$D$3:$CJ$128,69,FALSE)</f>
        <v>#N/A</v>
      </c>
      <c r="I100" s="74" t="e">
        <f>VLOOKUP($A100,Data!$D$3:$CJ$128,70,FALSE)</f>
        <v>#N/A</v>
      </c>
      <c r="J100" s="74" t="e">
        <f>VLOOKUP($A100,Data!$D$3:$CJ$128,71,FALSE)</f>
        <v>#N/A</v>
      </c>
      <c r="K100" s="74" t="e">
        <f>VLOOKUP($A100,Data!$D$3:$CJ$128,72,FALSE)</f>
        <v>#N/A</v>
      </c>
      <c r="L100" s="74" t="e">
        <f>VLOOKUP($A100,Data!$D$3:$CJ$128,73,FALSE)</f>
        <v>#N/A</v>
      </c>
      <c r="M100" s="74" t="e">
        <f>VLOOKUP($A100,Data!$D$3:$CJ$128,74,FALSE)</f>
        <v>#N/A</v>
      </c>
      <c r="N100" s="78" t="e">
        <f t="shared" si="7"/>
        <v>#N/A</v>
      </c>
      <c r="O100" s="78" t="e">
        <f t="shared" si="8"/>
        <v>#N/A</v>
      </c>
      <c r="P100" s="78" t="e">
        <f t="shared" si="9"/>
        <v>#N/A</v>
      </c>
      <c r="Q100" s="78" t="e">
        <f t="shared" si="10"/>
        <v>#N/A</v>
      </c>
      <c r="R100" s="78" t="e">
        <f t="shared" si="11"/>
        <v>#N/A</v>
      </c>
      <c r="S100" s="78" t="e">
        <f t="shared" si="12"/>
        <v>#N/A</v>
      </c>
      <c r="T100" s="74" t="e">
        <f t="shared" si="13"/>
        <v>#N/A</v>
      </c>
      <c r="U100" s="74" t="e">
        <f t="shared" si="14"/>
        <v>#N/A</v>
      </c>
      <c r="V100" s="74" t="e">
        <f t="shared" si="15"/>
        <v>#N/A</v>
      </c>
      <c r="W100" s="74" t="e">
        <f t="shared" si="16"/>
        <v>#N/A</v>
      </c>
      <c r="X100" s="74" t="e">
        <f t="shared" si="17"/>
        <v>#N/A</v>
      </c>
      <c r="Y100" s="74" t="e">
        <f t="shared" si="18"/>
        <v>#N/A</v>
      </c>
    </row>
    <row r="101" spans="1:25">
      <c r="A101" s="88">
        <f>'Batch input'!A100</f>
        <v>0</v>
      </c>
      <c r="B101">
        <f>'Batch input'!B100</f>
        <v>0</v>
      </c>
      <c r="C101" t="e">
        <f>VLOOKUP($A101,Data!$D$3:$CJ$128,30,FALSE)</f>
        <v>#N/A</v>
      </c>
      <c r="D101" s="74" t="e">
        <f>VLOOKUP($A101,Data!$D$3:$CJ$128,64,FALSE)</f>
        <v>#N/A</v>
      </c>
      <c r="E101" s="74" t="e">
        <f>VLOOKUP($A101,Data!$D$3:$CJ$128,66,FALSE)</f>
        <v>#N/A</v>
      </c>
      <c r="F101" s="74" t="e">
        <f>VLOOKUP($A101,Data!$D$3:$CJ$128,67,FALSE)</f>
        <v>#N/A</v>
      </c>
      <c r="G101" s="78" t="e">
        <f>VLOOKUP($A101,Data!$D$3:$CJ$128,68,FALSE)</f>
        <v>#N/A</v>
      </c>
      <c r="H101" s="78" t="e">
        <f>VLOOKUP($A101,Data!$D$3:$CJ$128,69,FALSE)</f>
        <v>#N/A</v>
      </c>
      <c r="I101" s="74" t="e">
        <f>VLOOKUP($A101,Data!$D$3:$CJ$128,70,FALSE)</f>
        <v>#N/A</v>
      </c>
      <c r="J101" s="74" t="e">
        <f>VLOOKUP($A101,Data!$D$3:$CJ$128,71,FALSE)</f>
        <v>#N/A</v>
      </c>
      <c r="K101" s="74" t="e">
        <f>VLOOKUP($A101,Data!$D$3:$CJ$128,72,FALSE)</f>
        <v>#N/A</v>
      </c>
      <c r="L101" s="74" t="e">
        <f>VLOOKUP($A101,Data!$D$3:$CJ$128,73,FALSE)</f>
        <v>#N/A</v>
      </c>
      <c r="M101" s="74" t="e">
        <f>VLOOKUP($A101,Data!$D$3:$CJ$128,74,FALSE)</f>
        <v>#N/A</v>
      </c>
      <c r="N101" s="78" t="e">
        <f t="shared" si="7"/>
        <v>#N/A</v>
      </c>
      <c r="O101" s="78" t="e">
        <f t="shared" si="8"/>
        <v>#N/A</v>
      </c>
      <c r="P101" s="78" t="e">
        <f t="shared" si="9"/>
        <v>#N/A</v>
      </c>
      <c r="Q101" s="78" t="e">
        <f t="shared" si="10"/>
        <v>#N/A</v>
      </c>
      <c r="R101" s="78" t="e">
        <f t="shared" si="11"/>
        <v>#N/A</v>
      </c>
      <c r="S101" s="78" t="e">
        <f t="shared" si="12"/>
        <v>#N/A</v>
      </c>
      <c r="T101" s="74" t="e">
        <f t="shared" si="13"/>
        <v>#N/A</v>
      </c>
      <c r="U101" s="74" t="e">
        <f t="shared" si="14"/>
        <v>#N/A</v>
      </c>
      <c r="V101" s="74" t="e">
        <f t="shared" si="15"/>
        <v>#N/A</v>
      </c>
      <c r="W101" s="74" t="e">
        <f t="shared" si="16"/>
        <v>#N/A</v>
      </c>
      <c r="X101" s="74" t="e">
        <f t="shared" si="17"/>
        <v>#N/A</v>
      </c>
      <c r="Y101" s="74" t="e">
        <f t="shared" si="18"/>
        <v>#N/A</v>
      </c>
    </row>
    <row r="102" spans="1:25">
      <c r="A102" s="88">
        <f>'Batch input'!A101</f>
        <v>0</v>
      </c>
      <c r="B102">
        <f>'Batch input'!B101</f>
        <v>0</v>
      </c>
      <c r="C102" t="e">
        <f>VLOOKUP($A102,Data!$D$3:$CJ$128,30,FALSE)</f>
        <v>#N/A</v>
      </c>
      <c r="D102" s="74" t="e">
        <f>VLOOKUP($A102,Data!$D$3:$CJ$128,64,FALSE)</f>
        <v>#N/A</v>
      </c>
      <c r="E102" s="74" t="e">
        <f>VLOOKUP($A102,Data!$D$3:$CJ$128,66,FALSE)</f>
        <v>#N/A</v>
      </c>
      <c r="F102" s="74" t="e">
        <f>VLOOKUP($A102,Data!$D$3:$CJ$128,67,FALSE)</f>
        <v>#N/A</v>
      </c>
      <c r="G102" s="78" t="e">
        <f>VLOOKUP($A102,Data!$D$3:$CJ$128,68,FALSE)</f>
        <v>#N/A</v>
      </c>
      <c r="H102" s="78" t="e">
        <f>VLOOKUP($A102,Data!$D$3:$CJ$128,69,FALSE)</f>
        <v>#N/A</v>
      </c>
      <c r="I102" s="74" t="e">
        <f>VLOOKUP($A102,Data!$D$3:$CJ$128,70,FALSE)</f>
        <v>#N/A</v>
      </c>
      <c r="J102" s="74" t="e">
        <f>VLOOKUP($A102,Data!$D$3:$CJ$128,71,FALSE)</f>
        <v>#N/A</v>
      </c>
      <c r="K102" s="74" t="e">
        <f>VLOOKUP($A102,Data!$D$3:$CJ$128,72,FALSE)</f>
        <v>#N/A</v>
      </c>
      <c r="L102" s="74" t="e">
        <f>VLOOKUP($A102,Data!$D$3:$CJ$128,73,FALSE)</f>
        <v>#N/A</v>
      </c>
      <c r="M102" s="74" t="e">
        <f>VLOOKUP($A102,Data!$D$3:$CJ$128,74,FALSE)</f>
        <v>#N/A</v>
      </c>
      <c r="N102" s="78" t="e">
        <f t="shared" ref="N102:N105" si="19">I102</f>
        <v>#N/A</v>
      </c>
      <c r="O102" s="78" t="e">
        <f t="shared" ref="O102:O105" si="20">(((D102/1000)*H102)+((G102/1000)*M102)+(J102/1000))</f>
        <v>#N/A</v>
      </c>
      <c r="P102" s="78" t="e">
        <f t="shared" ref="P102:P105" si="21">(F102/1000)*H102</f>
        <v>#N/A</v>
      </c>
      <c r="Q102" s="78" t="e">
        <f t="shared" ref="Q102:Q105" si="22">K102/1000</f>
        <v>#N/A</v>
      </c>
      <c r="R102" s="78" t="e">
        <f t="shared" ref="R102:R105" si="23">L102/1000</f>
        <v>#N/A</v>
      </c>
      <c r="S102" s="78" t="e">
        <f t="shared" ref="S102:S105" si="24">(E102/1000)*H102</f>
        <v>#N/A</v>
      </c>
      <c r="T102" s="74" t="e">
        <f t="shared" ref="T102:T105" si="25">$B102*N102</f>
        <v>#N/A</v>
      </c>
      <c r="U102" s="74" t="e">
        <f t="shared" ref="U102:U105" si="26">$B102*O102</f>
        <v>#N/A</v>
      </c>
      <c r="V102" s="74" t="e">
        <f t="shared" ref="V102:V105" si="27">$B102*P102</f>
        <v>#N/A</v>
      </c>
      <c r="W102" s="74" t="e">
        <f t="shared" ref="W102:W105" si="28">$B102*Q102</f>
        <v>#N/A</v>
      </c>
      <c r="X102" s="74" t="e">
        <f t="shared" ref="X102:X105" si="29">$B102*R102</f>
        <v>#N/A</v>
      </c>
      <c r="Y102" s="74" t="e">
        <f t="shared" ref="Y102:Y105" si="30">$B102*S102</f>
        <v>#N/A</v>
      </c>
    </row>
    <row r="103" spans="1:25">
      <c r="A103" s="88">
        <f>'Batch input'!A102</f>
        <v>0</v>
      </c>
      <c r="B103">
        <f>'Batch input'!B102</f>
        <v>0</v>
      </c>
      <c r="C103" t="e">
        <f>VLOOKUP($A103,Data!$D$3:$CJ$128,30,FALSE)</f>
        <v>#N/A</v>
      </c>
      <c r="D103" s="74" t="e">
        <f>VLOOKUP($A103,Data!$D$3:$CJ$128,64,FALSE)</f>
        <v>#N/A</v>
      </c>
      <c r="E103" s="74" t="e">
        <f>VLOOKUP($A103,Data!$D$3:$CJ$128,66,FALSE)</f>
        <v>#N/A</v>
      </c>
      <c r="F103" s="74" t="e">
        <f>VLOOKUP($A103,Data!$D$3:$CJ$128,67,FALSE)</f>
        <v>#N/A</v>
      </c>
      <c r="G103" s="78" t="e">
        <f>VLOOKUP($A103,Data!$D$3:$CJ$128,68,FALSE)</f>
        <v>#N/A</v>
      </c>
      <c r="H103" s="78" t="e">
        <f>VLOOKUP($A103,Data!$D$3:$CJ$128,69,FALSE)</f>
        <v>#N/A</v>
      </c>
      <c r="I103" s="74" t="e">
        <f>VLOOKUP($A103,Data!$D$3:$CJ$128,70,FALSE)</f>
        <v>#N/A</v>
      </c>
      <c r="J103" s="74" t="e">
        <f>VLOOKUP($A103,Data!$D$3:$CJ$128,71,FALSE)</f>
        <v>#N/A</v>
      </c>
      <c r="K103" s="74" t="e">
        <f>VLOOKUP($A103,Data!$D$3:$CJ$128,72,FALSE)</f>
        <v>#N/A</v>
      </c>
      <c r="L103" s="74" t="e">
        <f>VLOOKUP($A103,Data!$D$3:$CJ$128,73,FALSE)</f>
        <v>#N/A</v>
      </c>
      <c r="M103" s="74" t="e">
        <f>VLOOKUP($A103,Data!$D$3:$CJ$128,74,FALSE)</f>
        <v>#N/A</v>
      </c>
      <c r="N103" s="78" t="e">
        <f t="shared" si="19"/>
        <v>#N/A</v>
      </c>
      <c r="O103" s="78" t="e">
        <f t="shared" si="20"/>
        <v>#N/A</v>
      </c>
      <c r="P103" s="78" t="e">
        <f t="shared" si="21"/>
        <v>#N/A</v>
      </c>
      <c r="Q103" s="78" t="e">
        <f t="shared" si="22"/>
        <v>#N/A</v>
      </c>
      <c r="R103" s="78" t="e">
        <f t="shared" si="23"/>
        <v>#N/A</v>
      </c>
      <c r="S103" s="78" t="e">
        <f t="shared" si="24"/>
        <v>#N/A</v>
      </c>
      <c r="T103" s="74" t="e">
        <f t="shared" si="25"/>
        <v>#N/A</v>
      </c>
      <c r="U103" s="74" t="e">
        <f t="shared" si="26"/>
        <v>#N/A</v>
      </c>
      <c r="V103" s="74" t="e">
        <f t="shared" si="27"/>
        <v>#N/A</v>
      </c>
      <c r="W103" s="74" t="e">
        <f t="shared" si="28"/>
        <v>#N/A</v>
      </c>
      <c r="X103" s="74" t="e">
        <f t="shared" si="29"/>
        <v>#N/A</v>
      </c>
      <c r="Y103" s="74" t="e">
        <f t="shared" si="30"/>
        <v>#N/A</v>
      </c>
    </row>
    <row r="104" spans="1:25">
      <c r="A104" s="88">
        <f>'Batch input'!A103</f>
        <v>0</v>
      </c>
      <c r="B104">
        <f>'Batch input'!B103</f>
        <v>0</v>
      </c>
      <c r="C104" t="e">
        <f>VLOOKUP($A104,Data!$D$3:$CJ$128,30,FALSE)</f>
        <v>#N/A</v>
      </c>
      <c r="D104" s="74" t="e">
        <f>VLOOKUP($A104,Data!$D$3:$CJ$128,64,FALSE)</f>
        <v>#N/A</v>
      </c>
      <c r="E104" s="74" t="e">
        <f>VLOOKUP($A104,Data!$D$3:$CJ$128,66,FALSE)</f>
        <v>#N/A</v>
      </c>
      <c r="F104" s="74" t="e">
        <f>VLOOKUP($A104,Data!$D$3:$CJ$128,67,FALSE)</f>
        <v>#N/A</v>
      </c>
      <c r="G104" s="78" t="e">
        <f>VLOOKUP($A104,Data!$D$3:$CJ$128,68,FALSE)</f>
        <v>#N/A</v>
      </c>
      <c r="H104" s="78" t="e">
        <f>VLOOKUP($A104,Data!$D$3:$CJ$128,69,FALSE)</f>
        <v>#N/A</v>
      </c>
      <c r="I104" s="74" t="e">
        <f>VLOOKUP($A104,Data!$D$3:$CJ$128,70,FALSE)</f>
        <v>#N/A</v>
      </c>
      <c r="J104" s="74" t="e">
        <f>VLOOKUP($A104,Data!$D$3:$CJ$128,71,FALSE)</f>
        <v>#N/A</v>
      </c>
      <c r="K104" s="74" t="e">
        <f>VLOOKUP($A104,Data!$D$3:$CJ$128,72,FALSE)</f>
        <v>#N/A</v>
      </c>
      <c r="L104" s="74" t="e">
        <f>VLOOKUP($A104,Data!$D$3:$CJ$128,73,FALSE)</f>
        <v>#N/A</v>
      </c>
      <c r="M104" s="74" t="e">
        <f>VLOOKUP($A104,Data!$D$3:$CJ$128,74,FALSE)</f>
        <v>#N/A</v>
      </c>
      <c r="N104" s="78" t="e">
        <f t="shared" si="19"/>
        <v>#N/A</v>
      </c>
      <c r="O104" s="78" t="e">
        <f t="shared" si="20"/>
        <v>#N/A</v>
      </c>
      <c r="P104" s="78" t="e">
        <f t="shared" si="21"/>
        <v>#N/A</v>
      </c>
      <c r="Q104" s="78" t="e">
        <f t="shared" si="22"/>
        <v>#N/A</v>
      </c>
      <c r="R104" s="78" t="e">
        <f t="shared" si="23"/>
        <v>#N/A</v>
      </c>
      <c r="S104" s="78" t="e">
        <f t="shared" si="24"/>
        <v>#N/A</v>
      </c>
      <c r="T104" s="74" t="e">
        <f t="shared" si="25"/>
        <v>#N/A</v>
      </c>
      <c r="U104" s="74" t="e">
        <f t="shared" si="26"/>
        <v>#N/A</v>
      </c>
      <c r="V104" s="74" t="e">
        <f t="shared" si="27"/>
        <v>#N/A</v>
      </c>
      <c r="W104" s="74" t="e">
        <f t="shared" si="28"/>
        <v>#N/A</v>
      </c>
      <c r="X104" s="74" t="e">
        <f t="shared" si="29"/>
        <v>#N/A</v>
      </c>
      <c r="Y104" s="74" t="e">
        <f t="shared" si="30"/>
        <v>#N/A</v>
      </c>
    </row>
    <row r="105" spans="1:25">
      <c r="A105" s="88">
        <f>'Batch input'!A104</f>
        <v>0</v>
      </c>
      <c r="B105">
        <f>'Batch input'!B104</f>
        <v>0</v>
      </c>
      <c r="C105" t="e">
        <f>VLOOKUP($A105,Data!$D$3:$CJ$128,30,FALSE)</f>
        <v>#N/A</v>
      </c>
      <c r="D105" s="74" t="e">
        <f>VLOOKUP($A105,Data!$D$3:$CJ$128,64,FALSE)</f>
        <v>#N/A</v>
      </c>
      <c r="E105" s="74" t="e">
        <f>VLOOKUP($A105,Data!$D$3:$CJ$128,66,FALSE)</f>
        <v>#N/A</v>
      </c>
      <c r="F105" s="74" t="e">
        <f>VLOOKUP($A105,Data!$D$3:$CJ$128,67,FALSE)</f>
        <v>#N/A</v>
      </c>
      <c r="G105" s="78" t="e">
        <f>VLOOKUP($A105,Data!$D$3:$CJ$128,68,FALSE)</f>
        <v>#N/A</v>
      </c>
      <c r="H105" s="78" t="e">
        <f>VLOOKUP($A105,Data!$D$3:$CJ$128,69,FALSE)</f>
        <v>#N/A</v>
      </c>
      <c r="I105" s="74" t="e">
        <f>VLOOKUP($A105,Data!$D$3:$CJ$128,70,FALSE)</f>
        <v>#N/A</v>
      </c>
      <c r="J105" s="74" t="e">
        <f>VLOOKUP($A105,Data!$D$3:$CJ$128,71,FALSE)</f>
        <v>#N/A</v>
      </c>
      <c r="K105" s="74" t="e">
        <f>VLOOKUP($A105,Data!$D$3:$CJ$128,72,FALSE)</f>
        <v>#N/A</v>
      </c>
      <c r="L105" s="74" t="e">
        <f>VLOOKUP($A105,Data!$D$3:$CJ$128,73,FALSE)</f>
        <v>#N/A</v>
      </c>
      <c r="M105" s="74" t="e">
        <f>VLOOKUP($A105,Data!$D$3:$CJ$128,74,FALSE)</f>
        <v>#N/A</v>
      </c>
      <c r="N105" s="78" t="e">
        <f t="shared" si="19"/>
        <v>#N/A</v>
      </c>
      <c r="O105" s="78" t="e">
        <f t="shared" si="20"/>
        <v>#N/A</v>
      </c>
      <c r="P105" s="78" t="e">
        <f t="shared" si="21"/>
        <v>#N/A</v>
      </c>
      <c r="Q105" s="78" t="e">
        <f t="shared" si="22"/>
        <v>#N/A</v>
      </c>
      <c r="R105" s="78" t="e">
        <f t="shared" si="23"/>
        <v>#N/A</v>
      </c>
      <c r="S105" s="78" t="e">
        <f t="shared" si="24"/>
        <v>#N/A</v>
      </c>
      <c r="T105" s="74" t="e">
        <f t="shared" si="25"/>
        <v>#N/A</v>
      </c>
      <c r="U105" s="74" t="e">
        <f t="shared" si="26"/>
        <v>#N/A</v>
      </c>
      <c r="V105" s="74" t="e">
        <f t="shared" si="27"/>
        <v>#N/A</v>
      </c>
      <c r="W105" s="74" t="e">
        <f t="shared" si="28"/>
        <v>#N/A</v>
      </c>
      <c r="X105" s="74" t="e">
        <f t="shared" si="29"/>
        <v>#N/A</v>
      </c>
      <c r="Y105" s="74" t="e">
        <f t="shared" si="30"/>
        <v>#N/A</v>
      </c>
    </row>
    <row r="106" spans="1:25">
      <c r="A106" s="88">
        <f>'Batch input'!A105</f>
        <v>0</v>
      </c>
      <c r="B106">
        <f>'Batch input'!B105</f>
        <v>0</v>
      </c>
      <c r="C106" t="e">
        <f>VLOOKUP($A106,Data!$D$3:$CJ$128,30,FALSE)</f>
        <v>#N/A</v>
      </c>
      <c r="D106" s="74" t="e">
        <f>VLOOKUP($A106,Data!$D$3:$CJ$128,64,FALSE)</f>
        <v>#N/A</v>
      </c>
      <c r="E106" s="74" t="e">
        <f>VLOOKUP($A106,Data!$D$3:$CJ$128,66,FALSE)</f>
        <v>#N/A</v>
      </c>
      <c r="F106" s="74" t="e">
        <f>VLOOKUP($A106,Data!$D$3:$CJ$128,67,FALSE)</f>
        <v>#N/A</v>
      </c>
      <c r="G106" s="78" t="e">
        <f>VLOOKUP($A106,Data!$D$3:$CJ$128,68,FALSE)</f>
        <v>#N/A</v>
      </c>
      <c r="H106" s="78" t="e">
        <f>VLOOKUP($A106,Data!$D$3:$CJ$128,69,FALSE)</f>
        <v>#N/A</v>
      </c>
      <c r="I106" s="74" t="e">
        <f>VLOOKUP($A106,Data!$D$3:$CJ$128,70,FALSE)</f>
        <v>#N/A</v>
      </c>
      <c r="J106" s="74" t="e">
        <f>VLOOKUP($A106,Data!$D$3:$CJ$128,71,FALSE)</f>
        <v>#N/A</v>
      </c>
      <c r="K106" s="74" t="e">
        <f>VLOOKUP($A106,Data!$D$3:$CJ$128,72,FALSE)</f>
        <v>#N/A</v>
      </c>
      <c r="L106" s="74" t="e">
        <f>VLOOKUP($A106,Data!$D$3:$CJ$128,73,FALSE)</f>
        <v>#N/A</v>
      </c>
      <c r="M106" s="74" t="e">
        <f>VLOOKUP($A106,Data!$D$3:$CJ$128,74,FALSE)</f>
        <v>#N/A</v>
      </c>
      <c r="N106" s="78" t="e">
        <f t="shared" ref="N106:N156" si="31">I106</f>
        <v>#N/A</v>
      </c>
      <c r="O106" s="78" t="e">
        <f t="shared" ref="O106:O156" si="32">(((D106/1000)*H106)+((G106/1000)*M106)+(J106/1000))</f>
        <v>#N/A</v>
      </c>
      <c r="P106" s="78" t="e">
        <f t="shared" ref="P106:P156" si="33">(F106/1000)*H106</f>
        <v>#N/A</v>
      </c>
      <c r="Q106" s="78" t="e">
        <f t="shared" ref="Q106:Q156" si="34">K106/1000</f>
        <v>#N/A</v>
      </c>
      <c r="R106" s="78" t="e">
        <f t="shared" ref="R106:R156" si="35">L106/1000</f>
        <v>#N/A</v>
      </c>
      <c r="S106" s="78" t="e">
        <f t="shared" ref="S106:S156" si="36">(E106/1000)*H106</f>
        <v>#N/A</v>
      </c>
      <c r="T106" s="74" t="e">
        <f t="shared" ref="T106:T156" si="37">$B106*N106</f>
        <v>#N/A</v>
      </c>
      <c r="U106" s="74" t="e">
        <f t="shared" ref="U106:U156" si="38">$B106*O106</f>
        <v>#N/A</v>
      </c>
      <c r="V106" s="74" t="e">
        <f t="shared" ref="V106:V156" si="39">$B106*P106</f>
        <v>#N/A</v>
      </c>
      <c r="W106" s="74" t="e">
        <f t="shared" ref="W106:W156" si="40">$B106*Q106</f>
        <v>#N/A</v>
      </c>
      <c r="X106" s="74" t="e">
        <f t="shared" ref="X106:X156" si="41">$B106*R106</f>
        <v>#N/A</v>
      </c>
      <c r="Y106" s="74" t="e">
        <f t="shared" ref="Y106:Y156" si="42">$B106*S106</f>
        <v>#N/A</v>
      </c>
    </row>
    <row r="107" spans="1:25">
      <c r="A107" s="88">
        <f>'Batch input'!A106</f>
        <v>0</v>
      </c>
      <c r="B107">
        <f>'Batch input'!B106</f>
        <v>0</v>
      </c>
      <c r="C107" t="e">
        <f>VLOOKUP($A107,Data!$D$3:$CJ$128,30,FALSE)</f>
        <v>#N/A</v>
      </c>
      <c r="D107" s="74" t="e">
        <f>VLOOKUP($A107,Data!$D$3:$CJ$128,64,FALSE)</f>
        <v>#N/A</v>
      </c>
      <c r="E107" s="74" t="e">
        <f>VLOOKUP($A107,Data!$D$3:$CJ$128,66,FALSE)</f>
        <v>#N/A</v>
      </c>
      <c r="F107" s="74" t="e">
        <f>VLOOKUP($A107,Data!$D$3:$CJ$128,67,FALSE)</f>
        <v>#N/A</v>
      </c>
      <c r="G107" s="78" t="e">
        <f>VLOOKUP($A107,Data!$D$3:$CJ$128,68,FALSE)</f>
        <v>#N/A</v>
      </c>
      <c r="H107" s="78" t="e">
        <f>VLOOKUP($A107,Data!$D$3:$CJ$128,69,FALSE)</f>
        <v>#N/A</v>
      </c>
      <c r="I107" s="74" t="e">
        <f>VLOOKUP($A107,Data!$D$3:$CJ$128,70,FALSE)</f>
        <v>#N/A</v>
      </c>
      <c r="J107" s="74" t="e">
        <f>VLOOKUP($A107,Data!$D$3:$CJ$128,71,FALSE)</f>
        <v>#N/A</v>
      </c>
      <c r="K107" s="74" t="e">
        <f>VLOOKUP($A107,Data!$D$3:$CJ$128,72,FALSE)</f>
        <v>#N/A</v>
      </c>
      <c r="L107" s="74" t="e">
        <f>VLOOKUP($A107,Data!$D$3:$CJ$128,73,FALSE)</f>
        <v>#N/A</v>
      </c>
      <c r="M107" s="74" t="e">
        <f>VLOOKUP($A107,Data!$D$3:$CJ$128,74,FALSE)</f>
        <v>#N/A</v>
      </c>
      <c r="N107" s="78" t="e">
        <f t="shared" si="31"/>
        <v>#N/A</v>
      </c>
      <c r="O107" s="78" t="e">
        <f t="shared" si="32"/>
        <v>#N/A</v>
      </c>
      <c r="P107" s="78" t="e">
        <f t="shared" si="33"/>
        <v>#N/A</v>
      </c>
      <c r="Q107" s="78" t="e">
        <f t="shared" si="34"/>
        <v>#N/A</v>
      </c>
      <c r="R107" s="78" t="e">
        <f t="shared" si="35"/>
        <v>#N/A</v>
      </c>
      <c r="S107" s="78" t="e">
        <f t="shared" si="36"/>
        <v>#N/A</v>
      </c>
      <c r="T107" s="74" t="e">
        <f t="shared" si="37"/>
        <v>#N/A</v>
      </c>
      <c r="U107" s="74" t="e">
        <f t="shared" si="38"/>
        <v>#N/A</v>
      </c>
      <c r="V107" s="74" t="e">
        <f t="shared" si="39"/>
        <v>#N/A</v>
      </c>
      <c r="W107" s="74" t="e">
        <f t="shared" si="40"/>
        <v>#N/A</v>
      </c>
      <c r="X107" s="74" t="e">
        <f t="shared" si="41"/>
        <v>#N/A</v>
      </c>
      <c r="Y107" s="74" t="e">
        <f t="shared" si="42"/>
        <v>#N/A</v>
      </c>
    </row>
    <row r="108" spans="1:25">
      <c r="A108" s="88">
        <f>'Batch input'!A107</f>
        <v>0</v>
      </c>
      <c r="B108">
        <f>'Batch input'!B107</f>
        <v>0</v>
      </c>
      <c r="C108" t="e">
        <f>VLOOKUP($A108,Data!$D$3:$CJ$128,30,FALSE)</f>
        <v>#N/A</v>
      </c>
      <c r="D108" s="74" t="e">
        <f>VLOOKUP($A108,Data!$D$3:$CJ$128,64,FALSE)</f>
        <v>#N/A</v>
      </c>
      <c r="E108" s="74" t="e">
        <f>VLOOKUP($A108,Data!$D$3:$CJ$128,66,FALSE)</f>
        <v>#N/A</v>
      </c>
      <c r="F108" s="74" t="e">
        <f>VLOOKUP($A108,Data!$D$3:$CJ$128,67,FALSE)</f>
        <v>#N/A</v>
      </c>
      <c r="G108" s="78" t="e">
        <f>VLOOKUP($A108,Data!$D$3:$CJ$128,68,FALSE)</f>
        <v>#N/A</v>
      </c>
      <c r="H108" s="78" t="e">
        <f>VLOOKUP($A108,Data!$D$3:$CJ$128,69,FALSE)</f>
        <v>#N/A</v>
      </c>
      <c r="I108" s="74" t="e">
        <f>VLOOKUP($A108,Data!$D$3:$CJ$128,70,FALSE)</f>
        <v>#N/A</v>
      </c>
      <c r="J108" s="74" t="e">
        <f>VLOOKUP($A108,Data!$D$3:$CJ$128,71,FALSE)</f>
        <v>#N/A</v>
      </c>
      <c r="K108" s="74" t="e">
        <f>VLOOKUP($A108,Data!$D$3:$CJ$128,72,FALSE)</f>
        <v>#N/A</v>
      </c>
      <c r="L108" s="74" t="e">
        <f>VLOOKUP($A108,Data!$D$3:$CJ$128,73,FALSE)</f>
        <v>#N/A</v>
      </c>
      <c r="M108" s="74" t="e">
        <f>VLOOKUP($A108,Data!$D$3:$CJ$128,74,FALSE)</f>
        <v>#N/A</v>
      </c>
      <c r="N108" s="78" t="e">
        <f t="shared" si="31"/>
        <v>#N/A</v>
      </c>
      <c r="O108" s="78" t="e">
        <f t="shared" si="32"/>
        <v>#N/A</v>
      </c>
      <c r="P108" s="78" t="e">
        <f t="shared" si="33"/>
        <v>#N/A</v>
      </c>
      <c r="Q108" s="78" t="e">
        <f t="shared" si="34"/>
        <v>#N/A</v>
      </c>
      <c r="R108" s="78" t="e">
        <f t="shared" si="35"/>
        <v>#N/A</v>
      </c>
      <c r="S108" s="78" t="e">
        <f t="shared" si="36"/>
        <v>#N/A</v>
      </c>
      <c r="T108" s="74" t="e">
        <f t="shared" si="37"/>
        <v>#N/A</v>
      </c>
      <c r="U108" s="74" t="e">
        <f t="shared" si="38"/>
        <v>#N/A</v>
      </c>
      <c r="V108" s="74" t="e">
        <f t="shared" si="39"/>
        <v>#N/A</v>
      </c>
      <c r="W108" s="74" t="e">
        <f t="shared" si="40"/>
        <v>#N/A</v>
      </c>
      <c r="X108" s="74" t="e">
        <f t="shared" si="41"/>
        <v>#N/A</v>
      </c>
      <c r="Y108" s="74" t="e">
        <f t="shared" si="42"/>
        <v>#N/A</v>
      </c>
    </row>
    <row r="109" spans="1:25">
      <c r="A109" s="88">
        <f>'Batch input'!A108</f>
        <v>0</v>
      </c>
      <c r="B109">
        <f>'Batch input'!B108</f>
        <v>0</v>
      </c>
      <c r="C109" t="e">
        <f>VLOOKUP($A109,Data!$D$3:$CJ$128,30,FALSE)</f>
        <v>#N/A</v>
      </c>
      <c r="D109" s="74" t="e">
        <f>VLOOKUP($A109,Data!$D$3:$CJ$128,64,FALSE)</f>
        <v>#N/A</v>
      </c>
      <c r="E109" s="74" t="e">
        <f>VLOOKUP($A109,Data!$D$3:$CJ$128,66,FALSE)</f>
        <v>#N/A</v>
      </c>
      <c r="F109" s="74" t="e">
        <f>VLOOKUP($A109,Data!$D$3:$CJ$128,67,FALSE)</f>
        <v>#N/A</v>
      </c>
      <c r="G109" s="78" t="e">
        <f>VLOOKUP($A109,Data!$D$3:$CJ$128,68,FALSE)</f>
        <v>#N/A</v>
      </c>
      <c r="H109" s="78" t="e">
        <f>VLOOKUP($A109,Data!$D$3:$CJ$128,69,FALSE)</f>
        <v>#N/A</v>
      </c>
      <c r="I109" s="74" t="e">
        <f>VLOOKUP($A109,Data!$D$3:$CJ$128,70,FALSE)</f>
        <v>#N/A</v>
      </c>
      <c r="J109" s="74" t="e">
        <f>VLOOKUP($A109,Data!$D$3:$CJ$128,71,FALSE)</f>
        <v>#N/A</v>
      </c>
      <c r="K109" s="74" t="e">
        <f>VLOOKUP($A109,Data!$D$3:$CJ$128,72,FALSE)</f>
        <v>#N/A</v>
      </c>
      <c r="L109" s="74" t="e">
        <f>VLOOKUP($A109,Data!$D$3:$CJ$128,73,FALSE)</f>
        <v>#N/A</v>
      </c>
      <c r="M109" s="74" t="e">
        <f>VLOOKUP($A109,Data!$D$3:$CJ$128,74,FALSE)</f>
        <v>#N/A</v>
      </c>
      <c r="N109" s="78" t="e">
        <f t="shared" si="31"/>
        <v>#N/A</v>
      </c>
      <c r="O109" s="78" t="e">
        <f t="shared" si="32"/>
        <v>#N/A</v>
      </c>
      <c r="P109" s="78" t="e">
        <f t="shared" si="33"/>
        <v>#N/A</v>
      </c>
      <c r="Q109" s="78" t="e">
        <f t="shared" si="34"/>
        <v>#N/A</v>
      </c>
      <c r="R109" s="78" t="e">
        <f t="shared" si="35"/>
        <v>#N/A</v>
      </c>
      <c r="S109" s="78" t="e">
        <f t="shared" si="36"/>
        <v>#N/A</v>
      </c>
      <c r="T109" s="74" t="e">
        <f t="shared" si="37"/>
        <v>#N/A</v>
      </c>
      <c r="U109" s="74" t="e">
        <f t="shared" si="38"/>
        <v>#N/A</v>
      </c>
      <c r="V109" s="74" t="e">
        <f t="shared" si="39"/>
        <v>#N/A</v>
      </c>
      <c r="W109" s="74" t="e">
        <f t="shared" si="40"/>
        <v>#N/A</v>
      </c>
      <c r="X109" s="74" t="e">
        <f t="shared" si="41"/>
        <v>#N/A</v>
      </c>
      <c r="Y109" s="74" t="e">
        <f t="shared" si="42"/>
        <v>#N/A</v>
      </c>
    </row>
    <row r="110" spans="1:25">
      <c r="A110" s="88">
        <f>'Batch input'!A109</f>
        <v>0</v>
      </c>
      <c r="B110">
        <f>'Batch input'!B109</f>
        <v>0</v>
      </c>
      <c r="C110" t="e">
        <f>VLOOKUP($A110,Data!$D$3:$CJ$128,30,FALSE)</f>
        <v>#N/A</v>
      </c>
      <c r="D110" s="74" t="e">
        <f>VLOOKUP($A110,Data!$D$3:$CJ$128,64,FALSE)</f>
        <v>#N/A</v>
      </c>
      <c r="E110" s="74" t="e">
        <f>VLOOKUP($A110,Data!$D$3:$CJ$128,66,FALSE)</f>
        <v>#N/A</v>
      </c>
      <c r="F110" s="74" t="e">
        <f>VLOOKUP($A110,Data!$D$3:$CJ$128,67,FALSE)</f>
        <v>#N/A</v>
      </c>
      <c r="G110" s="78" t="e">
        <f>VLOOKUP($A110,Data!$D$3:$CJ$128,68,FALSE)</f>
        <v>#N/A</v>
      </c>
      <c r="H110" s="78" t="e">
        <f>VLOOKUP($A110,Data!$D$3:$CJ$128,69,FALSE)</f>
        <v>#N/A</v>
      </c>
      <c r="I110" s="74" t="e">
        <f>VLOOKUP($A110,Data!$D$3:$CJ$128,70,FALSE)</f>
        <v>#N/A</v>
      </c>
      <c r="J110" s="74" t="e">
        <f>VLOOKUP($A110,Data!$D$3:$CJ$128,71,FALSE)</f>
        <v>#N/A</v>
      </c>
      <c r="K110" s="74" t="e">
        <f>VLOOKUP($A110,Data!$D$3:$CJ$128,72,FALSE)</f>
        <v>#N/A</v>
      </c>
      <c r="L110" s="74" t="e">
        <f>VLOOKUP($A110,Data!$D$3:$CJ$128,73,FALSE)</f>
        <v>#N/A</v>
      </c>
      <c r="M110" s="74" t="e">
        <f>VLOOKUP($A110,Data!$D$3:$CJ$128,74,FALSE)</f>
        <v>#N/A</v>
      </c>
      <c r="N110" s="78" t="e">
        <f t="shared" si="31"/>
        <v>#N/A</v>
      </c>
      <c r="O110" s="78" t="e">
        <f t="shared" si="32"/>
        <v>#N/A</v>
      </c>
      <c r="P110" s="78" t="e">
        <f t="shared" si="33"/>
        <v>#N/A</v>
      </c>
      <c r="Q110" s="78" t="e">
        <f t="shared" si="34"/>
        <v>#N/A</v>
      </c>
      <c r="R110" s="78" t="e">
        <f t="shared" si="35"/>
        <v>#N/A</v>
      </c>
      <c r="S110" s="78" t="e">
        <f t="shared" si="36"/>
        <v>#N/A</v>
      </c>
      <c r="T110" s="74" t="e">
        <f t="shared" si="37"/>
        <v>#N/A</v>
      </c>
      <c r="U110" s="74" t="e">
        <f t="shared" si="38"/>
        <v>#N/A</v>
      </c>
      <c r="V110" s="74" t="e">
        <f t="shared" si="39"/>
        <v>#N/A</v>
      </c>
      <c r="W110" s="74" t="e">
        <f t="shared" si="40"/>
        <v>#N/A</v>
      </c>
      <c r="X110" s="74" t="e">
        <f t="shared" si="41"/>
        <v>#N/A</v>
      </c>
      <c r="Y110" s="74" t="e">
        <f t="shared" si="42"/>
        <v>#N/A</v>
      </c>
    </row>
    <row r="111" spans="1:25">
      <c r="A111" s="88">
        <f>'Batch input'!A110</f>
        <v>0</v>
      </c>
      <c r="B111">
        <f>'Batch input'!B110</f>
        <v>0</v>
      </c>
      <c r="C111" t="e">
        <f>VLOOKUP($A111,Data!$D$3:$CJ$128,30,FALSE)</f>
        <v>#N/A</v>
      </c>
      <c r="D111" s="74" t="e">
        <f>VLOOKUP($A111,Data!$D$3:$CJ$128,64,FALSE)</f>
        <v>#N/A</v>
      </c>
      <c r="E111" s="74" t="e">
        <f>VLOOKUP($A111,Data!$D$3:$CJ$128,66,FALSE)</f>
        <v>#N/A</v>
      </c>
      <c r="F111" s="74" t="e">
        <f>VLOOKUP($A111,Data!$D$3:$CJ$128,67,FALSE)</f>
        <v>#N/A</v>
      </c>
      <c r="G111" s="78" t="e">
        <f>VLOOKUP($A111,Data!$D$3:$CJ$128,68,FALSE)</f>
        <v>#N/A</v>
      </c>
      <c r="H111" s="78" t="e">
        <f>VLOOKUP($A111,Data!$D$3:$CJ$128,69,FALSE)</f>
        <v>#N/A</v>
      </c>
      <c r="I111" s="74" t="e">
        <f>VLOOKUP($A111,Data!$D$3:$CJ$128,70,FALSE)</f>
        <v>#N/A</v>
      </c>
      <c r="J111" s="74" t="e">
        <f>VLOOKUP($A111,Data!$D$3:$CJ$128,71,FALSE)</f>
        <v>#N/A</v>
      </c>
      <c r="K111" s="74" t="e">
        <f>VLOOKUP($A111,Data!$D$3:$CJ$128,72,FALSE)</f>
        <v>#N/A</v>
      </c>
      <c r="L111" s="74" t="e">
        <f>VLOOKUP($A111,Data!$D$3:$CJ$128,73,FALSE)</f>
        <v>#N/A</v>
      </c>
      <c r="M111" s="74" t="e">
        <f>VLOOKUP($A111,Data!$D$3:$CJ$128,74,FALSE)</f>
        <v>#N/A</v>
      </c>
      <c r="N111" s="78" t="e">
        <f t="shared" si="31"/>
        <v>#N/A</v>
      </c>
      <c r="O111" s="78" t="e">
        <f t="shared" si="32"/>
        <v>#N/A</v>
      </c>
      <c r="P111" s="78" t="e">
        <f t="shared" si="33"/>
        <v>#N/A</v>
      </c>
      <c r="Q111" s="78" t="e">
        <f t="shared" si="34"/>
        <v>#N/A</v>
      </c>
      <c r="R111" s="78" t="e">
        <f t="shared" si="35"/>
        <v>#N/A</v>
      </c>
      <c r="S111" s="78" t="e">
        <f t="shared" si="36"/>
        <v>#N/A</v>
      </c>
      <c r="T111" s="74" t="e">
        <f t="shared" si="37"/>
        <v>#N/A</v>
      </c>
      <c r="U111" s="74" t="e">
        <f t="shared" si="38"/>
        <v>#N/A</v>
      </c>
      <c r="V111" s="74" t="e">
        <f t="shared" si="39"/>
        <v>#N/A</v>
      </c>
      <c r="W111" s="74" t="e">
        <f t="shared" si="40"/>
        <v>#N/A</v>
      </c>
      <c r="X111" s="74" t="e">
        <f t="shared" si="41"/>
        <v>#N/A</v>
      </c>
      <c r="Y111" s="74" t="e">
        <f t="shared" si="42"/>
        <v>#N/A</v>
      </c>
    </row>
    <row r="112" spans="1:25">
      <c r="A112" s="88">
        <f>'Batch input'!A111</f>
        <v>0</v>
      </c>
      <c r="B112">
        <f>'Batch input'!B111</f>
        <v>0</v>
      </c>
      <c r="C112" t="e">
        <f>VLOOKUP($A112,Data!$D$3:$CJ$128,30,FALSE)</f>
        <v>#N/A</v>
      </c>
      <c r="D112" s="74" t="e">
        <f>VLOOKUP($A112,Data!$D$3:$CJ$128,64,FALSE)</f>
        <v>#N/A</v>
      </c>
      <c r="E112" s="74" t="e">
        <f>VLOOKUP($A112,Data!$D$3:$CJ$128,66,FALSE)</f>
        <v>#N/A</v>
      </c>
      <c r="F112" s="74" t="e">
        <f>VLOOKUP($A112,Data!$D$3:$CJ$128,67,FALSE)</f>
        <v>#N/A</v>
      </c>
      <c r="G112" s="78" t="e">
        <f>VLOOKUP($A112,Data!$D$3:$CJ$128,68,FALSE)</f>
        <v>#N/A</v>
      </c>
      <c r="H112" s="78" t="e">
        <f>VLOOKUP($A112,Data!$D$3:$CJ$128,69,FALSE)</f>
        <v>#N/A</v>
      </c>
      <c r="I112" s="74" t="e">
        <f>VLOOKUP($A112,Data!$D$3:$CJ$128,70,FALSE)</f>
        <v>#N/A</v>
      </c>
      <c r="J112" s="74" t="e">
        <f>VLOOKUP($A112,Data!$D$3:$CJ$128,71,FALSE)</f>
        <v>#N/A</v>
      </c>
      <c r="K112" s="74" t="e">
        <f>VLOOKUP($A112,Data!$D$3:$CJ$128,72,FALSE)</f>
        <v>#N/A</v>
      </c>
      <c r="L112" s="74" t="e">
        <f>VLOOKUP($A112,Data!$D$3:$CJ$128,73,FALSE)</f>
        <v>#N/A</v>
      </c>
      <c r="M112" s="74" t="e">
        <f>VLOOKUP($A112,Data!$D$3:$CJ$128,74,FALSE)</f>
        <v>#N/A</v>
      </c>
      <c r="N112" s="78" t="e">
        <f t="shared" si="31"/>
        <v>#N/A</v>
      </c>
      <c r="O112" s="78" t="e">
        <f t="shared" si="32"/>
        <v>#N/A</v>
      </c>
      <c r="P112" s="78" t="e">
        <f t="shared" si="33"/>
        <v>#N/A</v>
      </c>
      <c r="Q112" s="78" t="e">
        <f t="shared" si="34"/>
        <v>#N/A</v>
      </c>
      <c r="R112" s="78" t="e">
        <f t="shared" si="35"/>
        <v>#N/A</v>
      </c>
      <c r="S112" s="78" t="e">
        <f t="shared" si="36"/>
        <v>#N/A</v>
      </c>
      <c r="T112" s="74" t="e">
        <f t="shared" si="37"/>
        <v>#N/A</v>
      </c>
      <c r="U112" s="74" t="e">
        <f t="shared" si="38"/>
        <v>#N/A</v>
      </c>
      <c r="V112" s="74" t="e">
        <f t="shared" si="39"/>
        <v>#N/A</v>
      </c>
      <c r="W112" s="74" t="e">
        <f t="shared" si="40"/>
        <v>#N/A</v>
      </c>
      <c r="X112" s="74" t="e">
        <f t="shared" si="41"/>
        <v>#N/A</v>
      </c>
      <c r="Y112" s="74" t="e">
        <f t="shared" si="42"/>
        <v>#N/A</v>
      </c>
    </row>
    <row r="113" spans="1:25">
      <c r="A113" s="88">
        <f>'Batch input'!A112</f>
        <v>0</v>
      </c>
      <c r="B113">
        <f>'Batch input'!B112</f>
        <v>0</v>
      </c>
      <c r="C113" t="e">
        <f>VLOOKUP($A113,Data!$D$3:$CJ$128,30,FALSE)</f>
        <v>#N/A</v>
      </c>
      <c r="D113" s="74" t="e">
        <f>VLOOKUP($A113,Data!$D$3:$CJ$128,64,FALSE)</f>
        <v>#N/A</v>
      </c>
      <c r="E113" s="74" t="e">
        <f>VLOOKUP($A113,Data!$D$3:$CJ$128,66,FALSE)</f>
        <v>#N/A</v>
      </c>
      <c r="F113" s="74" t="e">
        <f>VLOOKUP($A113,Data!$D$3:$CJ$128,67,FALSE)</f>
        <v>#N/A</v>
      </c>
      <c r="G113" s="78" t="e">
        <f>VLOOKUP($A113,Data!$D$3:$CJ$128,68,FALSE)</f>
        <v>#N/A</v>
      </c>
      <c r="H113" s="78" t="e">
        <f>VLOOKUP($A113,Data!$D$3:$CJ$128,69,FALSE)</f>
        <v>#N/A</v>
      </c>
      <c r="I113" s="74" t="e">
        <f>VLOOKUP($A113,Data!$D$3:$CJ$128,70,FALSE)</f>
        <v>#N/A</v>
      </c>
      <c r="J113" s="74" t="e">
        <f>VLOOKUP($A113,Data!$D$3:$CJ$128,71,FALSE)</f>
        <v>#N/A</v>
      </c>
      <c r="K113" s="74" t="e">
        <f>VLOOKUP($A113,Data!$D$3:$CJ$128,72,FALSE)</f>
        <v>#N/A</v>
      </c>
      <c r="L113" s="74" t="e">
        <f>VLOOKUP($A113,Data!$D$3:$CJ$128,73,FALSE)</f>
        <v>#N/A</v>
      </c>
      <c r="M113" s="74" t="e">
        <f>VLOOKUP($A113,Data!$D$3:$CJ$128,74,FALSE)</f>
        <v>#N/A</v>
      </c>
      <c r="N113" s="78" t="e">
        <f t="shared" si="31"/>
        <v>#N/A</v>
      </c>
      <c r="O113" s="78" t="e">
        <f t="shared" si="32"/>
        <v>#N/A</v>
      </c>
      <c r="P113" s="78" t="e">
        <f t="shared" si="33"/>
        <v>#N/A</v>
      </c>
      <c r="Q113" s="78" t="e">
        <f t="shared" si="34"/>
        <v>#N/A</v>
      </c>
      <c r="R113" s="78" t="e">
        <f t="shared" si="35"/>
        <v>#N/A</v>
      </c>
      <c r="S113" s="78" t="e">
        <f t="shared" si="36"/>
        <v>#N/A</v>
      </c>
      <c r="T113" s="74" t="e">
        <f t="shared" si="37"/>
        <v>#N/A</v>
      </c>
      <c r="U113" s="74" t="e">
        <f t="shared" si="38"/>
        <v>#N/A</v>
      </c>
      <c r="V113" s="74" t="e">
        <f t="shared" si="39"/>
        <v>#N/A</v>
      </c>
      <c r="W113" s="74" t="e">
        <f t="shared" si="40"/>
        <v>#N/A</v>
      </c>
      <c r="X113" s="74" t="e">
        <f t="shared" si="41"/>
        <v>#N/A</v>
      </c>
      <c r="Y113" s="74" t="e">
        <f t="shared" si="42"/>
        <v>#N/A</v>
      </c>
    </row>
    <row r="114" spans="1:25">
      <c r="A114" s="88">
        <f>'Batch input'!A113</f>
        <v>0</v>
      </c>
      <c r="B114">
        <f>'Batch input'!B113</f>
        <v>0</v>
      </c>
      <c r="C114" t="e">
        <f>VLOOKUP($A114,Data!$D$3:$CJ$128,30,FALSE)</f>
        <v>#N/A</v>
      </c>
      <c r="D114" s="74" t="e">
        <f>VLOOKUP($A114,Data!$D$3:$CJ$128,64,FALSE)</f>
        <v>#N/A</v>
      </c>
      <c r="E114" s="74" t="e">
        <f>VLOOKUP($A114,Data!$D$3:$CJ$128,66,FALSE)</f>
        <v>#N/A</v>
      </c>
      <c r="F114" s="74" t="e">
        <f>VLOOKUP($A114,Data!$D$3:$CJ$128,67,FALSE)</f>
        <v>#N/A</v>
      </c>
      <c r="G114" s="78" t="e">
        <f>VLOOKUP($A114,Data!$D$3:$CJ$128,68,FALSE)</f>
        <v>#N/A</v>
      </c>
      <c r="H114" s="78" t="e">
        <f>VLOOKUP($A114,Data!$D$3:$CJ$128,69,FALSE)</f>
        <v>#N/A</v>
      </c>
      <c r="I114" s="74" t="e">
        <f>VLOOKUP($A114,Data!$D$3:$CJ$128,70,FALSE)</f>
        <v>#N/A</v>
      </c>
      <c r="J114" s="74" t="e">
        <f>VLOOKUP($A114,Data!$D$3:$CJ$128,71,FALSE)</f>
        <v>#N/A</v>
      </c>
      <c r="K114" s="74" t="e">
        <f>VLOOKUP($A114,Data!$D$3:$CJ$128,72,FALSE)</f>
        <v>#N/A</v>
      </c>
      <c r="L114" s="74" t="e">
        <f>VLOOKUP($A114,Data!$D$3:$CJ$128,73,FALSE)</f>
        <v>#N/A</v>
      </c>
      <c r="M114" s="74" t="e">
        <f>VLOOKUP($A114,Data!$D$3:$CJ$128,74,FALSE)</f>
        <v>#N/A</v>
      </c>
      <c r="N114" s="78" t="e">
        <f t="shared" si="31"/>
        <v>#N/A</v>
      </c>
      <c r="O114" s="78" t="e">
        <f t="shared" si="32"/>
        <v>#N/A</v>
      </c>
      <c r="P114" s="78" t="e">
        <f t="shared" si="33"/>
        <v>#N/A</v>
      </c>
      <c r="Q114" s="78" t="e">
        <f t="shared" si="34"/>
        <v>#N/A</v>
      </c>
      <c r="R114" s="78" t="e">
        <f t="shared" si="35"/>
        <v>#N/A</v>
      </c>
      <c r="S114" s="78" t="e">
        <f t="shared" si="36"/>
        <v>#N/A</v>
      </c>
      <c r="T114" s="74" t="e">
        <f t="shared" si="37"/>
        <v>#N/A</v>
      </c>
      <c r="U114" s="74" t="e">
        <f t="shared" si="38"/>
        <v>#N/A</v>
      </c>
      <c r="V114" s="74" t="e">
        <f t="shared" si="39"/>
        <v>#N/A</v>
      </c>
      <c r="W114" s="74" t="e">
        <f t="shared" si="40"/>
        <v>#N/A</v>
      </c>
      <c r="X114" s="74" t="e">
        <f t="shared" si="41"/>
        <v>#N/A</v>
      </c>
      <c r="Y114" s="74" t="e">
        <f t="shared" si="42"/>
        <v>#N/A</v>
      </c>
    </row>
    <row r="115" spans="1:25">
      <c r="A115" s="88">
        <f>'Batch input'!A114</f>
        <v>0</v>
      </c>
      <c r="B115">
        <f>'Batch input'!B114</f>
        <v>0</v>
      </c>
      <c r="C115" t="e">
        <f>VLOOKUP($A115,Data!$D$3:$CJ$128,30,FALSE)</f>
        <v>#N/A</v>
      </c>
      <c r="D115" s="74" t="e">
        <f>VLOOKUP($A115,Data!$D$3:$CJ$128,64,FALSE)</f>
        <v>#N/A</v>
      </c>
      <c r="E115" s="74" t="e">
        <f>VLOOKUP($A115,Data!$D$3:$CJ$128,66,FALSE)</f>
        <v>#N/A</v>
      </c>
      <c r="F115" s="74" t="e">
        <f>VLOOKUP($A115,Data!$D$3:$CJ$128,67,FALSE)</f>
        <v>#N/A</v>
      </c>
      <c r="G115" s="78" t="e">
        <f>VLOOKUP($A115,Data!$D$3:$CJ$128,68,FALSE)</f>
        <v>#N/A</v>
      </c>
      <c r="H115" s="78" t="e">
        <f>VLOOKUP($A115,Data!$D$3:$CJ$128,69,FALSE)</f>
        <v>#N/A</v>
      </c>
      <c r="I115" s="74" t="e">
        <f>VLOOKUP($A115,Data!$D$3:$CJ$128,70,FALSE)</f>
        <v>#N/A</v>
      </c>
      <c r="J115" s="74" t="e">
        <f>VLOOKUP($A115,Data!$D$3:$CJ$128,71,FALSE)</f>
        <v>#N/A</v>
      </c>
      <c r="K115" s="74" t="e">
        <f>VLOOKUP($A115,Data!$D$3:$CJ$128,72,FALSE)</f>
        <v>#N/A</v>
      </c>
      <c r="L115" s="74" t="e">
        <f>VLOOKUP($A115,Data!$D$3:$CJ$128,73,FALSE)</f>
        <v>#N/A</v>
      </c>
      <c r="M115" s="74" t="e">
        <f>VLOOKUP($A115,Data!$D$3:$CJ$128,74,FALSE)</f>
        <v>#N/A</v>
      </c>
      <c r="N115" s="78" t="e">
        <f t="shared" si="31"/>
        <v>#N/A</v>
      </c>
      <c r="O115" s="78" t="e">
        <f t="shared" si="32"/>
        <v>#N/A</v>
      </c>
      <c r="P115" s="78" t="e">
        <f t="shared" si="33"/>
        <v>#N/A</v>
      </c>
      <c r="Q115" s="78" t="e">
        <f t="shared" si="34"/>
        <v>#N/A</v>
      </c>
      <c r="R115" s="78" t="e">
        <f t="shared" si="35"/>
        <v>#N/A</v>
      </c>
      <c r="S115" s="78" t="e">
        <f t="shared" si="36"/>
        <v>#N/A</v>
      </c>
      <c r="T115" s="74" t="e">
        <f t="shared" si="37"/>
        <v>#N/A</v>
      </c>
      <c r="U115" s="74" t="e">
        <f t="shared" si="38"/>
        <v>#N/A</v>
      </c>
      <c r="V115" s="74" t="e">
        <f t="shared" si="39"/>
        <v>#N/A</v>
      </c>
      <c r="W115" s="74" t="e">
        <f t="shared" si="40"/>
        <v>#N/A</v>
      </c>
      <c r="X115" s="74" t="e">
        <f t="shared" si="41"/>
        <v>#N/A</v>
      </c>
      <c r="Y115" s="74" t="e">
        <f t="shared" si="42"/>
        <v>#N/A</v>
      </c>
    </row>
    <row r="116" spans="1:25">
      <c r="A116" s="88">
        <f>'Batch input'!A115</f>
        <v>0</v>
      </c>
      <c r="B116">
        <f>'Batch input'!B115</f>
        <v>0</v>
      </c>
      <c r="C116" t="e">
        <f>VLOOKUP($A116,Data!$D$3:$CJ$128,30,FALSE)</f>
        <v>#N/A</v>
      </c>
      <c r="D116" s="74" t="e">
        <f>VLOOKUP($A116,Data!$D$3:$CJ$128,64,FALSE)</f>
        <v>#N/A</v>
      </c>
      <c r="E116" s="74" t="e">
        <f>VLOOKUP($A116,Data!$D$3:$CJ$128,66,FALSE)</f>
        <v>#N/A</v>
      </c>
      <c r="F116" s="74" t="e">
        <f>VLOOKUP($A116,Data!$D$3:$CJ$128,67,FALSE)</f>
        <v>#N/A</v>
      </c>
      <c r="G116" s="78" t="e">
        <f>VLOOKUP($A116,Data!$D$3:$CJ$128,68,FALSE)</f>
        <v>#N/A</v>
      </c>
      <c r="H116" s="78" t="e">
        <f>VLOOKUP($A116,Data!$D$3:$CJ$128,69,FALSE)</f>
        <v>#N/A</v>
      </c>
      <c r="I116" s="74" t="e">
        <f>VLOOKUP($A116,Data!$D$3:$CJ$128,70,FALSE)</f>
        <v>#N/A</v>
      </c>
      <c r="J116" s="74" t="e">
        <f>VLOOKUP($A116,Data!$D$3:$CJ$128,71,FALSE)</f>
        <v>#N/A</v>
      </c>
      <c r="K116" s="74" t="e">
        <f>VLOOKUP($A116,Data!$D$3:$CJ$128,72,FALSE)</f>
        <v>#N/A</v>
      </c>
      <c r="L116" s="74" t="e">
        <f>VLOOKUP($A116,Data!$D$3:$CJ$128,73,FALSE)</f>
        <v>#N/A</v>
      </c>
      <c r="M116" s="74" t="e">
        <f>VLOOKUP($A116,Data!$D$3:$CJ$128,74,FALSE)</f>
        <v>#N/A</v>
      </c>
      <c r="N116" s="78" t="e">
        <f t="shared" si="31"/>
        <v>#N/A</v>
      </c>
      <c r="O116" s="78" t="e">
        <f t="shared" si="32"/>
        <v>#N/A</v>
      </c>
      <c r="P116" s="78" t="e">
        <f t="shared" si="33"/>
        <v>#N/A</v>
      </c>
      <c r="Q116" s="78" t="e">
        <f t="shared" si="34"/>
        <v>#N/A</v>
      </c>
      <c r="R116" s="78" t="e">
        <f t="shared" si="35"/>
        <v>#N/A</v>
      </c>
      <c r="S116" s="78" t="e">
        <f t="shared" si="36"/>
        <v>#N/A</v>
      </c>
      <c r="T116" s="74" t="e">
        <f t="shared" si="37"/>
        <v>#N/A</v>
      </c>
      <c r="U116" s="74" t="e">
        <f t="shared" si="38"/>
        <v>#N/A</v>
      </c>
      <c r="V116" s="74" t="e">
        <f t="shared" si="39"/>
        <v>#N/A</v>
      </c>
      <c r="W116" s="74" t="e">
        <f t="shared" si="40"/>
        <v>#N/A</v>
      </c>
      <c r="X116" s="74" t="e">
        <f t="shared" si="41"/>
        <v>#N/A</v>
      </c>
      <c r="Y116" s="74" t="e">
        <f t="shared" si="42"/>
        <v>#N/A</v>
      </c>
    </row>
    <row r="117" spans="1:25">
      <c r="A117" s="88">
        <f>'Batch input'!A116</f>
        <v>0</v>
      </c>
      <c r="B117">
        <f>'Batch input'!B116</f>
        <v>0</v>
      </c>
      <c r="C117" t="e">
        <f>VLOOKUP($A117,Data!$D$3:$CJ$128,30,FALSE)</f>
        <v>#N/A</v>
      </c>
      <c r="D117" s="74" t="e">
        <f>VLOOKUP($A117,Data!$D$3:$CJ$128,64,FALSE)</f>
        <v>#N/A</v>
      </c>
      <c r="E117" s="74" t="e">
        <f>VLOOKUP($A117,Data!$D$3:$CJ$128,66,FALSE)</f>
        <v>#N/A</v>
      </c>
      <c r="F117" s="74" t="e">
        <f>VLOOKUP($A117,Data!$D$3:$CJ$128,67,FALSE)</f>
        <v>#N/A</v>
      </c>
      <c r="G117" s="78" t="e">
        <f>VLOOKUP($A117,Data!$D$3:$CJ$128,68,FALSE)</f>
        <v>#N/A</v>
      </c>
      <c r="H117" s="78" t="e">
        <f>VLOOKUP($A117,Data!$D$3:$CJ$128,69,FALSE)</f>
        <v>#N/A</v>
      </c>
      <c r="I117" s="74" t="e">
        <f>VLOOKUP($A117,Data!$D$3:$CJ$128,70,FALSE)</f>
        <v>#N/A</v>
      </c>
      <c r="J117" s="74" t="e">
        <f>VLOOKUP($A117,Data!$D$3:$CJ$128,71,FALSE)</f>
        <v>#N/A</v>
      </c>
      <c r="K117" s="74" t="e">
        <f>VLOOKUP($A117,Data!$D$3:$CJ$128,72,FALSE)</f>
        <v>#N/A</v>
      </c>
      <c r="L117" s="74" t="e">
        <f>VLOOKUP($A117,Data!$D$3:$CJ$128,73,FALSE)</f>
        <v>#N/A</v>
      </c>
      <c r="M117" s="74" t="e">
        <f>VLOOKUP($A117,Data!$D$3:$CJ$128,74,FALSE)</f>
        <v>#N/A</v>
      </c>
      <c r="N117" s="78" t="e">
        <f t="shared" si="31"/>
        <v>#N/A</v>
      </c>
      <c r="O117" s="78" t="e">
        <f t="shared" si="32"/>
        <v>#N/A</v>
      </c>
      <c r="P117" s="78" t="e">
        <f t="shared" si="33"/>
        <v>#N/A</v>
      </c>
      <c r="Q117" s="78" t="e">
        <f t="shared" si="34"/>
        <v>#N/A</v>
      </c>
      <c r="R117" s="78" t="e">
        <f t="shared" si="35"/>
        <v>#N/A</v>
      </c>
      <c r="S117" s="78" t="e">
        <f t="shared" si="36"/>
        <v>#N/A</v>
      </c>
      <c r="T117" s="74" t="e">
        <f t="shared" si="37"/>
        <v>#N/A</v>
      </c>
      <c r="U117" s="74" t="e">
        <f t="shared" si="38"/>
        <v>#N/A</v>
      </c>
      <c r="V117" s="74" t="e">
        <f t="shared" si="39"/>
        <v>#N/A</v>
      </c>
      <c r="W117" s="74" t="e">
        <f t="shared" si="40"/>
        <v>#N/A</v>
      </c>
      <c r="X117" s="74" t="e">
        <f t="shared" si="41"/>
        <v>#N/A</v>
      </c>
      <c r="Y117" s="74" t="e">
        <f t="shared" si="42"/>
        <v>#N/A</v>
      </c>
    </row>
    <row r="118" spans="1:25">
      <c r="A118" s="88">
        <f>'Batch input'!A117</f>
        <v>0</v>
      </c>
      <c r="B118">
        <f>'Batch input'!B117</f>
        <v>0</v>
      </c>
      <c r="C118" t="e">
        <f>VLOOKUP($A118,Data!$D$3:$CJ$128,30,FALSE)</f>
        <v>#N/A</v>
      </c>
      <c r="D118" s="74" t="e">
        <f>VLOOKUP($A118,Data!$D$3:$CJ$128,64,FALSE)</f>
        <v>#N/A</v>
      </c>
      <c r="E118" s="74" t="e">
        <f>VLOOKUP($A118,Data!$D$3:$CJ$128,66,FALSE)</f>
        <v>#N/A</v>
      </c>
      <c r="F118" s="74" t="e">
        <f>VLOOKUP($A118,Data!$D$3:$CJ$128,67,FALSE)</f>
        <v>#N/A</v>
      </c>
      <c r="G118" s="78" t="e">
        <f>VLOOKUP($A118,Data!$D$3:$CJ$128,68,FALSE)</f>
        <v>#N/A</v>
      </c>
      <c r="H118" s="78" t="e">
        <f>VLOOKUP($A118,Data!$D$3:$CJ$128,69,FALSE)</f>
        <v>#N/A</v>
      </c>
      <c r="I118" s="74" t="e">
        <f>VLOOKUP($A118,Data!$D$3:$CJ$128,70,FALSE)</f>
        <v>#N/A</v>
      </c>
      <c r="J118" s="74" t="e">
        <f>VLOOKUP($A118,Data!$D$3:$CJ$128,71,FALSE)</f>
        <v>#N/A</v>
      </c>
      <c r="K118" s="74" t="e">
        <f>VLOOKUP($A118,Data!$D$3:$CJ$128,72,FALSE)</f>
        <v>#N/A</v>
      </c>
      <c r="L118" s="74" t="e">
        <f>VLOOKUP($A118,Data!$D$3:$CJ$128,73,FALSE)</f>
        <v>#N/A</v>
      </c>
      <c r="M118" s="74" t="e">
        <f>VLOOKUP($A118,Data!$D$3:$CJ$128,74,FALSE)</f>
        <v>#N/A</v>
      </c>
      <c r="N118" s="78" t="e">
        <f t="shared" si="31"/>
        <v>#N/A</v>
      </c>
      <c r="O118" s="78" t="e">
        <f t="shared" si="32"/>
        <v>#N/A</v>
      </c>
      <c r="P118" s="78" t="e">
        <f t="shared" si="33"/>
        <v>#N/A</v>
      </c>
      <c r="Q118" s="78" t="e">
        <f t="shared" si="34"/>
        <v>#N/A</v>
      </c>
      <c r="R118" s="78" t="e">
        <f t="shared" si="35"/>
        <v>#N/A</v>
      </c>
      <c r="S118" s="78" t="e">
        <f t="shared" si="36"/>
        <v>#N/A</v>
      </c>
      <c r="T118" s="74" t="e">
        <f t="shared" si="37"/>
        <v>#N/A</v>
      </c>
      <c r="U118" s="74" t="e">
        <f t="shared" si="38"/>
        <v>#N/A</v>
      </c>
      <c r="V118" s="74" t="e">
        <f t="shared" si="39"/>
        <v>#N/A</v>
      </c>
      <c r="W118" s="74" t="e">
        <f t="shared" si="40"/>
        <v>#N/A</v>
      </c>
      <c r="X118" s="74" t="e">
        <f t="shared" si="41"/>
        <v>#N/A</v>
      </c>
      <c r="Y118" s="74" t="e">
        <f t="shared" si="42"/>
        <v>#N/A</v>
      </c>
    </row>
    <row r="119" spans="1:25">
      <c r="A119" s="88">
        <f>'Batch input'!A118</f>
        <v>0</v>
      </c>
      <c r="B119">
        <f>'Batch input'!B118</f>
        <v>0</v>
      </c>
      <c r="C119" t="e">
        <f>VLOOKUP($A119,Data!$D$3:$CJ$128,30,FALSE)</f>
        <v>#N/A</v>
      </c>
      <c r="D119" s="74" t="e">
        <f>VLOOKUP($A119,Data!$D$3:$CJ$128,64,FALSE)</f>
        <v>#N/A</v>
      </c>
      <c r="E119" s="74" t="e">
        <f>VLOOKUP($A119,Data!$D$3:$CJ$128,66,FALSE)</f>
        <v>#N/A</v>
      </c>
      <c r="F119" s="74" t="e">
        <f>VLOOKUP($A119,Data!$D$3:$CJ$128,67,FALSE)</f>
        <v>#N/A</v>
      </c>
      <c r="G119" s="78" t="e">
        <f>VLOOKUP($A119,Data!$D$3:$CJ$128,68,FALSE)</f>
        <v>#N/A</v>
      </c>
      <c r="H119" s="78" t="e">
        <f>VLOOKUP($A119,Data!$D$3:$CJ$128,69,FALSE)</f>
        <v>#N/A</v>
      </c>
      <c r="I119" s="74" t="e">
        <f>VLOOKUP($A119,Data!$D$3:$CJ$128,70,FALSE)</f>
        <v>#N/A</v>
      </c>
      <c r="J119" s="74" t="e">
        <f>VLOOKUP($A119,Data!$D$3:$CJ$128,71,FALSE)</f>
        <v>#N/A</v>
      </c>
      <c r="K119" s="74" t="e">
        <f>VLOOKUP($A119,Data!$D$3:$CJ$128,72,FALSE)</f>
        <v>#N/A</v>
      </c>
      <c r="L119" s="74" t="e">
        <f>VLOOKUP($A119,Data!$D$3:$CJ$128,73,FALSE)</f>
        <v>#N/A</v>
      </c>
      <c r="M119" s="74" t="e">
        <f>VLOOKUP($A119,Data!$D$3:$CJ$128,74,FALSE)</f>
        <v>#N/A</v>
      </c>
      <c r="N119" s="78" t="e">
        <f t="shared" si="31"/>
        <v>#N/A</v>
      </c>
      <c r="O119" s="78" t="e">
        <f t="shared" si="32"/>
        <v>#N/A</v>
      </c>
      <c r="P119" s="78" t="e">
        <f t="shared" si="33"/>
        <v>#N/A</v>
      </c>
      <c r="Q119" s="78" t="e">
        <f t="shared" si="34"/>
        <v>#N/A</v>
      </c>
      <c r="R119" s="78" t="e">
        <f t="shared" si="35"/>
        <v>#N/A</v>
      </c>
      <c r="S119" s="78" t="e">
        <f t="shared" si="36"/>
        <v>#N/A</v>
      </c>
      <c r="T119" s="74" t="e">
        <f t="shared" si="37"/>
        <v>#N/A</v>
      </c>
      <c r="U119" s="74" t="e">
        <f t="shared" si="38"/>
        <v>#N/A</v>
      </c>
      <c r="V119" s="74" t="e">
        <f t="shared" si="39"/>
        <v>#N/A</v>
      </c>
      <c r="W119" s="74" t="e">
        <f t="shared" si="40"/>
        <v>#N/A</v>
      </c>
      <c r="X119" s="74" t="e">
        <f t="shared" si="41"/>
        <v>#N/A</v>
      </c>
      <c r="Y119" s="74" t="e">
        <f t="shared" si="42"/>
        <v>#N/A</v>
      </c>
    </row>
    <row r="120" spans="1:25">
      <c r="A120" s="88">
        <f>'Batch input'!A119</f>
        <v>0</v>
      </c>
      <c r="B120">
        <f>'Batch input'!B119</f>
        <v>0</v>
      </c>
      <c r="C120" t="e">
        <f>VLOOKUP($A120,Data!$D$3:$CJ$128,30,FALSE)</f>
        <v>#N/A</v>
      </c>
      <c r="D120" s="74" t="e">
        <f>VLOOKUP($A120,Data!$D$3:$CJ$128,64,FALSE)</f>
        <v>#N/A</v>
      </c>
      <c r="E120" s="74" t="e">
        <f>VLOOKUP($A120,Data!$D$3:$CJ$128,66,FALSE)</f>
        <v>#N/A</v>
      </c>
      <c r="F120" s="74" t="e">
        <f>VLOOKUP($A120,Data!$D$3:$CJ$128,67,FALSE)</f>
        <v>#N/A</v>
      </c>
      <c r="G120" s="78" t="e">
        <f>VLOOKUP($A120,Data!$D$3:$CJ$128,68,FALSE)</f>
        <v>#N/A</v>
      </c>
      <c r="H120" s="78" t="e">
        <f>VLOOKUP($A120,Data!$D$3:$CJ$128,69,FALSE)</f>
        <v>#N/A</v>
      </c>
      <c r="I120" s="74" t="e">
        <f>VLOOKUP($A120,Data!$D$3:$CJ$128,70,FALSE)</f>
        <v>#N/A</v>
      </c>
      <c r="J120" s="74" t="e">
        <f>VLOOKUP($A120,Data!$D$3:$CJ$128,71,FALSE)</f>
        <v>#N/A</v>
      </c>
      <c r="K120" s="74" t="e">
        <f>VLOOKUP($A120,Data!$D$3:$CJ$128,72,FALSE)</f>
        <v>#N/A</v>
      </c>
      <c r="L120" s="74" t="e">
        <f>VLOOKUP($A120,Data!$D$3:$CJ$128,73,FALSE)</f>
        <v>#N/A</v>
      </c>
      <c r="M120" s="74" t="e">
        <f>VLOOKUP($A120,Data!$D$3:$CJ$128,74,FALSE)</f>
        <v>#N/A</v>
      </c>
      <c r="N120" s="78" t="e">
        <f t="shared" si="31"/>
        <v>#N/A</v>
      </c>
      <c r="O120" s="78" t="e">
        <f t="shared" si="32"/>
        <v>#N/A</v>
      </c>
      <c r="P120" s="78" t="e">
        <f t="shared" si="33"/>
        <v>#N/A</v>
      </c>
      <c r="Q120" s="78" t="e">
        <f t="shared" si="34"/>
        <v>#N/A</v>
      </c>
      <c r="R120" s="78" t="e">
        <f t="shared" si="35"/>
        <v>#N/A</v>
      </c>
      <c r="S120" s="78" t="e">
        <f t="shared" si="36"/>
        <v>#N/A</v>
      </c>
      <c r="T120" s="74" t="e">
        <f t="shared" si="37"/>
        <v>#N/A</v>
      </c>
      <c r="U120" s="74" t="e">
        <f t="shared" si="38"/>
        <v>#N/A</v>
      </c>
      <c r="V120" s="74" t="e">
        <f t="shared" si="39"/>
        <v>#N/A</v>
      </c>
      <c r="W120" s="74" t="e">
        <f t="shared" si="40"/>
        <v>#N/A</v>
      </c>
      <c r="X120" s="74" t="e">
        <f t="shared" si="41"/>
        <v>#N/A</v>
      </c>
      <c r="Y120" s="74" t="e">
        <f t="shared" si="42"/>
        <v>#N/A</v>
      </c>
    </row>
    <row r="121" spans="1:25">
      <c r="A121" s="88">
        <f>'Batch input'!A120</f>
        <v>0</v>
      </c>
      <c r="B121">
        <f>'Batch input'!B120</f>
        <v>0</v>
      </c>
      <c r="C121" t="e">
        <f>VLOOKUP($A121,Data!$D$3:$CJ$128,30,FALSE)</f>
        <v>#N/A</v>
      </c>
      <c r="D121" s="74" t="e">
        <f>VLOOKUP($A121,Data!$D$3:$CJ$128,64,FALSE)</f>
        <v>#N/A</v>
      </c>
      <c r="E121" s="74" t="e">
        <f>VLOOKUP($A121,Data!$D$3:$CJ$128,66,FALSE)</f>
        <v>#N/A</v>
      </c>
      <c r="F121" s="74" t="e">
        <f>VLOOKUP($A121,Data!$D$3:$CJ$128,67,FALSE)</f>
        <v>#N/A</v>
      </c>
      <c r="G121" s="78" t="e">
        <f>VLOOKUP($A121,Data!$D$3:$CJ$128,68,FALSE)</f>
        <v>#N/A</v>
      </c>
      <c r="H121" s="78" t="e">
        <f>VLOOKUP($A121,Data!$D$3:$CJ$128,69,FALSE)</f>
        <v>#N/A</v>
      </c>
      <c r="I121" s="74" t="e">
        <f>VLOOKUP($A121,Data!$D$3:$CJ$128,70,FALSE)</f>
        <v>#N/A</v>
      </c>
      <c r="J121" s="74" t="e">
        <f>VLOOKUP($A121,Data!$D$3:$CJ$128,71,FALSE)</f>
        <v>#N/A</v>
      </c>
      <c r="K121" s="74" t="e">
        <f>VLOOKUP($A121,Data!$D$3:$CJ$128,72,FALSE)</f>
        <v>#N/A</v>
      </c>
      <c r="L121" s="74" t="e">
        <f>VLOOKUP($A121,Data!$D$3:$CJ$128,73,FALSE)</f>
        <v>#N/A</v>
      </c>
      <c r="M121" s="74" t="e">
        <f>VLOOKUP($A121,Data!$D$3:$CJ$128,74,FALSE)</f>
        <v>#N/A</v>
      </c>
      <c r="N121" s="78" t="e">
        <f t="shared" si="31"/>
        <v>#N/A</v>
      </c>
      <c r="O121" s="78" t="e">
        <f t="shared" si="32"/>
        <v>#N/A</v>
      </c>
      <c r="P121" s="78" t="e">
        <f t="shared" si="33"/>
        <v>#N/A</v>
      </c>
      <c r="Q121" s="78" t="e">
        <f t="shared" si="34"/>
        <v>#N/A</v>
      </c>
      <c r="R121" s="78" t="e">
        <f t="shared" si="35"/>
        <v>#N/A</v>
      </c>
      <c r="S121" s="78" t="e">
        <f t="shared" si="36"/>
        <v>#N/A</v>
      </c>
      <c r="T121" s="74" t="e">
        <f t="shared" si="37"/>
        <v>#N/A</v>
      </c>
      <c r="U121" s="74" t="e">
        <f t="shared" si="38"/>
        <v>#N/A</v>
      </c>
      <c r="V121" s="74" t="e">
        <f t="shared" si="39"/>
        <v>#N/A</v>
      </c>
      <c r="W121" s="74" t="e">
        <f t="shared" si="40"/>
        <v>#N/A</v>
      </c>
      <c r="X121" s="74" t="e">
        <f t="shared" si="41"/>
        <v>#N/A</v>
      </c>
      <c r="Y121" s="74" t="e">
        <f t="shared" si="42"/>
        <v>#N/A</v>
      </c>
    </row>
    <row r="122" spans="1:25">
      <c r="A122" s="88">
        <f>'Batch input'!A121</f>
        <v>0</v>
      </c>
      <c r="B122">
        <f>'Batch input'!B121</f>
        <v>0</v>
      </c>
      <c r="C122" t="e">
        <f>VLOOKUP($A122,Data!$D$3:$CJ$128,30,FALSE)</f>
        <v>#N/A</v>
      </c>
      <c r="D122" s="74" t="e">
        <f>VLOOKUP($A122,Data!$D$3:$CJ$128,64,FALSE)</f>
        <v>#N/A</v>
      </c>
      <c r="E122" s="74" t="e">
        <f>VLOOKUP($A122,Data!$D$3:$CJ$128,66,FALSE)</f>
        <v>#N/A</v>
      </c>
      <c r="F122" s="74" t="e">
        <f>VLOOKUP($A122,Data!$D$3:$CJ$128,67,FALSE)</f>
        <v>#N/A</v>
      </c>
      <c r="G122" s="78" t="e">
        <f>VLOOKUP($A122,Data!$D$3:$CJ$128,68,FALSE)</f>
        <v>#N/A</v>
      </c>
      <c r="H122" s="78" t="e">
        <f>VLOOKUP($A122,Data!$D$3:$CJ$128,69,FALSE)</f>
        <v>#N/A</v>
      </c>
      <c r="I122" s="74" t="e">
        <f>VLOOKUP($A122,Data!$D$3:$CJ$128,70,FALSE)</f>
        <v>#N/A</v>
      </c>
      <c r="J122" s="74" t="e">
        <f>VLOOKUP($A122,Data!$D$3:$CJ$128,71,FALSE)</f>
        <v>#N/A</v>
      </c>
      <c r="K122" s="74" t="e">
        <f>VLOOKUP($A122,Data!$D$3:$CJ$128,72,FALSE)</f>
        <v>#N/A</v>
      </c>
      <c r="L122" s="74" t="e">
        <f>VLOOKUP($A122,Data!$D$3:$CJ$128,73,FALSE)</f>
        <v>#N/A</v>
      </c>
      <c r="M122" s="74" t="e">
        <f>VLOOKUP($A122,Data!$D$3:$CJ$128,74,FALSE)</f>
        <v>#N/A</v>
      </c>
      <c r="N122" s="78" t="e">
        <f t="shared" si="31"/>
        <v>#N/A</v>
      </c>
      <c r="O122" s="78" t="e">
        <f t="shared" si="32"/>
        <v>#N/A</v>
      </c>
      <c r="P122" s="78" t="e">
        <f t="shared" si="33"/>
        <v>#N/A</v>
      </c>
      <c r="Q122" s="78" t="e">
        <f t="shared" si="34"/>
        <v>#N/A</v>
      </c>
      <c r="R122" s="78" t="e">
        <f t="shared" si="35"/>
        <v>#N/A</v>
      </c>
      <c r="S122" s="78" t="e">
        <f t="shared" si="36"/>
        <v>#N/A</v>
      </c>
      <c r="T122" s="74" t="e">
        <f t="shared" si="37"/>
        <v>#N/A</v>
      </c>
      <c r="U122" s="74" t="e">
        <f t="shared" si="38"/>
        <v>#N/A</v>
      </c>
      <c r="V122" s="74" t="e">
        <f t="shared" si="39"/>
        <v>#N/A</v>
      </c>
      <c r="W122" s="74" t="e">
        <f t="shared" si="40"/>
        <v>#N/A</v>
      </c>
      <c r="X122" s="74" t="e">
        <f t="shared" si="41"/>
        <v>#N/A</v>
      </c>
      <c r="Y122" s="74" t="e">
        <f t="shared" si="42"/>
        <v>#N/A</v>
      </c>
    </row>
    <row r="123" spans="1:25">
      <c r="A123" s="88">
        <f>'Batch input'!A122</f>
        <v>0</v>
      </c>
      <c r="B123">
        <f>'Batch input'!B122</f>
        <v>0</v>
      </c>
      <c r="C123" t="e">
        <f>VLOOKUP($A123,Data!$D$3:$CJ$128,30,FALSE)</f>
        <v>#N/A</v>
      </c>
      <c r="D123" s="74" t="e">
        <f>VLOOKUP($A123,Data!$D$3:$CJ$128,64,FALSE)</f>
        <v>#N/A</v>
      </c>
      <c r="E123" s="74" t="e">
        <f>VLOOKUP($A123,Data!$D$3:$CJ$128,66,FALSE)</f>
        <v>#N/A</v>
      </c>
      <c r="F123" s="74" t="e">
        <f>VLOOKUP($A123,Data!$D$3:$CJ$128,67,FALSE)</f>
        <v>#N/A</v>
      </c>
      <c r="G123" s="78" t="e">
        <f>VLOOKUP($A123,Data!$D$3:$CJ$128,68,FALSE)</f>
        <v>#N/A</v>
      </c>
      <c r="H123" s="78" t="e">
        <f>VLOOKUP($A123,Data!$D$3:$CJ$128,69,FALSE)</f>
        <v>#N/A</v>
      </c>
      <c r="I123" s="74" t="e">
        <f>VLOOKUP($A123,Data!$D$3:$CJ$128,70,FALSE)</f>
        <v>#N/A</v>
      </c>
      <c r="J123" s="74" t="e">
        <f>VLOOKUP($A123,Data!$D$3:$CJ$128,71,FALSE)</f>
        <v>#N/A</v>
      </c>
      <c r="K123" s="74" t="e">
        <f>VLOOKUP($A123,Data!$D$3:$CJ$128,72,FALSE)</f>
        <v>#N/A</v>
      </c>
      <c r="L123" s="74" t="e">
        <f>VLOOKUP($A123,Data!$D$3:$CJ$128,73,FALSE)</f>
        <v>#N/A</v>
      </c>
      <c r="M123" s="74" t="e">
        <f>VLOOKUP($A123,Data!$D$3:$CJ$128,74,FALSE)</f>
        <v>#N/A</v>
      </c>
      <c r="N123" s="78" t="e">
        <f t="shared" si="31"/>
        <v>#N/A</v>
      </c>
      <c r="O123" s="78" t="e">
        <f t="shared" si="32"/>
        <v>#N/A</v>
      </c>
      <c r="P123" s="78" t="e">
        <f t="shared" si="33"/>
        <v>#N/A</v>
      </c>
      <c r="Q123" s="78" t="e">
        <f t="shared" si="34"/>
        <v>#N/A</v>
      </c>
      <c r="R123" s="78" t="e">
        <f t="shared" si="35"/>
        <v>#N/A</v>
      </c>
      <c r="S123" s="78" t="e">
        <f t="shared" si="36"/>
        <v>#N/A</v>
      </c>
      <c r="T123" s="74" t="e">
        <f t="shared" si="37"/>
        <v>#N/A</v>
      </c>
      <c r="U123" s="74" t="e">
        <f t="shared" si="38"/>
        <v>#N/A</v>
      </c>
      <c r="V123" s="74" t="e">
        <f t="shared" si="39"/>
        <v>#N/A</v>
      </c>
      <c r="W123" s="74" t="e">
        <f t="shared" si="40"/>
        <v>#N/A</v>
      </c>
      <c r="X123" s="74" t="e">
        <f t="shared" si="41"/>
        <v>#N/A</v>
      </c>
      <c r="Y123" s="74" t="e">
        <f t="shared" si="42"/>
        <v>#N/A</v>
      </c>
    </row>
    <row r="124" spans="1:25">
      <c r="A124" s="88">
        <f>'Batch input'!A123</f>
        <v>0</v>
      </c>
      <c r="B124">
        <f>'Batch input'!B123</f>
        <v>0</v>
      </c>
      <c r="C124" t="e">
        <f>VLOOKUP($A124,Data!$D$3:$CJ$128,30,FALSE)</f>
        <v>#N/A</v>
      </c>
      <c r="D124" s="74" t="e">
        <f>VLOOKUP($A124,Data!$D$3:$CJ$128,64,FALSE)</f>
        <v>#N/A</v>
      </c>
      <c r="E124" s="74" t="e">
        <f>VLOOKUP($A124,Data!$D$3:$CJ$128,66,FALSE)</f>
        <v>#N/A</v>
      </c>
      <c r="F124" s="74" t="e">
        <f>VLOOKUP($A124,Data!$D$3:$CJ$128,67,FALSE)</f>
        <v>#N/A</v>
      </c>
      <c r="G124" s="78" t="e">
        <f>VLOOKUP($A124,Data!$D$3:$CJ$128,68,FALSE)</f>
        <v>#N/A</v>
      </c>
      <c r="H124" s="78" t="e">
        <f>VLOOKUP($A124,Data!$D$3:$CJ$128,69,FALSE)</f>
        <v>#N/A</v>
      </c>
      <c r="I124" s="74" t="e">
        <f>VLOOKUP($A124,Data!$D$3:$CJ$128,70,FALSE)</f>
        <v>#N/A</v>
      </c>
      <c r="J124" s="74" t="e">
        <f>VLOOKUP($A124,Data!$D$3:$CJ$128,71,FALSE)</f>
        <v>#N/A</v>
      </c>
      <c r="K124" s="74" t="e">
        <f>VLOOKUP($A124,Data!$D$3:$CJ$128,72,FALSE)</f>
        <v>#N/A</v>
      </c>
      <c r="L124" s="74" t="e">
        <f>VLOOKUP($A124,Data!$D$3:$CJ$128,73,FALSE)</f>
        <v>#N/A</v>
      </c>
      <c r="M124" s="74" t="e">
        <f>VLOOKUP($A124,Data!$D$3:$CJ$128,74,FALSE)</f>
        <v>#N/A</v>
      </c>
      <c r="N124" s="78" t="e">
        <f t="shared" si="31"/>
        <v>#N/A</v>
      </c>
      <c r="O124" s="78" t="e">
        <f t="shared" si="32"/>
        <v>#N/A</v>
      </c>
      <c r="P124" s="78" t="e">
        <f t="shared" si="33"/>
        <v>#N/A</v>
      </c>
      <c r="Q124" s="78" t="e">
        <f t="shared" si="34"/>
        <v>#N/A</v>
      </c>
      <c r="R124" s="78" t="e">
        <f t="shared" si="35"/>
        <v>#N/A</v>
      </c>
      <c r="S124" s="78" t="e">
        <f t="shared" si="36"/>
        <v>#N/A</v>
      </c>
      <c r="T124" s="74" t="e">
        <f t="shared" si="37"/>
        <v>#N/A</v>
      </c>
      <c r="U124" s="74" t="e">
        <f t="shared" si="38"/>
        <v>#N/A</v>
      </c>
      <c r="V124" s="74" t="e">
        <f t="shared" si="39"/>
        <v>#N/A</v>
      </c>
      <c r="W124" s="74" t="e">
        <f t="shared" si="40"/>
        <v>#N/A</v>
      </c>
      <c r="X124" s="74" t="e">
        <f t="shared" si="41"/>
        <v>#N/A</v>
      </c>
      <c r="Y124" s="74" t="e">
        <f t="shared" si="42"/>
        <v>#N/A</v>
      </c>
    </row>
    <row r="125" spans="1:25">
      <c r="A125" s="88">
        <f>'Batch input'!A124</f>
        <v>0</v>
      </c>
      <c r="B125">
        <f>'Batch input'!B124</f>
        <v>0</v>
      </c>
      <c r="C125" t="e">
        <f>VLOOKUP($A125,Data!$D$3:$CJ$128,30,FALSE)</f>
        <v>#N/A</v>
      </c>
      <c r="D125" s="74" t="e">
        <f>VLOOKUP($A125,Data!$D$3:$CJ$128,64,FALSE)</f>
        <v>#N/A</v>
      </c>
      <c r="E125" s="74" t="e">
        <f>VLOOKUP($A125,Data!$D$3:$CJ$128,66,FALSE)</f>
        <v>#N/A</v>
      </c>
      <c r="F125" s="74" t="e">
        <f>VLOOKUP($A125,Data!$D$3:$CJ$128,67,FALSE)</f>
        <v>#N/A</v>
      </c>
      <c r="G125" s="78" t="e">
        <f>VLOOKUP($A125,Data!$D$3:$CJ$128,68,FALSE)</f>
        <v>#N/A</v>
      </c>
      <c r="H125" s="78" t="e">
        <f>VLOOKUP($A125,Data!$D$3:$CJ$128,69,FALSE)</f>
        <v>#N/A</v>
      </c>
      <c r="I125" s="74" t="e">
        <f>VLOOKUP($A125,Data!$D$3:$CJ$128,70,FALSE)</f>
        <v>#N/A</v>
      </c>
      <c r="J125" s="74" t="e">
        <f>VLOOKUP($A125,Data!$D$3:$CJ$128,71,FALSE)</f>
        <v>#N/A</v>
      </c>
      <c r="K125" s="74" t="e">
        <f>VLOOKUP($A125,Data!$D$3:$CJ$128,72,FALSE)</f>
        <v>#N/A</v>
      </c>
      <c r="L125" s="74" t="e">
        <f>VLOOKUP($A125,Data!$D$3:$CJ$128,73,FALSE)</f>
        <v>#N/A</v>
      </c>
      <c r="M125" s="74" t="e">
        <f>VLOOKUP($A125,Data!$D$3:$CJ$128,74,FALSE)</f>
        <v>#N/A</v>
      </c>
      <c r="N125" s="78" t="e">
        <f t="shared" si="31"/>
        <v>#N/A</v>
      </c>
      <c r="O125" s="78" t="e">
        <f t="shared" si="32"/>
        <v>#N/A</v>
      </c>
      <c r="P125" s="78" t="e">
        <f t="shared" si="33"/>
        <v>#N/A</v>
      </c>
      <c r="Q125" s="78" t="e">
        <f t="shared" si="34"/>
        <v>#N/A</v>
      </c>
      <c r="R125" s="78" t="e">
        <f t="shared" si="35"/>
        <v>#N/A</v>
      </c>
      <c r="S125" s="78" t="e">
        <f t="shared" si="36"/>
        <v>#N/A</v>
      </c>
      <c r="T125" s="74" t="e">
        <f t="shared" si="37"/>
        <v>#N/A</v>
      </c>
      <c r="U125" s="74" t="e">
        <f t="shared" si="38"/>
        <v>#N/A</v>
      </c>
      <c r="V125" s="74" t="e">
        <f t="shared" si="39"/>
        <v>#N/A</v>
      </c>
      <c r="W125" s="74" t="e">
        <f t="shared" si="40"/>
        <v>#N/A</v>
      </c>
      <c r="X125" s="74" t="e">
        <f t="shared" si="41"/>
        <v>#N/A</v>
      </c>
      <c r="Y125" s="74" t="e">
        <f t="shared" si="42"/>
        <v>#N/A</v>
      </c>
    </row>
    <row r="126" spans="1:25">
      <c r="A126" s="88">
        <f>'Batch input'!A125</f>
        <v>0</v>
      </c>
      <c r="B126">
        <f>'Batch input'!B125</f>
        <v>0</v>
      </c>
      <c r="C126" t="e">
        <f>VLOOKUP($A126,Data!$D$3:$CJ$128,30,FALSE)</f>
        <v>#N/A</v>
      </c>
      <c r="D126" s="74" t="e">
        <f>VLOOKUP($A126,Data!$D$3:$CJ$128,64,FALSE)</f>
        <v>#N/A</v>
      </c>
      <c r="E126" s="74" t="e">
        <f>VLOOKUP($A126,Data!$D$3:$CJ$128,66,FALSE)</f>
        <v>#N/A</v>
      </c>
      <c r="F126" s="74" t="e">
        <f>VLOOKUP($A126,Data!$D$3:$CJ$128,67,FALSE)</f>
        <v>#N/A</v>
      </c>
      <c r="G126" s="78" t="e">
        <f>VLOOKUP($A126,Data!$D$3:$CJ$128,68,FALSE)</f>
        <v>#N/A</v>
      </c>
      <c r="H126" s="78" t="e">
        <f>VLOOKUP($A126,Data!$D$3:$CJ$128,69,FALSE)</f>
        <v>#N/A</v>
      </c>
      <c r="I126" s="74" t="e">
        <f>VLOOKUP($A126,Data!$D$3:$CJ$128,70,FALSE)</f>
        <v>#N/A</v>
      </c>
      <c r="J126" s="74" t="e">
        <f>VLOOKUP($A126,Data!$D$3:$CJ$128,71,FALSE)</f>
        <v>#N/A</v>
      </c>
      <c r="K126" s="74" t="e">
        <f>VLOOKUP($A126,Data!$D$3:$CJ$128,72,FALSE)</f>
        <v>#N/A</v>
      </c>
      <c r="L126" s="74" t="e">
        <f>VLOOKUP($A126,Data!$D$3:$CJ$128,73,FALSE)</f>
        <v>#N/A</v>
      </c>
      <c r="M126" s="74" t="e">
        <f>VLOOKUP($A126,Data!$D$3:$CJ$128,74,FALSE)</f>
        <v>#N/A</v>
      </c>
      <c r="N126" s="78" t="e">
        <f t="shared" si="31"/>
        <v>#N/A</v>
      </c>
      <c r="O126" s="78" t="e">
        <f t="shared" si="32"/>
        <v>#N/A</v>
      </c>
      <c r="P126" s="78" t="e">
        <f t="shared" si="33"/>
        <v>#N/A</v>
      </c>
      <c r="Q126" s="78" t="e">
        <f t="shared" si="34"/>
        <v>#N/A</v>
      </c>
      <c r="R126" s="78" t="e">
        <f t="shared" si="35"/>
        <v>#N/A</v>
      </c>
      <c r="S126" s="78" t="e">
        <f t="shared" si="36"/>
        <v>#N/A</v>
      </c>
      <c r="T126" s="74" t="e">
        <f t="shared" si="37"/>
        <v>#N/A</v>
      </c>
      <c r="U126" s="74" t="e">
        <f t="shared" si="38"/>
        <v>#N/A</v>
      </c>
      <c r="V126" s="74" t="e">
        <f t="shared" si="39"/>
        <v>#N/A</v>
      </c>
      <c r="W126" s="74" t="e">
        <f t="shared" si="40"/>
        <v>#N/A</v>
      </c>
      <c r="X126" s="74" t="e">
        <f t="shared" si="41"/>
        <v>#N/A</v>
      </c>
      <c r="Y126" s="74" t="e">
        <f t="shared" si="42"/>
        <v>#N/A</v>
      </c>
    </row>
    <row r="127" spans="1:25">
      <c r="A127" s="88">
        <f>'Batch input'!A126</f>
        <v>0</v>
      </c>
      <c r="B127">
        <f>'Batch input'!B126</f>
        <v>0</v>
      </c>
      <c r="C127" t="e">
        <f>VLOOKUP($A127,Data!$D$3:$CJ$128,30,FALSE)</f>
        <v>#N/A</v>
      </c>
      <c r="D127" s="74" t="e">
        <f>VLOOKUP($A127,Data!$D$3:$CJ$128,64,FALSE)</f>
        <v>#N/A</v>
      </c>
      <c r="E127" s="74" t="e">
        <f>VLOOKUP($A127,Data!$D$3:$CJ$128,66,FALSE)</f>
        <v>#N/A</v>
      </c>
      <c r="F127" s="74" t="e">
        <f>VLOOKUP($A127,Data!$D$3:$CJ$128,67,FALSE)</f>
        <v>#N/A</v>
      </c>
      <c r="G127" s="78" t="e">
        <f>VLOOKUP($A127,Data!$D$3:$CJ$128,68,FALSE)</f>
        <v>#N/A</v>
      </c>
      <c r="H127" s="78" t="e">
        <f>VLOOKUP($A127,Data!$D$3:$CJ$128,69,FALSE)</f>
        <v>#N/A</v>
      </c>
      <c r="I127" s="74" t="e">
        <f>VLOOKUP($A127,Data!$D$3:$CJ$128,70,FALSE)</f>
        <v>#N/A</v>
      </c>
      <c r="J127" s="74" t="e">
        <f>VLOOKUP($A127,Data!$D$3:$CJ$128,71,FALSE)</f>
        <v>#N/A</v>
      </c>
      <c r="K127" s="74" t="e">
        <f>VLOOKUP($A127,Data!$D$3:$CJ$128,72,FALSE)</f>
        <v>#N/A</v>
      </c>
      <c r="L127" s="74" t="e">
        <f>VLOOKUP($A127,Data!$D$3:$CJ$128,73,FALSE)</f>
        <v>#N/A</v>
      </c>
      <c r="M127" s="74" t="e">
        <f>VLOOKUP($A127,Data!$D$3:$CJ$128,74,FALSE)</f>
        <v>#N/A</v>
      </c>
      <c r="N127" s="78" t="e">
        <f t="shared" si="31"/>
        <v>#N/A</v>
      </c>
      <c r="O127" s="78" t="e">
        <f t="shared" si="32"/>
        <v>#N/A</v>
      </c>
      <c r="P127" s="78" t="e">
        <f t="shared" si="33"/>
        <v>#N/A</v>
      </c>
      <c r="Q127" s="78" t="e">
        <f t="shared" si="34"/>
        <v>#N/A</v>
      </c>
      <c r="R127" s="78" t="e">
        <f t="shared" si="35"/>
        <v>#N/A</v>
      </c>
      <c r="S127" s="78" t="e">
        <f t="shared" si="36"/>
        <v>#N/A</v>
      </c>
      <c r="T127" s="74" t="e">
        <f t="shared" si="37"/>
        <v>#N/A</v>
      </c>
      <c r="U127" s="74" t="e">
        <f t="shared" si="38"/>
        <v>#N/A</v>
      </c>
      <c r="V127" s="74" t="e">
        <f t="shared" si="39"/>
        <v>#N/A</v>
      </c>
      <c r="W127" s="74" t="e">
        <f t="shared" si="40"/>
        <v>#N/A</v>
      </c>
      <c r="X127" s="74" t="e">
        <f t="shared" si="41"/>
        <v>#N/A</v>
      </c>
      <c r="Y127" s="74" t="e">
        <f t="shared" si="42"/>
        <v>#N/A</v>
      </c>
    </row>
    <row r="128" spans="1:25">
      <c r="A128" s="88">
        <f>'Batch input'!A127</f>
        <v>0</v>
      </c>
      <c r="B128">
        <f>'Batch input'!B127</f>
        <v>0</v>
      </c>
      <c r="C128" t="e">
        <f>VLOOKUP($A128,Data!$D$3:$CJ$128,30,FALSE)</f>
        <v>#N/A</v>
      </c>
      <c r="D128" s="74" t="e">
        <f>VLOOKUP($A128,Data!$D$3:$CJ$128,64,FALSE)</f>
        <v>#N/A</v>
      </c>
      <c r="E128" s="74" t="e">
        <f>VLOOKUP($A128,Data!$D$3:$CJ$128,66,FALSE)</f>
        <v>#N/A</v>
      </c>
      <c r="F128" s="74" t="e">
        <f>VLOOKUP($A128,Data!$D$3:$CJ$128,67,FALSE)</f>
        <v>#N/A</v>
      </c>
      <c r="G128" s="78" t="e">
        <f>VLOOKUP($A128,Data!$D$3:$CJ$128,68,FALSE)</f>
        <v>#N/A</v>
      </c>
      <c r="H128" s="78" t="e">
        <f>VLOOKUP($A128,Data!$D$3:$CJ$128,69,FALSE)</f>
        <v>#N/A</v>
      </c>
      <c r="I128" s="74" t="e">
        <f>VLOOKUP($A128,Data!$D$3:$CJ$128,70,FALSE)</f>
        <v>#N/A</v>
      </c>
      <c r="J128" s="74" t="e">
        <f>VLOOKUP($A128,Data!$D$3:$CJ$128,71,FALSE)</f>
        <v>#N/A</v>
      </c>
      <c r="K128" s="74" t="e">
        <f>VLOOKUP($A128,Data!$D$3:$CJ$128,72,FALSE)</f>
        <v>#N/A</v>
      </c>
      <c r="L128" s="74" t="e">
        <f>VLOOKUP($A128,Data!$D$3:$CJ$128,73,FALSE)</f>
        <v>#N/A</v>
      </c>
      <c r="M128" s="74" t="e">
        <f>VLOOKUP($A128,Data!$D$3:$CJ$128,74,FALSE)</f>
        <v>#N/A</v>
      </c>
      <c r="N128" s="78" t="e">
        <f t="shared" si="31"/>
        <v>#N/A</v>
      </c>
      <c r="O128" s="78" t="e">
        <f t="shared" si="32"/>
        <v>#N/A</v>
      </c>
      <c r="P128" s="78" t="e">
        <f t="shared" si="33"/>
        <v>#N/A</v>
      </c>
      <c r="Q128" s="78" t="e">
        <f t="shared" si="34"/>
        <v>#N/A</v>
      </c>
      <c r="R128" s="78" t="e">
        <f t="shared" si="35"/>
        <v>#N/A</v>
      </c>
      <c r="S128" s="78" t="e">
        <f t="shared" si="36"/>
        <v>#N/A</v>
      </c>
      <c r="T128" s="74" t="e">
        <f t="shared" si="37"/>
        <v>#N/A</v>
      </c>
      <c r="U128" s="74" t="e">
        <f t="shared" si="38"/>
        <v>#N/A</v>
      </c>
      <c r="V128" s="74" t="e">
        <f t="shared" si="39"/>
        <v>#N/A</v>
      </c>
      <c r="W128" s="74" t="e">
        <f t="shared" si="40"/>
        <v>#N/A</v>
      </c>
      <c r="X128" s="74" t="e">
        <f t="shared" si="41"/>
        <v>#N/A</v>
      </c>
      <c r="Y128" s="74" t="e">
        <f t="shared" si="42"/>
        <v>#N/A</v>
      </c>
    </row>
    <row r="129" spans="1:25">
      <c r="A129" s="88">
        <f>'Batch input'!A128</f>
        <v>0</v>
      </c>
      <c r="B129">
        <f>'Batch input'!B128</f>
        <v>0</v>
      </c>
      <c r="C129" t="e">
        <f>VLOOKUP($A129,Data!$D$3:$CJ$128,30,FALSE)</f>
        <v>#N/A</v>
      </c>
      <c r="D129" s="74" t="e">
        <f>VLOOKUP($A129,Data!$D$3:$CJ$128,64,FALSE)</f>
        <v>#N/A</v>
      </c>
      <c r="E129" s="74" t="e">
        <f>VLOOKUP($A129,Data!$D$3:$CJ$128,66,FALSE)</f>
        <v>#N/A</v>
      </c>
      <c r="F129" s="74" t="e">
        <f>VLOOKUP($A129,Data!$D$3:$CJ$128,67,FALSE)</f>
        <v>#N/A</v>
      </c>
      <c r="G129" s="78" t="e">
        <f>VLOOKUP($A129,Data!$D$3:$CJ$128,68,FALSE)</f>
        <v>#N/A</v>
      </c>
      <c r="H129" s="78" t="e">
        <f>VLOOKUP($A129,Data!$D$3:$CJ$128,69,FALSE)</f>
        <v>#N/A</v>
      </c>
      <c r="I129" s="74" t="e">
        <f>VLOOKUP($A129,Data!$D$3:$CJ$128,70,FALSE)</f>
        <v>#N/A</v>
      </c>
      <c r="J129" s="74" t="e">
        <f>VLOOKUP($A129,Data!$D$3:$CJ$128,71,FALSE)</f>
        <v>#N/A</v>
      </c>
      <c r="K129" s="74" t="e">
        <f>VLOOKUP($A129,Data!$D$3:$CJ$128,72,FALSE)</f>
        <v>#N/A</v>
      </c>
      <c r="L129" s="74" t="e">
        <f>VLOOKUP($A129,Data!$D$3:$CJ$128,73,FALSE)</f>
        <v>#N/A</v>
      </c>
      <c r="M129" s="74" t="e">
        <f>VLOOKUP($A129,Data!$D$3:$CJ$128,74,FALSE)</f>
        <v>#N/A</v>
      </c>
      <c r="N129" s="78" t="e">
        <f t="shared" si="31"/>
        <v>#N/A</v>
      </c>
      <c r="O129" s="78" t="e">
        <f t="shared" si="32"/>
        <v>#N/A</v>
      </c>
      <c r="P129" s="78" t="e">
        <f t="shared" si="33"/>
        <v>#N/A</v>
      </c>
      <c r="Q129" s="78" t="e">
        <f t="shared" si="34"/>
        <v>#N/A</v>
      </c>
      <c r="R129" s="78" t="e">
        <f t="shared" si="35"/>
        <v>#N/A</v>
      </c>
      <c r="S129" s="78" t="e">
        <f t="shared" si="36"/>
        <v>#N/A</v>
      </c>
      <c r="T129" s="74" t="e">
        <f t="shared" si="37"/>
        <v>#N/A</v>
      </c>
      <c r="U129" s="74" t="e">
        <f t="shared" si="38"/>
        <v>#N/A</v>
      </c>
      <c r="V129" s="74" t="e">
        <f t="shared" si="39"/>
        <v>#N/A</v>
      </c>
      <c r="W129" s="74" t="e">
        <f t="shared" si="40"/>
        <v>#N/A</v>
      </c>
      <c r="X129" s="74" t="e">
        <f t="shared" si="41"/>
        <v>#N/A</v>
      </c>
      <c r="Y129" s="74" t="e">
        <f t="shared" si="42"/>
        <v>#N/A</v>
      </c>
    </row>
    <row r="130" spans="1:25">
      <c r="A130" s="88">
        <f>'Batch input'!A129</f>
        <v>0</v>
      </c>
      <c r="B130">
        <f>'Batch input'!B129</f>
        <v>0</v>
      </c>
      <c r="C130" t="e">
        <f>VLOOKUP($A130,Data!$D$3:$CJ$128,30,FALSE)</f>
        <v>#N/A</v>
      </c>
      <c r="D130" s="74" t="e">
        <f>VLOOKUP($A130,Data!$D$3:$CJ$128,64,FALSE)</f>
        <v>#N/A</v>
      </c>
      <c r="E130" s="74" t="e">
        <f>VLOOKUP($A130,Data!$D$3:$CJ$128,66,FALSE)</f>
        <v>#N/A</v>
      </c>
      <c r="F130" s="74" t="e">
        <f>VLOOKUP($A130,Data!$D$3:$CJ$128,67,FALSE)</f>
        <v>#N/A</v>
      </c>
      <c r="G130" s="78" t="e">
        <f>VLOOKUP($A130,Data!$D$3:$CJ$128,68,FALSE)</f>
        <v>#N/A</v>
      </c>
      <c r="H130" s="78" t="e">
        <f>VLOOKUP($A130,Data!$D$3:$CJ$128,69,FALSE)</f>
        <v>#N/A</v>
      </c>
      <c r="I130" s="74" t="e">
        <f>VLOOKUP($A130,Data!$D$3:$CJ$128,70,FALSE)</f>
        <v>#N/A</v>
      </c>
      <c r="J130" s="74" t="e">
        <f>VLOOKUP($A130,Data!$D$3:$CJ$128,71,FALSE)</f>
        <v>#N/A</v>
      </c>
      <c r="K130" s="74" t="e">
        <f>VLOOKUP($A130,Data!$D$3:$CJ$128,72,FALSE)</f>
        <v>#N/A</v>
      </c>
      <c r="L130" s="74" t="e">
        <f>VLOOKUP($A130,Data!$D$3:$CJ$128,73,FALSE)</f>
        <v>#N/A</v>
      </c>
      <c r="M130" s="74" t="e">
        <f>VLOOKUP($A130,Data!$D$3:$CJ$128,74,FALSE)</f>
        <v>#N/A</v>
      </c>
      <c r="N130" s="78" t="e">
        <f t="shared" si="31"/>
        <v>#N/A</v>
      </c>
      <c r="O130" s="78" t="e">
        <f t="shared" si="32"/>
        <v>#N/A</v>
      </c>
      <c r="P130" s="78" t="e">
        <f t="shared" si="33"/>
        <v>#N/A</v>
      </c>
      <c r="Q130" s="78" t="e">
        <f t="shared" si="34"/>
        <v>#N/A</v>
      </c>
      <c r="R130" s="78" t="e">
        <f t="shared" si="35"/>
        <v>#N/A</v>
      </c>
      <c r="S130" s="78" t="e">
        <f t="shared" si="36"/>
        <v>#N/A</v>
      </c>
      <c r="T130" s="74" t="e">
        <f t="shared" si="37"/>
        <v>#N/A</v>
      </c>
      <c r="U130" s="74" t="e">
        <f t="shared" si="38"/>
        <v>#N/A</v>
      </c>
      <c r="V130" s="74" t="e">
        <f t="shared" si="39"/>
        <v>#N/A</v>
      </c>
      <c r="W130" s="74" t="e">
        <f t="shared" si="40"/>
        <v>#N/A</v>
      </c>
      <c r="X130" s="74" t="e">
        <f t="shared" si="41"/>
        <v>#N/A</v>
      </c>
      <c r="Y130" s="74" t="e">
        <f t="shared" si="42"/>
        <v>#N/A</v>
      </c>
    </row>
    <row r="131" spans="1:25">
      <c r="A131" s="88">
        <f>'Batch input'!A130</f>
        <v>0</v>
      </c>
      <c r="B131">
        <f>'Batch input'!B130</f>
        <v>0</v>
      </c>
      <c r="C131" t="e">
        <f>VLOOKUP($A131,Data!$D$3:$CJ$128,30,FALSE)</f>
        <v>#N/A</v>
      </c>
      <c r="D131" s="74" t="e">
        <f>VLOOKUP($A131,Data!$D$3:$CJ$128,64,FALSE)</f>
        <v>#N/A</v>
      </c>
      <c r="E131" s="74" t="e">
        <f>VLOOKUP($A131,Data!$D$3:$CJ$128,66,FALSE)</f>
        <v>#N/A</v>
      </c>
      <c r="F131" s="74" t="e">
        <f>VLOOKUP($A131,Data!$D$3:$CJ$128,67,FALSE)</f>
        <v>#N/A</v>
      </c>
      <c r="G131" s="78" t="e">
        <f>VLOOKUP($A131,Data!$D$3:$CJ$128,68,FALSE)</f>
        <v>#N/A</v>
      </c>
      <c r="H131" s="78" t="e">
        <f>VLOOKUP($A131,Data!$D$3:$CJ$128,69,FALSE)</f>
        <v>#N/A</v>
      </c>
      <c r="I131" s="74" t="e">
        <f>VLOOKUP($A131,Data!$D$3:$CJ$128,70,FALSE)</f>
        <v>#N/A</v>
      </c>
      <c r="J131" s="74" t="e">
        <f>VLOOKUP($A131,Data!$D$3:$CJ$128,71,FALSE)</f>
        <v>#N/A</v>
      </c>
      <c r="K131" s="74" t="e">
        <f>VLOOKUP($A131,Data!$D$3:$CJ$128,72,FALSE)</f>
        <v>#N/A</v>
      </c>
      <c r="L131" s="74" t="e">
        <f>VLOOKUP($A131,Data!$D$3:$CJ$128,73,FALSE)</f>
        <v>#N/A</v>
      </c>
      <c r="M131" s="74" t="e">
        <f>VLOOKUP($A131,Data!$D$3:$CJ$128,74,FALSE)</f>
        <v>#N/A</v>
      </c>
      <c r="N131" s="78" t="e">
        <f t="shared" si="31"/>
        <v>#N/A</v>
      </c>
      <c r="O131" s="78" t="e">
        <f t="shared" si="32"/>
        <v>#N/A</v>
      </c>
      <c r="P131" s="78" t="e">
        <f t="shared" si="33"/>
        <v>#N/A</v>
      </c>
      <c r="Q131" s="78" t="e">
        <f t="shared" si="34"/>
        <v>#N/A</v>
      </c>
      <c r="R131" s="78" t="e">
        <f t="shared" si="35"/>
        <v>#N/A</v>
      </c>
      <c r="S131" s="78" t="e">
        <f t="shared" si="36"/>
        <v>#N/A</v>
      </c>
      <c r="T131" s="74" t="e">
        <f t="shared" si="37"/>
        <v>#N/A</v>
      </c>
      <c r="U131" s="74" t="e">
        <f t="shared" si="38"/>
        <v>#N/A</v>
      </c>
      <c r="V131" s="74" t="e">
        <f t="shared" si="39"/>
        <v>#N/A</v>
      </c>
      <c r="W131" s="74" t="e">
        <f t="shared" si="40"/>
        <v>#N/A</v>
      </c>
      <c r="X131" s="74" t="e">
        <f t="shared" si="41"/>
        <v>#N/A</v>
      </c>
      <c r="Y131" s="74" t="e">
        <f t="shared" si="42"/>
        <v>#N/A</v>
      </c>
    </row>
    <row r="132" spans="1:25">
      <c r="A132" s="88">
        <f>'Batch input'!A131</f>
        <v>0</v>
      </c>
      <c r="B132">
        <f>'Batch input'!B131</f>
        <v>0</v>
      </c>
      <c r="C132" t="e">
        <f>VLOOKUP($A132,Data!$D$3:$CJ$128,30,FALSE)</f>
        <v>#N/A</v>
      </c>
      <c r="D132" s="74" t="e">
        <f>VLOOKUP($A132,Data!$D$3:$CJ$128,64,FALSE)</f>
        <v>#N/A</v>
      </c>
      <c r="E132" s="74" t="e">
        <f>VLOOKUP($A132,Data!$D$3:$CJ$128,66,FALSE)</f>
        <v>#N/A</v>
      </c>
      <c r="F132" s="74" t="e">
        <f>VLOOKUP($A132,Data!$D$3:$CJ$128,67,FALSE)</f>
        <v>#N/A</v>
      </c>
      <c r="G132" s="78" t="e">
        <f>VLOOKUP($A132,Data!$D$3:$CJ$128,68,FALSE)</f>
        <v>#N/A</v>
      </c>
      <c r="H132" s="78" t="e">
        <f>VLOOKUP($A132,Data!$D$3:$CJ$128,69,FALSE)</f>
        <v>#N/A</v>
      </c>
      <c r="I132" s="74" t="e">
        <f>VLOOKUP($A132,Data!$D$3:$CJ$128,70,FALSE)</f>
        <v>#N/A</v>
      </c>
      <c r="J132" s="74" t="e">
        <f>VLOOKUP($A132,Data!$D$3:$CJ$128,71,FALSE)</f>
        <v>#N/A</v>
      </c>
      <c r="K132" s="74" t="e">
        <f>VLOOKUP($A132,Data!$D$3:$CJ$128,72,FALSE)</f>
        <v>#N/A</v>
      </c>
      <c r="L132" s="74" t="e">
        <f>VLOOKUP($A132,Data!$D$3:$CJ$128,73,FALSE)</f>
        <v>#N/A</v>
      </c>
      <c r="M132" s="74" t="e">
        <f>VLOOKUP($A132,Data!$D$3:$CJ$128,74,FALSE)</f>
        <v>#N/A</v>
      </c>
      <c r="N132" s="78" t="e">
        <f t="shared" si="31"/>
        <v>#N/A</v>
      </c>
      <c r="O132" s="78" t="e">
        <f t="shared" si="32"/>
        <v>#N/A</v>
      </c>
      <c r="P132" s="78" t="e">
        <f t="shared" si="33"/>
        <v>#N/A</v>
      </c>
      <c r="Q132" s="78" t="e">
        <f t="shared" si="34"/>
        <v>#N/A</v>
      </c>
      <c r="R132" s="78" t="e">
        <f t="shared" si="35"/>
        <v>#N/A</v>
      </c>
      <c r="S132" s="78" t="e">
        <f t="shared" si="36"/>
        <v>#N/A</v>
      </c>
      <c r="T132" s="74" t="e">
        <f t="shared" si="37"/>
        <v>#N/A</v>
      </c>
      <c r="U132" s="74" t="e">
        <f t="shared" si="38"/>
        <v>#N/A</v>
      </c>
      <c r="V132" s="74" t="e">
        <f t="shared" si="39"/>
        <v>#N/A</v>
      </c>
      <c r="W132" s="74" t="e">
        <f t="shared" si="40"/>
        <v>#N/A</v>
      </c>
      <c r="X132" s="74" t="e">
        <f t="shared" si="41"/>
        <v>#N/A</v>
      </c>
      <c r="Y132" s="74" t="e">
        <f t="shared" si="42"/>
        <v>#N/A</v>
      </c>
    </row>
    <row r="133" spans="1:25">
      <c r="A133" s="88">
        <f>'Batch input'!A132</f>
        <v>0</v>
      </c>
      <c r="B133">
        <f>'Batch input'!B132</f>
        <v>0</v>
      </c>
      <c r="C133" t="e">
        <f>VLOOKUP($A133,Data!$D$3:$CJ$128,30,FALSE)</f>
        <v>#N/A</v>
      </c>
      <c r="D133" s="74" t="e">
        <f>VLOOKUP($A133,Data!$D$3:$CJ$128,64,FALSE)</f>
        <v>#N/A</v>
      </c>
      <c r="E133" s="74" t="e">
        <f>VLOOKUP($A133,Data!$D$3:$CJ$128,66,FALSE)</f>
        <v>#N/A</v>
      </c>
      <c r="F133" s="74" t="e">
        <f>VLOOKUP($A133,Data!$D$3:$CJ$128,67,FALSE)</f>
        <v>#N/A</v>
      </c>
      <c r="G133" s="78" t="e">
        <f>VLOOKUP($A133,Data!$D$3:$CJ$128,68,FALSE)</f>
        <v>#N/A</v>
      </c>
      <c r="H133" s="78" t="e">
        <f>VLOOKUP($A133,Data!$D$3:$CJ$128,69,FALSE)</f>
        <v>#N/A</v>
      </c>
      <c r="I133" s="74" t="e">
        <f>VLOOKUP($A133,Data!$D$3:$CJ$128,70,FALSE)</f>
        <v>#N/A</v>
      </c>
      <c r="J133" s="74" t="e">
        <f>VLOOKUP($A133,Data!$D$3:$CJ$128,71,FALSE)</f>
        <v>#N/A</v>
      </c>
      <c r="K133" s="74" t="e">
        <f>VLOOKUP($A133,Data!$D$3:$CJ$128,72,FALSE)</f>
        <v>#N/A</v>
      </c>
      <c r="L133" s="74" t="e">
        <f>VLOOKUP($A133,Data!$D$3:$CJ$128,73,FALSE)</f>
        <v>#N/A</v>
      </c>
      <c r="M133" s="74" t="e">
        <f>VLOOKUP($A133,Data!$D$3:$CJ$128,74,FALSE)</f>
        <v>#N/A</v>
      </c>
      <c r="N133" s="78" t="e">
        <f t="shared" si="31"/>
        <v>#N/A</v>
      </c>
      <c r="O133" s="78" t="e">
        <f t="shared" si="32"/>
        <v>#N/A</v>
      </c>
      <c r="P133" s="78" t="e">
        <f t="shared" si="33"/>
        <v>#N/A</v>
      </c>
      <c r="Q133" s="78" t="e">
        <f t="shared" si="34"/>
        <v>#N/A</v>
      </c>
      <c r="R133" s="78" t="e">
        <f t="shared" si="35"/>
        <v>#N/A</v>
      </c>
      <c r="S133" s="78" t="e">
        <f t="shared" si="36"/>
        <v>#N/A</v>
      </c>
      <c r="T133" s="74" t="e">
        <f t="shared" si="37"/>
        <v>#N/A</v>
      </c>
      <c r="U133" s="74" t="e">
        <f t="shared" si="38"/>
        <v>#N/A</v>
      </c>
      <c r="V133" s="74" t="e">
        <f t="shared" si="39"/>
        <v>#N/A</v>
      </c>
      <c r="W133" s="74" t="e">
        <f t="shared" si="40"/>
        <v>#N/A</v>
      </c>
      <c r="X133" s="74" t="e">
        <f t="shared" si="41"/>
        <v>#N/A</v>
      </c>
      <c r="Y133" s="74" t="e">
        <f t="shared" si="42"/>
        <v>#N/A</v>
      </c>
    </row>
    <row r="134" spans="1:25">
      <c r="A134" s="88">
        <f>'Batch input'!A133</f>
        <v>0</v>
      </c>
      <c r="B134">
        <f>'Batch input'!B133</f>
        <v>0</v>
      </c>
      <c r="C134" t="e">
        <f>VLOOKUP($A134,Data!$D$3:$CJ$128,30,FALSE)</f>
        <v>#N/A</v>
      </c>
      <c r="D134" s="74" t="e">
        <f>VLOOKUP($A134,Data!$D$3:$CJ$128,64,FALSE)</f>
        <v>#N/A</v>
      </c>
      <c r="E134" s="74" t="e">
        <f>VLOOKUP($A134,Data!$D$3:$CJ$128,66,FALSE)</f>
        <v>#N/A</v>
      </c>
      <c r="F134" s="74" t="e">
        <f>VLOOKUP($A134,Data!$D$3:$CJ$128,67,FALSE)</f>
        <v>#N/A</v>
      </c>
      <c r="G134" s="78" t="e">
        <f>VLOOKUP($A134,Data!$D$3:$CJ$128,68,FALSE)</f>
        <v>#N/A</v>
      </c>
      <c r="H134" s="78" t="e">
        <f>VLOOKUP($A134,Data!$D$3:$CJ$128,69,FALSE)</f>
        <v>#N/A</v>
      </c>
      <c r="I134" s="74" t="e">
        <f>VLOOKUP($A134,Data!$D$3:$CJ$128,70,FALSE)</f>
        <v>#N/A</v>
      </c>
      <c r="J134" s="74" t="e">
        <f>VLOOKUP($A134,Data!$D$3:$CJ$128,71,FALSE)</f>
        <v>#N/A</v>
      </c>
      <c r="K134" s="74" t="e">
        <f>VLOOKUP($A134,Data!$D$3:$CJ$128,72,FALSE)</f>
        <v>#N/A</v>
      </c>
      <c r="L134" s="74" t="e">
        <f>VLOOKUP($A134,Data!$D$3:$CJ$128,73,FALSE)</f>
        <v>#N/A</v>
      </c>
      <c r="M134" s="74" t="e">
        <f>VLOOKUP($A134,Data!$D$3:$CJ$128,74,FALSE)</f>
        <v>#N/A</v>
      </c>
      <c r="N134" s="78" t="e">
        <f t="shared" si="31"/>
        <v>#N/A</v>
      </c>
      <c r="O134" s="78" t="e">
        <f t="shared" si="32"/>
        <v>#N/A</v>
      </c>
      <c r="P134" s="78" t="e">
        <f t="shared" si="33"/>
        <v>#N/A</v>
      </c>
      <c r="Q134" s="78" t="e">
        <f t="shared" si="34"/>
        <v>#N/A</v>
      </c>
      <c r="R134" s="78" t="e">
        <f t="shared" si="35"/>
        <v>#N/A</v>
      </c>
      <c r="S134" s="78" t="e">
        <f t="shared" si="36"/>
        <v>#N/A</v>
      </c>
      <c r="T134" s="74" t="e">
        <f t="shared" si="37"/>
        <v>#N/A</v>
      </c>
      <c r="U134" s="74" t="e">
        <f t="shared" si="38"/>
        <v>#N/A</v>
      </c>
      <c r="V134" s="74" t="e">
        <f t="shared" si="39"/>
        <v>#N/A</v>
      </c>
      <c r="W134" s="74" t="e">
        <f t="shared" si="40"/>
        <v>#N/A</v>
      </c>
      <c r="X134" s="74" t="e">
        <f t="shared" si="41"/>
        <v>#N/A</v>
      </c>
      <c r="Y134" s="74" t="e">
        <f t="shared" si="42"/>
        <v>#N/A</v>
      </c>
    </row>
    <row r="135" spans="1:25">
      <c r="A135" s="88">
        <f>'Batch input'!A134</f>
        <v>0</v>
      </c>
      <c r="B135">
        <f>'Batch input'!B134</f>
        <v>0</v>
      </c>
      <c r="C135" t="e">
        <f>VLOOKUP($A135,Data!$D$3:$CJ$128,30,FALSE)</f>
        <v>#N/A</v>
      </c>
      <c r="D135" s="74" t="e">
        <f>VLOOKUP($A135,Data!$D$3:$CJ$128,64,FALSE)</f>
        <v>#N/A</v>
      </c>
      <c r="E135" s="74" t="e">
        <f>VLOOKUP($A135,Data!$D$3:$CJ$128,66,FALSE)</f>
        <v>#N/A</v>
      </c>
      <c r="F135" s="74" t="e">
        <f>VLOOKUP($A135,Data!$D$3:$CJ$128,67,FALSE)</f>
        <v>#N/A</v>
      </c>
      <c r="G135" s="78" t="e">
        <f>VLOOKUP($A135,Data!$D$3:$CJ$128,68,FALSE)</f>
        <v>#N/A</v>
      </c>
      <c r="H135" s="78" t="e">
        <f>VLOOKUP($A135,Data!$D$3:$CJ$128,69,FALSE)</f>
        <v>#N/A</v>
      </c>
      <c r="I135" s="74" t="e">
        <f>VLOOKUP($A135,Data!$D$3:$CJ$128,70,FALSE)</f>
        <v>#N/A</v>
      </c>
      <c r="J135" s="74" t="e">
        <f>VLOOKUP($A135,Data!$D$3:$CJ$128,71,FALSE)</f>
        <v>#N/A</v>
      </c>
      <c r="K135" s="74" t="e">
        <f>VLOOKUP($A135,Data!$D$3:$CJ$128,72,FALSE)</f>
        <v>#N/A</v>
      </c>
      <c r="L135" s="74" t="e">
        <f>VLOOKUP($A135,Data!$D$3:$CJ$128,73,FALSE)</f>
        <v>#N/A</v>
      </c>
      <c r="M135" s="74" t="e">
        <f>VLOOKUP($A135,Data!$D$3:$CJ$128,74,FALSE)</f>
        <v>#N/A</v>
      </c>
      <c r="N135" s="78" t="e">
        <f t="shared" si="31"/>
        <v>#N/A</v>
      </c>
      <c r="O135" s="78" t="e">
        <f t="shared" si="32"/>
        <v>#N/A</v>
      </c>
      <c r="P135" s="78" t="e">
        <f t="shared" si="33"/>
        <v>#N/A</v>
      </c>
      <c r="Q135" s="78" t="e">
        <f t="shared" si="34"/>
        <v>#N/A</v>
      </c>
      <c r="R135" s="78" t="e">
        <f t="shared" si="35"/>
        <v>#N/A</v>
      </c>
      <c r="S135" s="78" t="e">
        <f t="shared" si="36"/>
        <v>#N/A</v>
      </c>
      <c r="T135" s="74" t="e">
        <f t="shared" si="37"/>
        <v>#N/A</v>
      </c>
      <c r="U135" s="74" t="e">
        <f t="shared" si="38"/>
        <v>#N/A</v>
      </c>
      <c r="V135" s="74" t="e">
        <f t="shared" si="39"/>
        <v>#N/A</v>
      </c>
      <c r="W135" s="74" t="e">
        <f t="shared" si="40"/>
        <v>#N/A</v>
      </c>
      <c r="X135" s="74" t="e">
        <f t="shared" si="41"/>
        <v>#N/A</v>
      </c>
      <c r="Y135" s="74" t="e">
        <f t="shared" si="42"/>
        <v>#N/A</v>
      </c>
    </row>
    <row r="136" spans="1:25">
      <c r="A136" s="88">
        <f>'Batch input'!A135</f>
        <v>0</v>
      </c>
      <c r="B136">
        <f>'Batch input'!B135</f>
        <v>0</v>
      </c>
      <c r="C136" t="e">
        <f>VLOOKUP($A136,Data!$D$3:$CJ$128,30,FALSE)</f>
        <v>#N/A</v>
      </c>
      <c r="D136" s="74" t="e">
        <f>VLOOKUP($A136,Data!$D$3:$CJ$128,64,FALSE)</f>
        <v>#N/A</v>
      </c>
      <c r="E136" s="74" t="e">
        <f>VLOOKUP($A136,Data!$D$3:$CJ$128,66,FALSE)</f>
        <v>#N/A</v>
      </c>
      <c r="F136" s="74" t="e">
        <f>VLOOKUP($A136,Data!$D$3:$CJ$128,67,FALSE)</f>
        <v>#N/A</v>
      </c>
      <c r="G136" s="78" t="e">
        <f>VLOOKUP($A136,Data!$D$3:$CJ$128,68,FALSE)</f>
        <v>#N/A</v>
      </c>
      <c r="H136" s="78" t="e">
        <f>VLOOKUP($A136,Data!$D$3:$CJ$128,69,FALSE)</f>
        <v>#N/A</v>
      </c>
      <c r="I136" s="74" t="e">
        <f>VLOOKUP($A136,Data!$D$3:$CJ$128,70,FALSE)</f>
        <v>#N/A</v>
      </c>
      <c r="J136" s="74" t="e">
        <f>VLOOKUP($A136,Data!$D$3:$CJ$128,71,FALSE)</f>
        <v>#N/A</v>
      </c>
      <c r="K136" s="74" t="e">
        <f>VLOOKUP($A136,Data!$D$3:$CJ$128,72,FALSE)</f>
        <v>#N/A</v>
      </c>
      <c r="L136" s="74" t="e">
        <f>VLOOKUP($A136,Data!$D$3:$CJ$128,73,FALSE)</f>
        <v>#N/A</v>
      </c>
      <c r="M136" s="74" t="e">
        <f>VLOOKUP($A136,Data!$D$3:$CJ$128,74,FALSE)</f>
        <v>#N/A</v>
      </c>
      <c r="N136" s="78" t="e">
        <f t="shared" si="31"/>
        <v>#N/A</v>
      </c>
      <c r="O136" s="78" t="e">
        <f t="shared" si="32"/>
        <v>#N/A</v>
      </c>
      <c r="P136" s="78" t="e">
        <f t="shared" si="33"/>
        <v>#N/A</v>
      </c>
      <c r="Q136" s="78" t="e">
        <f t="shared" si="34"/>
        <v>#N/A</v>
      </c>
      <c r="R136" s="78" t="e">
        <f t="shared" si="35"/>
        <v>#N/A</v>
      </c>
      <c r="S136" s="78" t="e">
        <f t="shared" si="36"/>
        <v>#N/A</v>
      </c>
      <c r="T136" s="74" t="e">
        <f t="shared" si="37"/>
        <v>#N/A</v>
      </c>
      <c r="U136" s="74" t="e">
        <f t="shared" si="38"/>
        <v>#N/A</v>
      </c>
      <c r="V136" s="74" t="e">
        <f t="shared" si="39"/>
        <v>#N/A</v>
      </c>
      <c r="W136" s="74" t="e">
        <f t="shared" si="40"/>
        <v>#N/A</v>
      </c>
      <c r="X136" s="74" t="e">
        <f t="shared" si="41"/>
        <v>#N/A</v>
      </c>
      <c r="Y136" s="74" t="e">
        <f t="shared" si="42"/>
        <v>#N/A</v>
      </c>
    </row>
    <row r="137" spans="1:25">
      <c r="A137" s="88">
        <f>'Batch input'!A136</f>
        <v>0</v>
      </c>
      <c r="B137">
        <f>'Batch input'!B136</f>
        <v>0</v>
      </c>
      <c r="C137" t="e">
        <f>VLOOKUP($A137,Data!$D$3:$CJ$128,30,FALSE)</f>
        <v>#N/A</v>
      </c>
      <c r="D137" s="74" t="e">
        <f>VLOOKUP($A137,Data!$D$3:$CJ$128,64,FALSE)</f>
        <v>#N/A</v>
      </c>
      <c r="E137" s="74" t="e">
        <f>VLOOKUP($A137,Data!$D$3:$CJ$128,66,FALSE)</f>
        <v>#N/A</v>
      </c>
      <c r="F137" s="74" t="e">
        <f>VLOOKUP($A137,Data!$D$3:$CJ$128,67,FALSE)</f>
        <v>#N/A</v>
      </c>
      <c r="G137" s="78" t="e">
        <f>VLOOKUP($A137,Data!$D$3:$CJ$128,68,FALSE)</f>
        <v>#N/A</v>
      </c>
      <c r="H137" s="78" t="e">
        <f>VLOOKUP($A137,Data!$D$3:$CJ$128,69,FALSE)</f>
        <v>#N/A</v>
      </c>
      <c r="I137" s="74" t="e">
        <f>VLOOKUP($A137,Data!$D$3:$CJ$128,70,FALSE)</f>
        <v>#N/A</v>
      </c>
      <c r="J137" s="74" t="e">
        <f>VLOOKUP($A137,Data!$D$3:$CJ$128,71,FALSE)</f>
        <v>#N/A</v>
      </c>
      <c r="K137" s="74" t="e">
        <f>VLOOKUP($A137,Data!$D$3:$CJ$128,72,FALSE)</f>
        <v>#N/A</v>
      </c>
      <c r="L137" s="74" t="e">
        <f>VLOOKUP($A137,Data!$D$3:$CJ$128,73,FALSE)</f>
        <v>#N/A</v>
      </c>
      <c r="M137" s="74" t="e">
        <f>VLOOKUP($A137,Data!$D$3:$CJ$128,74,FALSE)</f>
        <v>#N/A</v>
      </c>
      <c r="N137" s="78" t="e">
        <f t="shared" si="31"/>
        <v>#N/A</v>
      </c>
      <c r="O137" s="78" t="e">
        <f t="shared" si="32"/>
        <v>#N/A</v>
      </c>
      <c r="P137" s="78" t="e">
        <f t="shared" si="33"/>
        <v>#N/A</v>
      </c>
      <c r="Q137" s="78" t="e">
        <f t="shared" si="34"/>
        <v>#N/A</v>
      </c>
      <c r="R137" s="78" t="e">
        <f t="shared" si="35"/>
        <v>#N/A</v>
      </c>
      <c r="S137" s="78" t="e">
        <f t="shared" si="36"/>
        <v>#N/A</v>
      </c>
      <c r="T137" s="74" t="e">
        <f t="shared" si="37"/>
        <v>#N/A</v>
      </c>
      <c r="U137" s="74" t="e">
        <f t="shared" si="38"/>
        <v>#N/A</v>
      </c>
      <c r="V137" s="74" t="e">
        <f t="shared" si="39"/>
        <v>#N/A</v>
      </c>
      <c r="W137" s="74" t="e">
        <f t="shared" si="40"/>
        <v>#N/A</v>
      </c>
      <c r="X137" s="74" t="e">
        <f t="shared" si="41"/>
        <v>#N/A</v>
      </c>
      <c r="Y137" s="74" t="e">
        <f t="shared" si="42"/>
        <v>#N/A</v>
      </c>
    </row>
    <row r="138" spans="1:25">
      <c r="A138" s="88">
        <f>'Batch input'!A137</f>
        <v>0</v>
      </c>
      <c r="B138">
        <f>'Batch input'!B137</f>
        <v>0</v>
      </c>
      <c r="C138" t="e">
        <f>VLOOKUP($A138,Data!$D$3:$CJ$128,30,FALSE)</f>
        <v>#N/A</v>
      </c>
      <c r="D138" s="74" t="e">
        <f>VLOOKUP($A138,Data!$D$3:$CJ$128,64,FALSE)</f>
        <v>#N/A</v>
      </c>
      <c r="E138" s="74" t="e">
        <f>VLOOKUP($A138,Data!$D$3:$CJ$128,66,FALSE)</f>
        <v>#N/A</v>
      </c>
      <c r="F138" s="74" t="e">
        <f>VLOOKUP($A138,Data!$D$3:$CJ$128,67,FALSE)</f>
        <v>#N/A</v>
      </c>
      <c r="G138" s="78" t="e">
        <f>VLOOKUP($A138,Data!$D$3:$CJ$128,68,FALSE)</f>
        <v>#N/A</v>
      </c>
      <c r="H138" s="78" t="e">
        <f>VLOOKUP($A138,Data!$D$3:$CJ$128,69,FALSE)</f>
        <v>#N/A</v>
      </c>
      <c r="I138" s="74" t="e">
        <f>VLOOKUP($A138,Data!$D$3:$CJ$128,70,FALSE)</f>
        <v>#N/A</v>
      </c>
      <c r="J138" s="74" t="e">
        <f>VLOOKUP($A138,Data!$D$3:$CJ$128,71,FALSE)</f>
        <v>#N/A</v>
      </c>
      <c r="K138" s="74" t="e">
        <f>VLOOKUP($A138,Data!$D$3:$CJ$128,72,FALSE)</f>
        <v>#N/A</v>
      </c>
      <c r="L138" s="74" t="e">
        <f>VLOOKUP($A138,Data!$D$3:$CJ$128,73,FALSE)</f>
        <v>#N/A</v>
      </c>
      <c r="M138" s="74" t="e">
        <f>VLOOKUP($A138,Data!$D$3:$CJ$128,74,FALSE)</f>
        <v>#N/A</v>
      </c>
      <c r="N138" s="78" t="e">
        <f t="shared" si="31"/>
        <v>#N/A</v>
      </c>
      <c r="O138" s="78" t="e">
        <f t="shared" si="32"/>
        <v>#N/A</v>
      </c>
      <c r="P138" s="78" t="e">
        <f t="shared" si="33"/>
        <v>#N/A</v>
      </c>
      <c r="Q138" s="78" t="e">
        <f t="shared" si="34"/>
        <v>#N/A</v>
      </c>
      <c r="R138" s="78" t="e">
        <f t="shared" si="35"/>
        <v>#N/A</v>
      </c>
      <c r="S138" s="78" t="e">
        <f t="shared" si="36"/>
        <v>#N/A</v>
      </c>
      <c r="T138" s="74" t="e">
        <f t="shared" si="37"/>
        <v>#N/A</v>
      </c>
      <c r="U138" s="74" t="e">
        <f t="shared" si="38"/>
        <v>#N/A</v>
      </c>
      <c r="V138" s="74" t="e">
        <f t="shared" si="39"/>
        <v>#N/A</v>
      </c>
      <c r="W138" s="74" t="e">
        <f t="shared" si="40"/>
        <v>#N/A</v>
      </c>
      <c r="X138" s="74" t="e">
        <f t="shared" si="41"/>
        <v>#N/A</v>
      </c>
      <c r="Y138" s="74" t="e">
        <f t="shared" si="42"/>
        <v>#N/A</v>
      </c>
    </row>
    <row r="139" spans="1:25">
      <c r="A139" s="88">
        <f>'Batch input'!A138</f>
        <v>0</v>
      </c>
      <c r="B139">
        <f>'Batch input'!B138</f>
        <v>0</v>
      </c>
      <c r="C139" t="e">
        <f>VLOOKUP($A139,Data!$D$3:$CJ$128,30,FALSE)</f>
        <v>#N/A</v>
      </c>
      <c r="D139" s="74" t="e">
        <f>VLOOKUP($A139,Data!$D$3:$CJ$128,64,FALSE)</f>
        <v>#N/A</v>
      </c>
      <c r="E139" s="74" t="e">
        <f>VLOOKUP($A139,Data!$D$3:$CJ$128,66,FALSE)</f>
        <v>#N/A</v>
      </c>
      <c r="F139" s="74" t="e">
        <f>VLOOKUP($A139,Data!$D$3:$CJ$128,67,FALSE)</f>
        <v>#N/A</v>
      </c>
      <c r="G139" s="78" t="e">
        <f>VLOOKUP($A139,Data!$D$3:$CJ$128,68,FALSE)</f>
        <v>#N/A</v>
      </c>
      <c r="H139" s="78" t="e">
        <f>VLOOKUP($A139,Data!$D$3:$CJ$128,69,FALSE)</f>
        <v>#N/A</v>
      </c>
      <c r="I139" s="74" t="e">
        <f>VLOOKUP($A139,Data!$D$3:$CJ$128,70,FALSE)</f>
        <v>#N/A</v>
      </c>
      <c r="J139" s="74" t="e">
        <f>VLOOKUP($A139,Data!$D$3:$CJ$128,71,FALSE)</f>
        <v>#N/A</v>
      </c>
      <c r="K139" s="74" t="e">
        <f>VLOOKUP($A139,Data!$D$3:$CJ$128,72,FALSE)</f>
        <v>#N/A</v>
      </c>
      <c r="L139" s="74" t="e">
        <f>VLOOKUP($A139,Data!$D$3:$CJ$128,73,FALSE)</f>
        <v>#N/A</v>
      </c>
      <c r="M139" s="74" t="e">
        <f>VLOOKUP($A139,Data!$D$3:$CJ$128,74,FALSE)</f>
        <v>#N/A</v>
      </c>
      <c r="N139" s="78" t="e">
        <f t="shared" si="31"/>
        <v>#N/A</v>
      </c>
      <c r="O139" s="78" t="e">
        <f t="shared" si="32"/>
        <v>#N/A</v>
      </c>
      <c r="P139" s="78" t="e">
        <f t="shared" si="33"/>
        <v>#N/A</v>
      </c>
      <c r="Q139" s="78" t="e">
        <f t="shared" si="34"/>
        <v>#N/A</v>
      </c>
      <c r="R139" s="78" t="e">
        <f t="shared" si="35"/>
        <v>#N/A</v>
      </c>
      <c r="S139" s="78" t="e">
        <f t="shared" si="36"/>
        <v>#N/A</v>
      </c>
      <c r="T139" s="74" t="e">
        <f t="shared" si="37"/>
        <v>#N/A</v>
      </c>
      <c r="U139" s="74" t="e">
        <f t="shared" si="38"/>
        <v>#N/A</v>
      </c>
      <c r="V139" s="74" t="e">
        <f t="shared" si="39"/>
        <v>#N/A</v>
      </c>
      <c r="W139" s="74" t="e">
        <f t="shared" si="40"/>
        <v>#N/A</v>
      </c>
      <c r="X139" s="74" t="e">
        <f t="shared" si="41"/>
        <v>#N/A</v>
      </c>
      <c r="Y139" s="74" t="e">
        <f t="shared" si="42"/>
        <v>#N/A</v>
      </c>
    </row>
    <row r="140" spans="1:25">
      <c r="A140" s="88">
        <f>'Batch input'!A139</f>
        <v>0</v>
      </c>
      <c r="B140">
        <f>'Batch input'!B139</f>
        <v>0</v>
      </c>
      <c r="C140" t="e">
        <f>VLOOKUP($A140,Data!$D$3:$CJ$128,30,FALSE)</f>
        <v>#N/A</v>
      </c>
      <c r="D140" s="74" t="e">
        <f>VLOOKUP($A140,Data!$D$3:$CJ$128,64,FALSE)</f>
        <v>#N/A</v>
      </c>
      <c r="E140" s="74" t="e">
        <f>VLOOKUP($A140,Data!$D$3:$CJ$128,66,FALSE)</f>
        <v>#N/A</v>
      </c>
      <c r="F140" s="74" t="e">
        <f>VLOOKUP($A140,Data!$D$3:$CJ$128,67,FALSE)</f>
        <v>#N/A</v>
      </c>
      <c r="G140" s="78" t="e">
        <f>VLOOKUP($A140,Data!$D$3:$CJ$128,68,FALSE)</f>
        <v>#N/A</v>
      </c>
      <c r="H140" s="78" t="e">
        <f>VLOOKUP($A140,Data!$D$3:$CJ$128,69,FALSE)</f>
        <v>#N/A</v>
      </c>
      <c r="I140" s="74" t="e">
        <f>VLOOKUP($A140,Data!$D$3:$CJ$128,70,FALSE)</f>
        <v>#N/A</v>
      </c>
      <c r="J140" s="74" t="e">
        <f>VLOOKUP($A140,Data!$D$3:$CJ$128,71,FALSE)</f>
        <v>#N/A</v>
      </c>
      <c r="K140" s="74" t="e">
        <f>VLOOKUP($A140,Data!$D$3:$CJ$128,72,FALSE)</f>
        <v>#N/A</v>
      </c>
      <c r="L140" s="74" t="e">
        <f>VLOOKUP($A140,Data!$D$3:$CJ$128,73,FALSE)</f>
        <v>#N/A</v>
      </c>
      <c r="M140" s="74" t="e">
        <f>VLOOKUP($A140,Data!$D$3:$CJ$128,74,FALSE)</f>
        <v>#N/A</v>
      </c>
      <c r="N140" s="78" t="e">
        <f t="shared" si="31"/>
        <v>#N/A</v>
      </c>
      <c r="O140" s="78" t="e">
        <f t="shared" si="32"/>
        <v>#N/A</v>
      </c>
      <c r="P140" s="78" t="e">
        <f t="shared" si="33"/>
        <v>#N/A</v>
      </c>
      <c r="Q140" s="78" t="e">
        <f t="shared" si="34"/>
        <v>#N/A</v>
      </c>
      <c r="R140" s="78" t="e">
        <f t="shared" si="35"/>
        <v>#N/A</v>
      </c>
      <c r="S140" s="78" t="e">
        <f t="shared" si="36"/>
        <v>#N/A</v>
      </c>
      <c r="T140" s="74" t="e">
        <f t="shared" si="37"/>
        <v>#N/A</v>
      </c>
      <c r="U140" s="74" t="e">
        <f t="shared" si="38"/>
        <v>#N/A</v>
      </c>
      <c r="V140" s="74" t="e">
        <f t="shared" si="39"/>
        <v>#N/A</v>
      </c>
      <c r="W140" s="74" t="e">
        <f t="shared" si="40"/>
        <v>#N/A</v>
      </c>
      <c r="X140" s="74" t="e">
        <f t="shared" si="41"/>
        <v>#N/A</v>
      </c>
      <c r="Y140" s="74" t="e">
        <f t="shared" si="42"/>
        <v>#N/A</v>
      </c>
    </row>
    <row r="141" spans="1:25">
      <c r="A141" s="88">
        <f>'Batch input'!A140</f>
        <v>0</v>
      </c>
      <c r="B141">
        <f>'Batch input'!B140</f>
        <v>0</v>
      </c>
      <c r="C141" t="e">
        <f>VLOOKUP($A141,Data!$D$3:$CJ$128,30,FALSE)</f>
        <v>#N/A</v>
      </c>
      <c r="D141" s="74" t="e">
        <f>VLOOKUP($A141,Data!$D$3:$CJ$128,64,FALSE)</f>
        <v>#N/A</v>
      </c>
      <c r="E141" s="74" t="e">
        <f>VLOOKUP($A141,Data!$D$3:$CJ$128,66,FALSE)</f>
        <v>#N/A</v>
      </c>
      <c r="F141" s="74" t="e">
        <f>VLOOKUP($A141,Data!$D$3:$CJ$128,67,FALSE)</f>
        <v>#N/A</v>
      </c>
      <c r="G141" s="78" t="e">
        <f>VLOOKUP($A141,Data!$D$3:$CJ$128,68,FALSE)</f>
        <v>#N/A</v>
      </c>
      <c r="H141" s="78" t="e">
        <f>VLOOKUP($A141,Data!$D$3:$CJ$128,69,FALSE)</f>
        <v>#N/A</v>
      </c>
      <c r="I141" s="74" t="e">
        <f>VLOOKUP($A141,Data!$D$3:$CJ$128,70,FALSE)</f>
        <v>#N/A</v>
      </c>
      <c r="J141" s="74" t="e">
        <f>VLOOKUP($A141,Data!$D$3:$CJ$128,71,FALSE)</f>
        <v>#N/A</v>
      </c>
      <c r="K141" s="74" t="e">
        <f>VLOOKUP($A141,Data!$D$3:$CJ$128,72,FALSE)</f>
        <v>#N/A</v>
      </c>
      <c r="L141" s="74" t="e">
        <f>VLOOKUP($A141,Data!$D$3:$CJ$128,73,FALSE)</f>
        <v>#N/A</v>
      </c>
      <c r="M141" s="74" t="e">
        <f>VLOOKUP($A141,Data!$D$3:$CJ$128,74,FALSE)</f>
        <v>#N/A</v>
      </c>
      <c r="N141" s="78" t="e">
        <f t="shared" si="31"/>
        <v>#N/A</v>
      </c>
      <c r="O141" s="78" t="e">
        <f t="shared" si="32"/>
        <v>#N/A</v>
      </c>
      <c r="P141" s="78" t="e">
        <f t="shared" si="33"/>
        <v>#N/A</v>
      </c>
      <c r="Q141" s="78" t="e">
        <f t="shared" si="34"/>
        <v>#N/A</v>
      </c>
      <c r="R141" s="78" t="e">
        <f t="shared" si="35"/>
        <v>#N/A</v>
      </c>
      <c r="S141" s="78" t="e">
        <f t="shared" si="36"/>
        <v>#N/A</v>
      </c>
      <c r="T141" s="74" t="e">
        <f t="shared" si="37"/>
        <v>#N/A</v>
      </c>
      <c r="U141" s="74" t="e">
        <f t="shared" si="38"/>
        <v>#N/A</v>
      </c>
      <c r="V141" s="74" t="e">
        <f t="shared" si="39"/>
        <v>#N/A</v>
      </c>
      <c r="W141" s="74" t="e">
        <f t="shared" si="40"/>
        <v>#N/A</v>
      </c>
      <c r="X141" s="74" t="e">
        <f t="shared" si="41"/>
        <v>#N/A</v>
      </c>
      <c r="Y141" s="74" t="e">
        <f t="shared" si="42"/>
        <v>#N/A</v>
      </c>
    </row>
    <row r="142" spans="1:25">
      <c r="A142" s="88">
        <f>'Batch input'!A141</f>
        <v>0</v>
      </c>
      <c r="B142">
        <f>'Batch input'!B141</f>
        <v>0</v>
      </c>
      <c r="C142" t="e">
        <f>VLOOKUP($A142,Data!$D$3:$CJ$128,30,FALSE)</f>
        <v>#N/A</v>
      </c>
      <c r="D142" s="74" t="e">
        <f>VLOOKUP($A142,Data!$D$3:$CJ$128,64,FALSE)</f>
        <v>#N/A</v>
      </c>
      <c r="E142" s="74" t="e">
        <f>VLOOKUP($A142,Data!$D$3:$CJ$128,66,FALSE)</f>
        <v>#N/A</v>
      </c>
      <c r="F142" s="74" t="e">
        <f>VLOOKUP($A142,Data!$D$3:$CJ$128,67,FALSE)</f>
        <v>#N/A</v>
      </c>
      <c r="G142" s="78" t="e">
        <f>VLOOKUP($A142,Data!$D$3:$CJ$128,68,FALSE)</f>
        <v>#N/A</v>
      </c>
      <c r="H142" s="78" t="e">
        <f>VLOOKUP($A142,Data!$D$3:$CJ$128,69,FALSE)</f>
        <v>#N/A</v>
      </c>
      <c r="I142" s="74" t="e">
        <f>VLOOKUP($A142,Data!$D$3:$CJ$128,70,FALSE)</f>
        <v>#N/A</v>
      </c>
      <c r="J142" s="74" t="e">
        <f>VLOOKUP($A142,Data!$D$3:$CJ$128,71,FALSE)</f>
        <v>#N/A</v>
      </c>
      <c r="K142" s="74" t="e">
        <f>VLOOKUP($A142,Data!$D$3:$CJ$128,72,FALSE)</f>
        <v>#N/A</v>
      </c>
      <c r="L142" s="74" t="e">
        <f>VLOOKUP($A142,Data!$D$3:$CJ$128,73,FALSE)</f>
        <v>#N/A</v>
      </c>
      <c r="M142" s="74" t="e">
        <f>VLOOKUP($A142,Data!$D$3:$CJ$128,74,FALSE)</f>
        <v>#N/A</v>
      </c>
      <c r="N142" s="78" t="e">
        <f t="shared" si="31"/>
        <v>#N/A</v>
      </c>
      <c r="O142" s="78" t="e">
        <f t="shared" si="32"/>
        <v>#N/A</v>
      </c>
      <c r="P142" s="78" t="e">
        <f t="shared" si="33"/>
        <v>#N/A</v>
      </c>
      <c r="Q142" s="78" t="e">
        <f t="shared" si="34"/>
        <v>#N/A</v>
      </c>
      <c r="R142" s="78" t="e">
        <f t="shared" si="35"/>
        <v>#N/A</v>
      </c>
      <c r="S142" s="78" t="e">
        <f t="shared" si="36"/>
        <v>#N/A</v>
      </c>
      <c r="T142" s="74" t="e">
        <f t="shared" si="37"/>
        <v>#N/A</v>
      </c>
      <c r="U142" s="74" t="e">
        <f t="shared" si="38"/>
        <v>#N/A</v>
      </c>
      <c r="V142" s="74" t="e">
        <f t="shared" si="39"/>
        <v>#N/A</v>
      </c>
      <c r="W142" s="74" t="e">
        <f t="shared" si="40"/>
        <v>#N/A</v>
      </c>
      <c r="X142" s="74" t="e">
        <f t="shared" si="41"/>
        <v>#N/A</v>
      </c>
      <c r="Y142" s="74" t="e">
        <f t="shared" si="42"/>
        <v>#N/A</v>
      </c>
    </row>
    <row r="143" spans="1:25">
      <c r="A143" s="88">
        <f>'Batch input'!A142</f>
        <v>0</v>
      </c>
      <c r="B143">
        <f>'Batch input'!B142</f>
        <v>0</v>
      </c>
      <c r="C143" t="e">
        <f>VLOOKUP($A143,Data!$D$3:$CJ$128,30,FALSE)</f>
        <v>#N/A</v>
      </c>
      <c r="D143" s="74" t="e">
        <f>VLOOKUP($A143,Data!$D$3:$CJ$128,64,FALSE)</f>
        <v>#N/A</v>
      </c>
      <c r="E143" s="74" t="e">
        <f>VLOOKUP($A143,Data!$D$3:$CJ$128,66,FALSE)</f>
        <v>#N/A</v>
      </c>
      <c r="F143" s="74" t="e">
        <f>VLOOKUP($A143,Data!$D$3:$CJ$128,67,FALSE)</f>
        <v>#N/A</v>
      </c>
      <c r="G143" s="78" t="e">
        <f>VLOOKUP($A143,Data!$D$3:$CJ$128,68,FALSE)</f>
        <v>#N/A</v>
      </c>
      <c r="H143" s="78" t="e">
        <f>VLOOKUP($A143,Data!$D$3:$CJ$128,69,FALSE)</f>
        <v>#N/A</v>
      </c>
      <c r="I143" s="74" t="e">
        <f>VLOOKUP($A143,Data!$D$3:$CJ$128,70,FALSE)</f>
        <v>#N/A</v>
      </c>
      <c r="J143" s="74" t="e">
        <f>VLOOKUP($A143,Data!$D$3:$CJ$128,71,FALSE)</f>
        <v>#N/A</v>
      </c>
      <c r="K143" s="74" t="e">
        <f>VLOOKUP($A143,Data!$D$3:$CJ$128,72,FALSE)</f>
        <v>#N/A</v>
      </c>
      <c r="L143" s="74" t="e">
        <f>VLOOKUP($A143,Data!$D$3:$CJ$128,73,FALSE)</f>
        <v>#N/A</v>
      </c>
      <c r="M143" s="74" t="e">
        <f>VLOOKUP($A143,Data!$D$3:$CJ$128,74,FALSE)</f>
        <v>#N/A</v>
      </c>
      <c r="N143" s="78" t="e">
        <f t="shared" si="31"/>
        <v>#N/A</v>
      </c>
      <c r="O143" s="78" t="e">
        <f t="shared" si="32"/>
        <v>#N/A</v>
      </c>
      <c r="P143" s="78" t="e">
        <f t="shared" si="33"/>
        <v>#N/A</v>
      </c>
      <c r="Q143" s="78" t="e">
        <f t="shared" si="34"/>
        <v>#N/A</v>
      </c>
      <c r="R143" s="78" t="e">
        <f t="shared" si="35"/>
        <v>#N/A</v>
      </c>
      <c r="S143" s="78" t="e">
        <f t="shared" si="36"/>
        <v>#N/A</v>
      </c>
      <c r="T143" s="74" t="e">
        <f t="shared" si="37"/>
        <v>#N/A</v>
      </c>
      <c r="U143" s="74" t="e">
        <f t="shared" si="38"/>
        <v>#N/A</v>
      </c>
      <c r="V143" s="74" t="e">
        <f t="shared" si="39"/>
        <v>#N/A</v>
      </c>
      <c r="W143" s="74" t="e">
        <f t="shared" si="40"/>
        <v>#N/A</v>
      </c>
      <c r="X143" s="74" t="e">
        <f t="shared" si="41"/>
        <v>#N/A</v>
      </c>
      <c r="Y143" s="74" t="e">
        <f t="shared" si="42"/>
        <v>#N/A</v>
      </c>
    </row>
    <row r="144" spans="1:25">
      <c r="A144" s="88">
        <f>'Batch input'!A143</f>
        <v>0</v>
      </c>
      <c r="B144">
        <f>'Batch input'!B143</f>
        <v>0</v>
      </c>
      <c r="C144" t="e">
        <f>VLOOKUP($A144,Data!$D$3:$CJ$128,30,FALSE)</f>
        <v>#N/A</v>
      </c>
      <c r="D144" s="74" t="e">
        <f>VLOOKUP($A144,Data!$D$3:$CJ$128,64,FALSE)</f>
        <v>#N/A</v>
      </c>
      <c r="E144" s="74" t="e">
        <f>VLOOKUP($A144,Data!$D$3:$CJ$128,66,FALSE)</f>
        <v>#N/A</v>
      </c>
      <c r="F144" s="74" t="e">
        <f>VLOOKUP($A144,Data!$D$3:$CJ$128,67,FALSE)</f>
        <v>#N/A</v>
      </c>
      <c r="G144" s="78" t="e">
        <f>VLOOKUP($A144,Data!$D$3:$CJ$128,68,FALSE)</f>
        <v>#N/A</v>
      </c>
      <c r="H144" s="78" t="e">
        <f>VLOOKUP($A144,Data!$D$3:$CJ$128,69,FALSE)</f>
        <v>#N/A</v>
      </c>
      <c r="I144" s="74" t="e">
        <f>VLOOKUP($A144,Data!$D$3:$CJ$128,70,FALSE)</f>
        <v>#N/A</v>
      </c>
      <c r="J144" s="74" t="e">
        <f>VLOOKUP($A144,Data!$D$3:$CJ$128,71,FALSE)</f>
        <v>#N/A</v>
      </c>
      <c r="K144" s="74" t="e">
        <f>VLOOKUP($A144,Data!$D$3:$CJ$128,72,FALSE)</f>
        <v>#N/A</v>
      </c>
      <c r="L144" s="74" t="e">
        <f>VLOOKUP($A144,Data!$D$3:$CJ$128,73,FALSE)</f>
        <v>#N/A</v>
      </c>
      <c r="M144" s="74" t="e">
        <f>VLOOKUP($A144,Data!$D$3:$CJ$128,74,FALSE)</f>
        <v>#N/A</v>
      </c>
      <c r="N144" s="78" t="e">
        <f t="shared" si="31"/>
        <v>#N/A</v>
      </c>
      <c r="O144" s="78" t="e">
        <f t="shared" si="32"/>
        <v>#N/A</v>
      </c>
      <c r="P144" s="78" t="e">
        <f t="shared" si="33"/>
        <v>#N/A</v>
      </c>
      <c r="Q144" s="78" t="e">
        <f t="shared" si="34"/>
        <v>#N/A</v>
      </c>
      <c r="R144" s="78" t="e">
        <f t="shared" si="35"/>
        <v>#N/A</v>
      </c>
      <c r="S144" s="78" t="e">
        <f t="shared" si="36"/>
        <v>#N/A</v>
      </c>
      <c r="T144" s="74" t="e">
        <f t="shared" si="37"/>
        <v>#N/A</v>
      </c>
      <c r="U144" s="74" t="e">
        <f t="shared" si="38"/>
        <v>#N/A</v>
      </c>
      <c r="V144" s="74" t="e">
        <f t="shared" si="39"/>
        <v>#N/A</v>
      </c>
      <c r="W144" s="74" t="e">
        <f t="shared" si="40"/>
        <v>#N/A</v>
      </c>
      <c r="X144" s="74" t="e">
        <f t="shared" si="41"/>
        <v>#N/A</v>
      </c>
      <c r="Y144" s="74" t="e">
        <f t="shared" si="42"/>
        <v>#N/A</v>
      </c>
    </row>
    <row r="145" spans="1:25">
      <c r="A145" s="88">
        <f>'Batch input'!A144</f>
        <v>0</v>
      </c>
      <c r="B145">
        <f>'Batch input'!B144</f>
        <v>0</v>
      </c>
      <c r="C145" t="e">
        <f>VLOOKUP($A145,Data!$D$3:$CJ$128,30,FALSE)</f>
        <v>#N/A</v>
      </c>
      <c r="D145" s="74" t="e">
        <f>VLOOKUP($A145,Data!$D$3:$CJ$128,64,FALSE)</f>
        <v>#N/A</v>
      </c>
      <c r="E145" s="74" t="e">
        <f>VLOOKUP($A145,Data!$D$3:$CJ$128,66,FALSE)</f>
        <v>#N/A</v>
      </c>
      <c r="F145" s="74" t="e">
        <f>VLOOKUP($A145,Data!$D$3:$CJ$128,67,FALSE)</f>
        <v>#N/A</v>
      </c>
      <c r="G145" s="78" t="e">
        <f>VLOOKUP($A145,Data!$D$3:$CJ$128,68,FALSE)</f>
        <v>#N/A</v>
      </c>
      <c r="H145" s="78" t="e">
        <f>VLOOKUP($A145,Data!$D$3:$CJ$128,69,FALSE)</f>
        <v>#N/A</v>
      </c>
      <c r="I145" s="74" t="e">
        <f>VLOOKUP($A145,Data!$D$3:$CJ$128,70,FALSE)</f>
        <v>#N/A</v>
      </c>
      <c r="J145" s="74" t="e">
        <f>VLOOKUP($A145,Data!$D$3:$CJ$128,71,FALSE)</f>
        <v>#N/A</v>
      </c>
      <c r="K145" s="74" t="e">
        <f>VLOOKUP($A145,Data!$D$3:$CJ$128,72,FALSE)</f>
        <v>#N/A</v>
      </c>
      <c r="L145" s="74" t="e">
        <f>VLOOKUP($A145,Data!$D$3:$CJ$128,73,FALSE)</f>
        <v>#N/A</v>
      </c>
      <c r="M145" s="74" t="e">
        <f>VLOOKUP($A145,Data!$D$3:$CJ$128,74,FALSE)</f>
        <v>#N/A</v>
      </c>
      <c r="N145" s="78" t="e">
        <f t="shared" si="31"/>
        <v>#N/A</v>
      </c>
      <c r="O145" s="78" t="e">
        <f t="shared" si="32"/>
        <v>#N/A</v>
      </c>
      <c r="P145" s="78" t="e">
        <f t="shared" si="33"/>
        <v>#N/A</v>
      </c>
      <c r="Q145" s="78" t="e">
        <f t="shared" si="34"/>
        <v>#N/A</v>
      </c>
      <c r="R145" s="78" t="e">
        <f t="shared" si="35"/>
        <v>#N/A</v>
      </c>
      <c r="S145" s="78" t="e">
        <f t="shared" si="36"/>
        <v>#N/A</v>
      </c>
      <c r="T145" s="74" t="e">
        <f t="shared" si="37"/>
        <v>#N/A</v>
      </c>
      <c r="U145" s="74" t="e">
        <f t="shared" si="38"/>
        <v>#N/A</v>
      </c>
      <c r="V145" s="74" t="e">
        <f t="shared" si="39"/>
        <v>#N/A</v>
      </c>
      <c r="W145" s="74" t="e">
        <f t="shared" si="40"/>
        <v>#N/A</v>
      </c>
      <c r="X145" s="74" t="e">
        <f t="shared" si="41"/>
        <v>#N/A</v>
      </c>
      <c r="Y145" s="74" t="e">
        <f t="shared" si="42"/>
        <v>#N/A</v>
      </c>
    </row>
    <row r="146" spans="1:25">
      <c r="A146" s="88">
        <f>'Batch input'!A145</f>
        <v>0</v>
      </c>
      <c r="B146">
        <f>'Batch input'!B145</f>
        <v>0</v>
      </c>
      <c r="C146" t="e">
        <f>VLOOKUP($A146,Data!$D$3:$CJ$128,30,FALSE)</f>
        <v>#N/A</v>
      </c>
      <c r="D146" s="74" t="e">
        <f>VLOOKUP($A146,Data!$D$3:$CJ$128,64,FALSE)</f>
        <v>#N/A</v>
      </c>
      <c r="E146" s="74" t="e">
        <f>VLOOKUP($A146,Data!$D$3:$CJ$128,66,FALSE)</f>
        <v>#N/A</v>
      </c>
      <c r="F146" s="74" t="e">
        <f>VLOOKUP($A146,Data!$D$3:$CJ$128,67,FALSE)</f>
        <v>#N/A</v>
      </c>
      <c r="G146" s="78" t="e">
        <f>VLOOKUP($A146,Data!$D$3:$CJ$128,68,FALSE)</f>
        <v>#N/A</v>
      </c>
      <c r="H146" s="78" t="e">
        <f>VLOOKUP($A146,Data!$D$3:$CJ$128,69,FALSE)</f>
        <v>#N/A</v>
      </c>
      <c r="I146" s="74" t="e">
        <f>VLOOKUP($A146,Data!$D$3:$CJ$128,70,FALSE)</f>
        <v>#N/A</v>
      </c>
      <c r="J146" s="74" t="e">
        <f>VLOOKUP($A146,Data!$D$3:$CJ$128,71,FALSE)</f>
        <v>#N/A</v>
      </c>
      <c r="K146" s="74" t="e">
        <f>VLOOKUP($A146,Data!$D$3:$CJ$128,72,FALSE)</f>
        <v>#N/A</v>
      </c>
      <c r="L146" s="74" t="e">
        <f>VLOOKUP($A146,Data!$D$3:$CJ$128,73,FALSE)</f>
        <v>#N/A</v>
      </c>
      <c r="M146" s="74" t="e">
        <f>VLOOKUP($A146,Data!$D$3:$CJ$128,74,FALSE)</f>
        <v>#N/A</v>
      </c>
      <c r="N146" s="78" t="e">
        <f t="shared" si="31"/>
        <v>#N/A</v>
      </c>
      <c r="O146" s="78" t="e">
        <f t="shared" si="32"/>
        <v>#N/A</v>
      </c>
      <c r="P146" s="78" t="e">
        <f t="shared" si="33"/>
        <v>#N/A</v>
      </c>
      <c r="Q146" s="78" t="e">
        <f t="shared" si="34"/>
        <v>#N/A</v>
      </c>
      <c r="R146" s="78" t="e">
        <f t="shared" si="35"/>
        <v>#N/A</v>
      </c>
      <c r="S146" s="78" t="e">
        <f t="shared" si="36"/>
        <v>#N/A</v>
      </c>
      <c r="T146" s="74" t="e">
        <f t="shared" si="37"/>
        <v>#N/A</v>
      </c>
      <c r="U146" s="74" t="e">
        <f t="shared" si="38"/>
        <v>#N/A</v>
      </c>
      <c r="V146" s="74" t="e">
        <f t="shared" si="39"/>
        <v>#N/A</v>
      </c>
      <c r="W146" s="74" t="e">
        <f t="shared" si="40"/>
        <v>#N/A</v>
      </c>
      <c r="X146" s="74" t="e">
        <f t="shared" si="41"/>
        <v>#N/A</v>
      </c>
      <c r="Y146" s="74" t="e">
        <f t="shared" si="42"/>
        <v>#N/A</v>
      </c>
    </row>
    <row r="147" spans="1:25">
      <c r="A147" s="88">
        <f>'Batch input'!A146</f>
        <v>0</v>
      </c>
      <c r="B147">
        <f>'Batch input'!B146</f>
        <v>0</v>
      </c>
      <c r="C147" t="e">
        <f>VLOOKUP($A147,Data!$D$3:$CJ$128,30,FALSE)</f>
        <v>#N/A</v>
      </c>
      <c r="D147" s="74" t="e">
        <f>VLOOKUP($A147,Data!$D$3:$CJ$128,64,FALSE)</f>
        <v>#N/A</v>
      </c>
      <c r="E147" s="74" t="e">
        <f>VLOOKUP($A147,Data!$D$3:$CJ$128,66,FALSE)</f>
        <v>#N/A</v>
      </c>
      <c r="F147" s="74" t="e">
        <f>VLOOKUP($A147,Data!$D$3:$CJ$128,67,FALSE)</f>
        <v>#N/A</v>
      </c>
      <c r="G147" s="78" t="e">
        <f>VLOOKUP($A147,Data!$D$3:$CJ$128,68,FALSE)</f>
        <v>#N/A</v>
      </c>
      <c r="H147" s="78" t="e">
        <f>VLOOKUP($A147,Data!$D$3:$CJ$128,69,FALSE)</f>
        <v>#N/A</v>
      </c>
      <c r="I147" s="74" t="e">
        <f>VLOOKUP($A147,Data!$D$3:$CJ$128,70,FALSE)</f>
        <v>#N/A</v>
      </c>
      <c r="J147" s="74" t="e">
        <f>VLOOKUP($A147,Data!$D$3:$CJ$128,71,FALSE)</f>
        <v>#N/A</v>
      </c>
      <c r="K147" s="74" t="e">
        <f>VLOOKUP($A147,Data!$D$3:$CJ$128,72,FALSE)</f>
        <v>#N/A</v>
      </c>
      <c r="L147" s="74" t="e">
        <f>VLOOKUP($A147,Data!$D$3:$CJ$128,73,FALSE)</f>
        <v>#N/A</v>
      </c>
      <c r="M147" s="74" t="e">
        <f>VLOOKUP($A147,Data!$D$3:$CJ$128,74,FALSE)</f>
        <v>#N/A</v>
      </c>
      <c r="N147" s="78" t="e">
        <f t="shared" si="31"/>
        <v>#N/A</v>
      </c>
      <c r="O147" s="78" t="e">
        <f t="shared" si="32"/>
        <v>#N/A</v>
      </c>
      <c r="P147" s="78" t="e">
        <f t="shared" si="33"/>
        <v>#N/A</v>
      </c>
      <c r="Q147" s="78" t="e">
        <f t="shared" si="34"/>
        <v>#N/A</v>
      </c>
      <c r="R147" s="78" t="e">
        <f t="shared" si="35"/>
        <v>#N/A</v>
      </c>
      <c r="S147" s="78" t="e">
        <f t="shared" si="36"/>
        <v>#N/A</v>
      </c>
      <c r="T147" s="74" t="e">
        <f t="shared" si="37"/>
        <v>#N/A</v>
      </c>
      <c r="U147" s="74" t="e">
        <f t="shared" si="38"/>
        <v>#N/A</v>
      </c>
      <c r="V147" s="74" t="e">
        <f t="shared" si="39"/>
        <v>#N/A</v>
      </c>
      <c r="W147" s="74" t="e">
        <f t="shared" si="40"/>
        <v>#N/A</v>
      </c>
      <c r="X147" s="74" t="e">
        <f t="shared" si="41"/>
        <v>#N/A</v>
      </c>
      <c r="Y147" s="74" t="e">
        <f t="shared" si="42"/>
        <v>#N/A</v>
      </c>
    </row>
    <row r="148" spans="1:25">
      <c r="A148" s="88">
        <f>'Batch input'!A147</f>
        <v>0</v>
      </c>
      <c r="B148">
        <f>'Batch input'!B147</f>
        <v>0</v>
      </c>
      <c r="C148" t="e">
        <f>VLOOKUP($A148,Data!$D$3:$CJ$128,30,FALSE)</f>
        <v>#N/A</v>
      </c>
      <c r="D148" s="74" t="e">
        <f>VLOOKUP($A148,Data!$D$3:$CJ$128,64,FALSE)</f>
        <v>#N/A</v>
      </c>
      <c r="E148" s="74" t="e">
        <f>VLOOKUP($A148,Data!$D$3:$CJ$128,66,FALSE)</f>
        <v>#N/A</v>
      </c>
      <c r="F148" s="74" t="e">
        <f>VLOOKUP($A148,Data!$D$3:$CJ$128,67,FALSE)</f>
        <v>#N/A</v>
      </c>
      <c r="G148" s="78" t="e">
        <f>VLOOKUP($A148,Data!$D$3:$CJ$128,68,FALSE)</f>
        <v>#N/A</v>
      </c>
      <c r="H148" s="78" t="e">
        <f>VLOOKUP($A148,Data!$D$3:$CJ$128,69,FALSE)</f>
        <v>#N/A</v>
      </c>
      <c r="I148" s="74" t="e">
        <f>VLOOKUP($A148,Data!$D$3:$CJ$128,70,FALSE)</f>
        <v>#N/A</v>
      </c>
      <c r="J148" s="74" t="e">
        <f>VLOOKUP($A148,Data!$D$3:$CJ$128,71,FALSE)</f>
        <v>#N/A</v>
      </c>
      <c r="K148" s="74" t="e">
        <f>VLOOKUP($A148,Data!$D$3:$CJ$128,72,FALSE)</f>
        <v>#N/A</v>
      </c>
      <c r="L148" s="74" t="e">
        <f>VLOOKUP($A148,Data!$D$3:$CJ$128,73,FALSE)</f>
        <v>#N/A</v>
      </c>
      <c r="M148" s="74" t="e">
        <f>VLOOKUP($A148,Data!$D$3:$CJ$128,74,FALSE)</f>
        <v>#N/A</v>
      </c>
      <c r="N148" s="78" t="e">
        <f t="shared" si="31"/>
        <v>#N/A</v>
      </c>
      <c r="O148" s="78" t="e">
        <f t="shared" si="32"/>
        <v>#N/A</v>
      </c>
      <c r="P148" s="78" t="e">
        <f t="shared" si="33"/>
        <v>#N/A</v>
      </c>
      <c r="Q148" s="78" t="e">
        <f t="shared" si="34"/>
        <v>#N/A</v>
      </c>
      <c r="R148" s="78" t="e">
        <f t="shared" si="35"/>
        <v>#N/A</v>
      </c>
      <c r="S148" s="78" t="e">
        <f t="shared" si="36"/>
        <v>#N/A</v>
      </c>
      <c r="T148" s="74" t="e">
        <f t="shared" si="37"/>
        <v>#N/A</v>
      </c>
      <c r="U148" s="74" t="e">
        <f t="shared" si="38"/>
        <v>#N/A</v>
      </c>
      <c r="V148" s="74" t="e">
        <f t="shared" si="39"/>
        <v>#N/A</v>
      </c>
      <c r="W148" s="74" t="e">
        <f t="shared" si="40"/>
        <v>#N/A</v>
      </c>
      <c r="X148" s="74" t="e">
        <f t="shared" si="41"/>
        <v>#N/A</v>
      </c>
      <c r="Y148" s="74" t="e">
        <f t="shared" si="42"/>
        <v>#N/A</v>
      </c>
    </row>
    <row r="149" spans="1:25">
      <c r="A149" s="88">
        <f>'Batch input'!A148</f>
        <v>0</v>
      </c>
      <c r="B149">
        <f>'Batch input'!B148</f>
        <v>0</v>
      </c>
      <c r="C149" t="e">
        <f>VLOOKUP($A149,Data!$D$3:$CJ$128,30,FALSE)</f>
        <v>#N/A</v>
      </c>
      <c r="D149" s="74" t="e">
        <f>VLOOKUP($A149,Data!$D$3:$CJ$128,64,FALSE)</f>
        <v>#N/A</v>
      </c>
      <c r="E149" s="74" t="e">
        <f>VLOOKUP($A149,Data!$D$3:$CJ$128,66,FALSE)</f>
        <v>#N/A</v>
      </c>
      <c r="F149" s="74" t="e">
        <f>VLOOKUP($A149,Data!$D$3:$CJ$128,67,FALSE)</f>
        <v>#N/A</v>
      </c>
      <c r="G149" s="78" t="e">
        <f>VLOOKUP($A149,Data!$D$3:$CJ$128,68,FALSE)</f>
        <v>#N/A</v>
      </c>
      <c r="H149" s="78" t="e">
        <f>VLOOKUP($A149,Data!$D$3:$CJ$128,69,FALSE)</f>
        <v>#N/A</v>
      </c>
      <c r="I149" s="74" t="e">
        <f>VLOOKUP($A149,Data!$D$3:$CJ$128,70,FALSE)</f>
        <v>#N/A</v>
      </c>
      <c r="J149" s="74" t="e">
        <f>VLOOKUP($A149,Data!$D$3:$CJ$128,71,FALSE)</f>
        <v>#N/A</v>
      </c>
      <c r="K149" s="74" t="e">
        <f>VLOOKUP($A149,Data!$D$3:$CJ$128,72,FALSE)</f>
        <v>#N/A</v>
      </c>
      <c r="L149" s="74" t="e">
        <f>VLOOKUP($A149,Data!$D$3:$CJ$128,73,FALSE)</f>
        <v>#N/A</v>
      </c>
      <c r="M149" s="74" t="e">
        <f>VLOOKUP($A149,Data!$D$3:$CJ$128,74,FALSE)</f>
        <v>#N/A</v>
      </c>
      <c r="N149" s="78" t="e">
        <f t="shared" si="31"/>
        <v>#N/A</v>
      </c>
      <c r="O149" s="78" t="e">
        <f t="shared" si="32"/>
        <v>#N/A</v>
      </c>
      <c r="P149" s="78" t="e">
        <f t="shared" si="33"/>
        <v>#N/A</v>
      </c>
      <c r="Q149" s="78" t="e">
        <f t="shared" si="34"/>
        <v>#N/A</v>
      </c>
      <c r="R149" s="78" t="e">
        <f t="shared" si="35"/>
        <v>#N/A</v>
      </c>
      <c r="S149" s="78" t="e">
        <f t="shared" si="36"/>
        <v>#N/A</v>
      </c>
      <c r="T149" s="74" t="e">
        <f t="shared" si="37"/>
        <v>#N/A</v>
      </c>
      <c r="U149" s="74" t="e">
        <f t="shared" si="38"/>
        <v>#N/A</v>
      </c>
      <c r="V149" s="74" t="e">
        <f t="shared" si="39"/>
        <v>#N/A</v>
      </c>
      <c r="W149" s="74" t="e">
        <f t="shared" si="40"/>
        <v>#N/A</v>
      </c>
      <c r="X149" s="74" t="e">
        <f t="shared" si="41"/>
        <v>#N/A</v>
      </c>
      <c r="Y149" s="74" t="e">
        <f t="shared" si="42"/>
        <v>#N/A</v>
      </c>
    </row>
    <row r="150" spans="1:25">
      <c r="A150" s="88">
        <f>'Batch input'!A149</f>
        <v>0</v>
      </c>
      <c r="B150">
        <f>'Batch input'!B149</f>
        <v>0</v>
      </c>
      <c r="C150" t="e">
        <f>VLOOKUP($A150,Data!$D$3:$CJ$128,30,FALSE)</f>
        <v>#N/A</v>
      </c>
      <c r="D150" s="74" t="e">
        <f>VLOOKUP($A150,Data!$D$3:$CJ$128,64,FALSE)</f>
        <v>#N/A</v>
      </c>
      <c r="E150" s="74" t="e">
        <f>VLOOKUP($A150,Data!$D$3:$CJ$128,66,FALSE)</f>
        <v>#N/A</v>
      </c>
      <c r="F150" s="74" t="e">
        <f>VLOOKUP($A150,Data!$D$3:$CJ$128,67,FALSE)</f>
        <v>#N/A</v>
      </c>
      <c r="G150" s="78" t="e">
        <f>VLOOKUP($A150,Data!$D$3:$CJ$128,68,FALSE)</f>
        <v>#N/A</v>
      </c>
      <c r="H150" s="78" t="e">
        <f>VLOOKUP($A150,Data!$D$3:$CJ$128,69,FALSE)</f>
        <v>#N/A</v>
      </c>
      <c r="I150" s="74" t="e">
        <f>VLOOKUP($A150,Data!$D$3:$CJ$128,70,FALSE)</f>
        <v>#N/A</v>
      </c>
      <c r="J150" s="74" t="e">
        <f>VLOOKUP($A150,Data!$D$3:$CJ$128,71,FALSE)</f>
        <v>#N/A</v>
      </c>
      <c r="K150" s="74" t="e">
        <f>VLOOKUP($A150,Data!$D$3:$CJ$128,72,FALSE)</f>
        <v>#N/A</v>
      </c>
      <c r="L150" s="74" t="e">
        <f>VLOOKUP($A150,Data!$D$3:$CJ$128,73,FALSE)</f>
        <v>#N/A</v>
      </c>
      <c r="M150" s="74" t="e">
        <f>VLOOKUP($A150,Data!$D$3:$CJ$128,74,FALSE)</f>
        <v>#N/A</v>
      </c>
      <c r="N150" s="78" t="e">
        <f t="shared" si="31"/>
        <v>#N/A</v>
      </c>
      <c r="O150" s="78" t="e">
        <f t="shared" si="32"/>
        <v>#N/A</v>
      </c>
      <c r="P150" s="78" t="e">
        <f t="shared" si="33"/>
        <v>#N/A</v>
      </c>
      <c r="Q150" s="78" t="e">
        <f t="shared" si="34"/>
        <v>#N/A</v>
      </c>
      <c r="R150" s="78" t="e">
        <f t="shared" si="35"/>
        <v>#N/A</v>
      </c>
      <c r="S150" s="78" t="e">
        <f t="shared" si="36"/>
        <v>#N/A</v>
      </c>
      <c r="T150" s="74" t="e">
        <f t="shared" si="37"/>
        <v>#N/A</v>
      </c>
      <c r="U150" s="74" t="e">
        <f t="shared" si="38"/>
        <v>#N/A</v>
      </c>
      <c r="V150" s="74" t="e">
        <f t="shared" si="39"/>
        <v>#N/A</v>
      </c>
      <c r="W150" s="74" t="e">
        <f t="shared" si="40"/>
        <v>#N/A</v>
      </c>
      <c r="X150" s="74" t="e">
        <f t="shared" si="41"/>
        <v>#N/A</v>
      </c>
      <c r="Y150" s="74" t="e">
        <f t="shared" si="42"/>
        <v>#N/A</v>
      </c>
    </row>
    <row r="151" spans="1:25">
      <c r="A151" s="88">
        <f>'Batch input'!A150</f>
        <v>0</v>
      </c>
      <c r="B151">
        <f>'Batch input'!B150</f>
        <v>0</v>
      </c>
      <c r="C151" t="e">
        <f>VLOOKUP($A151,Data!$D$3:$CJ$128,30,FALSE)</f>
        <v>#N/A</v>
      </c>
      <c r="D151" s="74" t="e">
        <f>VLOOKUP($A151,Data!$D$3:$CJ$128,64,FALSE)</f>
        <v>#N/A</v>
      </c>
      <c r="E151" s="74" t="e">
        <f>VLOOKUP($A151,Data!$D$3:$CJ$128,66,FALSE)</f>
        <v>#N/A</v>
      </c>
      <c r="F151" s="74" t="e">
        <f>VLOOKUP($A151,Data!$D$3:$CJ$128,67,FALSE)</f>
        <v>#N/A</v>
      </c>
      <c r="G151" s="78" t="e">
        <f>VLOOKUP($A151,Data!$D$3:$CJ$128,68,FALSE)</f>
        <v>#N/A</v>
      </c>
      <c r="H151" s="78" t="e">
        <f>VLOOKUP($A151,Data!$D$3:$CJ$128,69,FALSE)</f>
        <v>#N/A</v>
      </c>
      <c r="I151" s="74" t="e">
        <f>VLOOKUP($A151,Data!$D$3:$CJ$128,70,FALSE)</f>
        <v>#N/A</v>
      </c>
      <c r="J151" s="74" t="e">
        <f>VLOOKUP($A151,Data!$D$3:$CJ$128,71,FALSE)</f>
        <v>#N/A</v>
      </c>
      <c r="K151" s="74" t="e">
        <f>VLOOKUP($A151,Data!$D$3:$CJ$128,72,FALSE)</f>
        <v>#N/A</v>
      </c>
      <c r="L151" s="74" t="e">
        <f>VLOOKUP($A151,Data!$D$3:$CJ$128,73,FALSE)</f>
        <v>#N/A</v>
      </c>
      <c r="M151" s="74" t="e">
        <f>VLOOKUP($A151,Data!$D$3:$CJ$128,74,FALSE)</f>
        <v>#N/A</v>
      </c>
      <c r="N151" s="78" t="e">
        <f t="shared" si="31"/>
        <v>#N/A</v>
      </c>
      <c r="O151" s="78" t="e">
        <f t="shared" si="32"/>
        <v>#N/A</v>
      </c>
      <c r="P151" s="78" t="e">
        <f t="shared" si="33"/>
        <v>#N/A</v>
      </c>
      <c r="Q151" s="78" t="e">
        <f t="shared" si="34"/>
        <v>#N/A</v>
      </c>
      <c r="R151" s="78" t="e">
        <f t="shared" si="35"/>
        <v>#N/A</v>
      </c>
      <c r="S151" s="78" t="e">
        <f t="shared" si="36"/>
        <v>#N/A</v>
      </c>
      <c r="T151" s="74" t="e">
        <f t="shared" si="37"/>
        <v>#N/A</v>
      </c>
      <c r="U151" s="74" t="e">
        <f t="shared" si="38"/>
        <v>#N/A</v>
      </c>
      <c r="V151" s="74" t="e">
        <f t="shared" si="39"/>
        <v>#N/A</v>
      </c>
      <c r="W151" s="74" t="e">
        <f t="shared" si="40"/>
        <v>#N/A</v>
      </c>
      <c r="X151" s="74" t="e">
        <f t="shared" si="41"/>
        <v>#N/A</v>
      </c>
      <c r="Y151" s="74" t="e">
        <f t="shared" si="42"/>
        <v>#N/A</v>
      </c>
    </row>
    <row r="152" spans="1:25">
      <c r="A152" s="88">
        <f>'Batch input'!A151</f>
        <v>0</v>
      </c>
      <c r="B152">
        <f>'Batch input'!B151</f>
        <v>0</v>
      </c>
      <c r="C152" t="e">
        <f>VLOOKUP($A152,Data!$D$3:$CJ$128,30,FALSE)</f>
        <v>#N/A</v>
      </c>
      <c r="D152" s="74" t="e">
        <f>VLOOKUP($A152,Data!$D$3:$CJ$128,64,FALSE)</f>
        <v>#N/A</v>
      </c>
      <c r="E152" s="74" t="e">
        <f>VLOOKUP($A152,Data!$D$3:$CJ$128,66,FALSE)</f>
        <v>#N/A</v>
      </c>
      <c r="F152" s="74" t="e">
        <f>VLOOKUP($A152,Data!$D$3:$CJ$128,67,FALSE)</f>
        <v>#N/A</v>
      </c>
      <c r="G152" s="78" t="e">
        <f>VLOOKUP($A152,Data!$D$3:$CJ$128,68,FALSE)</f>
        <v>#N/A</v>
      </c>
      <c r="H152" s="78" t="e">
        <f>VLOOKUP($A152,Data!$D$3:$CJ$128,69,FALSE)</f>
        <v>#N/A</v>
      </c>
      <c r="I152" s="74" t="e">
        <f>VLOOKUP($A152,Data!$D$3:$CJ$128,70,FALSE)</f>
        <v>#N/A</v>
      </c>
      <c r="J152" s="74" t="e">
        <f>VLOOKUP($A152,Data!$D$3:$CJ$128,71,FALSE)</f>
        <v>#N/A</v>
      </c>
      <c r="K152" s="74" t="e">
        <f>VLOOKUP($A152,Data!$D$3:$CJ$128,72,FALSE)</f>
        <v>#N/A</v>
      </c>
      <c r="L152" s="74" t="e">
        <f>VLOOKUP($A152,Data!$D$3:$CJ$128,73,FALSE)</f>
        <v>#N/A</v>
      </c>
      <c r="M152" s="74" t="e">
        <f>VLOOKUP($A152,Data!$D$3:$CJ$128,74,FALSE)</f>
        <v>#N/A</v>
      </c>
      <c r="N152" s="78" t="e">
        <f t="shared" si="31"/>
        <v>#N/A</v>
      </c>
      <c r="O152" s="78" t="e">
        <f t="shared" si="32"/>
        <v>#N/A</v>
      </c>
      <c r="P152" s="78" t="e">
        <f t="shared" si="33"/>
        <v>#N/A</v>
      </c>
      <c r="Q152" s="78" t="e">
        <f t="shared" si="34"/>
        <v>#N/A</v>
      </c>
      <c r="R152" s="78" t="e">
        <f t="shared" si="35"/>
        <v>#N/A</v>
      </c>
      <c r="S152" s="78" t="e">
        <f t="shared" si="36"/>
        <v>#N/A</v>
      </c>
      <c r="T152" s="74" t="e">
        <f t="shared" si="37"/>
        <v>#N/A</v>
      </c>
      <c r="U152" s="74" t="e">
        <f t="shared" si="38"/>
        <v>#N/A</v>
      </c>
      <c r="V152" s="74" t="e">
        <f t="shared" si="39"/>
        <v>#N/A</v>
      </c>
      <c r="W152" s="74" t="e">
        <f t="shared" si="40"/>
        <v>#N/A</v>
      </c>
      <c r="X152" s="74" t="e">
        <f t="shared" si="41"/>
        <v>#N/A</v>
      </c>
      <c r="Y152" s="74" t="e">
        <f t="shared" si="42"/>
        <v>#N/A</v>
      </c>
    </row>
    <row r="153" spans="1:25">
      <c r="A153" s="88">
        <f>'Batch input'!A152</f>
        <v>0</v>
      </c>
      <c r="B153">
        <f>'Batch input'!B152</f>
        <v>0</v>
      </c>
      <c r="C153" t="e">
        <f>VLOOKUP($A153,Data!$D$3:$CJ$128,30,FALSE)</f>
        <v>#N/A</v>
      </c>
      <c r="D153" s="74" t="e">
        <f>VLOOKUP($A153,Data!$D$3:$CJ$128,64,FALSE)</f>
        <v>#N/A</v>
      </c>
      <c r="E153" s="74" t="e">
        <f>VLOOKUP($A153,Data!$D$3:$CJ$128,66,FALSE)</f>
        <v>#N/A</v>
      </c>
      <c r="F153" s="74" t="e">
        <f>VLOOKUP($A153,Data!$D$3:$CJ$128,67,FALSE)</f>
        <v>#N/A</v>
      </c>
      <c r="G153" s="78" t="e">
        <f>VLOOKUP($A153,Data!$D$3:$CJ$128,68,FALSE)</f>
        <v>#N/A</v>
      </c>
      <c r="H153" s="78" t="e">
        <f>VLOOKUP($A153,Data!$D$3:$CJ$128,69,FALSE)</f>
        <v>#N/A</v>
      </c>
      <c r="I153" s="74" t="e">
        <f>VLOOKUP($A153,Data!$D$3:$CJ$128,70,FALSE)</f>
        <v>#N/A</v>
      </c>
      <c r="J153" s="74" t="e">
        <f>VLOOKUP($A153,Data!$D$3:$CJ$128,71,FALSE)</f>
        <v>#N/A</v>
      </c>
      <c r="K153" s="74" t="e">
        <f>VLOOKUP($A153,Data!$D$3:$CJ$128,72,FALSE)</f>
        <v>#N/A</v>
      </c>
      <c r="L153" s="74" t="e">
        <f>VLOOKUP($A153,Data!$D$3:$CJ$128,73,FALSE)</f>
        <v>#N/A</v>
      </c>
      <c r="M153" s="74" t="e">
        <f>VLOOKUP($A153,Data!$D$3:$CJ$128,74,FALSE)</f>
        <v>#N/A</v>
      </c>
      <c r="N153" s="78" t="e">
        <f t="shared" si="31"/>
        <v>#N/A</v>
      </c>
      <c r="O153" s="78" t="e">
        <f t="shared" si="32"/>
        <v>#N/A</v>
      </c>
      <c r="P153" s="78" t="e">
        <f t="shared" si="33"/>
        <v>#N/A</v>
      </c>
      <c r="Q153" s="78" t="e">
        <f t="shared" si="34"/>
        <v>#N/A</v>
      </c>
      <c r="R153" s="78" t="e">
        <f t="shared" si="35"/>
        <v>#N/A</v>
      </c>
      <c r="S153" s="78" t="e">
        <f t="shared" si="36"/>
        <v>#N/A</v>
      </c>
      <c r="T153" s="74" t="e">
        <f t="shared" si="37"/>
        <v>#N/A</v>
      </c>
      <c r="U153" s="74" t="e">
        <f t="shared" si="38"/>
        <v>#N/A</v>
      </c>
      <c r="V153" s="74" t="e">
        <f t="shared" si="39"/>
        <v>#N/A</v>
      </c>
      <c r="W153" s="74" t="e">
        <f t="shared" si="40"/>
        <v>#N/A</v>
      </c>
      <c r="X153" s="74" t="e">
        <f t="shared" si="41"/>
        <v>#N/A</v>
      </c>
      <c r="Y153" s="74" t="e">
        <f t="shared" si="42"/>
        <v>#N/A</v>
      </c>
    </row>
    <row r="154" spans="1:25">
      <c r="A154" s="88">
        <f>'Batch input'!A153</f>
        <v>0</v>
      </c>
      <c r="B154">
        <f>'Batch input'!B153</f>
        <v>0</v>
      </c>
      <c r="C154" t="e">
        <f>VLOOKUP($A154,Data!$D$3:$CJ$128,30,FALSE)</f>
        <v>#N/A</v>
      </c>
      <c r="D154" s="74" t="e">
        <f>VLOOKUP($A154,Data!$D$3:$CJ$128,64,FALSE)</f>
        <v>#N/A</v>
      </c>
      <c r="E154" s="74" t="e">
        <f>VLOOKUP($A154,Data!$D$3:$CJ$128,66,FALSE)</f>
        <v>#N/A</v>
      </c>
      <c r="F154" s="74" t="e">
        <f>VLOOKUP($A154,Data!$D$3:$CJ$128,67,FALSE)</f>
        <v>#N/A</v>
      </c>
      <c r="G154" s="78" t="e">
        <f>VLOOKUP($A154,Data!$D$3:$CJ$128,68,FALSE)</f>
        <v>#N/A</v>
      </c>
      <c r="H154" s="78" t="e">
        <f>VLOOKUP($A154,Data!$D$3:$CJ$128,69,FALSE)</f>
        <v>#N/A</v>
      </c>
      <c r="I154" s="74" t="e">
        <f>VLOOKUP($A154,Data!$D$3:$CJ$128,70,FALSE)</f>
        <v>#N/A</v>
      </c>
      <c r="J154" s="74" t="e">
        <f>VLOOKUP($A154,Data!$D$3:$CJ$128,71,FALSE)</f>
        <v>#N/A</v>
      </c>
      <c r="K154" s="74" t="e">
        <f>VLOOKUP($A154,Data!$D$3:$CJ$128,72,FALSE)</f>
        <v>#N/A</v>
      </c>
      <c r="L154" s="74" t="e">
        <f>VLOOKUP($A154,Data!$D$3:$CJ$128,73,FALSE)</f>
        <v>#N/A</v>
      </c>
      <c r="M154" s="74" t="e">
        <f>VLOOKUP($A154,Data!$D$3:$CJ$128,74,FALSE)</f>
        <v>#N/A</v>
      </c>
      <c r="N154" s="78" t="e">
        <f t="shared" si="31"/>
        <v>#N/A</v>
      </c>
      <c r="O154" s="78" t="e">
        <f t="shared" si="32"/>
        <v>#N/A</v>
      </c>
      <c r="P154" s="78" t="e">
        <f t="shared" si="33"/>
        <v>#N/A</v>
      </c>
      <c r="Q154" s="78" t="e">
        <f t="shared" si="34"/>
        <v>#N/A</v>
      </c>
      <c r="R154" s="78" t="e">
        <f t="shared" si="35"/>
        <v>#N/A</v>
      </c>
      <c r="S154" s="78" t="e">
        <f t="shared" si="36"/>
        <v>#N/A</v>
      </c>
      <c r="T154" s="74" t="e">
        <f t="shared" si="37"/>
        <v>#N/A</v>
      </c>
      <c r="U154" s="74" t="e">
        <f t="shared" si="38"/>
        <v>#N/A</v>
      </c>
      <c r="V154" s="74" t="e">
        <f t="shared" si="39"/>
        <v>#N/A</v>
      </c>
      <c r="W154" s="74" t="e">
        <f t="shared" si="40"/>
        <v>#N/A</v>
      </c>
      <c r="X154" s="74" t="e">
        <f t="shared" si="41"/>
        <v>#N/A</v>
      </c>
      <c r="Y154" s="74" t="e">
        <f t="shared" si="42"/>
        <v>#N/A</v>
      </c>
    </row>
    <row r="155" spans="1:25">
      <c r="A155" s="88">
        <f>'Batch input'!A154</f>
        <v>0</v>
      </c>
      <c r="B155">
        <f>'Batch input'!B154</f>
        <v>0</v>
      </c>
      <c r="C155" t="e">
        <f>VLOOKUP($A155,Data!$D$3:$CJ$128,30,FALSE)</f>
        <v>#N/A</v>
      </c>
      <c r="D155" s="74" t="e">
        <f>VLOOKUP($A155,Data!$D$3:$CJ$128,64,FALSE)</f>
        <v>#N/A</v>
      </c>
      <c r="E155" s="74" t="e">
        <f>VLOOKUP($A155,Data!$D$3:$CJ$128,66,FALSE)</f>
        <v>#N/A</v>
      </c>
      <c r="F155" s="74" t="e">
        <f>VLOOKUP($A155,Data!$D$3:$CJ$128,67,FALSE)</f>
        <v>#N/A</v>
      </c>
      <c r="G155" s="78" t="e">
        <f>VLOOKUP($A155,Data!$D$3:$CJ$128,68,FALSE)</f>
        <v>#N/A</v>
      </c>
      <c r="H155" s="78" t="e">
        <f>VLOOKUP($A155,Data!$D$3:$CJ$128,69,FALSE)</f>
        <v>#N/A</v>
      </c>
      <c r="I155" s="74" t="e">
        <f>VLOOKUP($A155,Data!$D$3:$CJ$128,70,FALSE)</f>
        <v>#N/A</v>
      </c>
      <c r="J155" s="74" t="e">
        <f>VLOOKUP($A155,Data!$D$3:$CJ$128,71,FALSE)</f>
        <v>#N/A</v>
      </c>
      <c r="K155" s="74" t="e">
        <f>VLOOKUP($A155,Data!$D$3:$CJ$128,72,FALSE)</f>
        <v>#N/A</v>
      </c>
      <c r="L155" s="74" t="e">
        <f>VLOOKUP($A155,Data!$D$3:$CJ$128,73,FALSE)</f>
        <v>#N/A</v>
      </c>
      <c r="M155" s="74" t="e">
        <f>VLOOKUP($A155,Data!$D$3:$CJ$128,74,FALSE)</f>
        <v>#N/A</v>
      </c>
      <c r="N155" s="78" t="e">
        <f t="shared" si="31"/>
        <v>#N/A</v>
      </c>
      <c r="O155" s="78" t="e">
        <f t="shared" si="32"/>
        <v>#N/A</v>
      </c>
      <c r="P155" s="78" t="e">
        <f t="shared" si="33"/>
        <v>#N/A</v>
      </c>
      <c r="Q155" s="78" t="e">
        <f t="shared" si="34"/>
        <v>#N/A</v>
      </c>
      <c r="R155" s="78" t="e">
        <f t="shared" si="35"/>
        <v>#N/A</v>
      </c>
      <c r="S155" s="78" t="e">
        <f t="shared" si="36"/>
        <v>#N/A</v>
      </c>
      <c r="T155" s="74" t="e">
        <f t="shared" si="37"/>
        <v>#N/A</v>
      </c>
      <c r="U155" s="74" t="e">
        <f t="shared" si="38"/>
        <v>#N/A</v>
      </c>
      <c r="V155" s="74" t="e">
        <f t="shared" si="39"/>
        <v>#N/A</v>
      </c>
      <c r="W155" s="74" t="e">
        <f t="shared" si="40"/>
        <v>#N/A</v>
      </c>
      <c r="X155" s="74" t="e">
        <f t="shared" si="41"/>
        <v>#N/A</v>
      </c>
      <c r="Y155" s="74" t="e">
        <f t="shared" si="42"/>
        <v>#N/A</v>
      </c>
    </row>
    <row r="156" spans="1:25">
      <c r="A156" s="88">
        <f>'Batch input'!A155</f>
        <v>0</v>
      </c>
      <c r="B156">
        <f>'Batch input'!B155</f>
        <v>0</v>
      </c>
      <c r="C156" t="e">
        <f>VLOOKUP($A156,Data!$D$3:$CJ$128,30,FALSE)</f>
        <v>#N/A</v>
      </c>
      <c r="D156" s="74" t="e">
        <f>VLOOKUP($A156,Data!$D$3:$CJ$128,64,FALSE)</f>
        <v>#N/A</v>
      </c>
      <c r="E156" s="74" t="e">
        <f>VLOOKUP($A156,Data!$D$3:$CJ$128,66,FALSE)</f>
        <v>#N/A</v>
      </c>
      <c r="F156" s="74" t="e">
        <f>VLOOKUP($A156,Data!$D$3:$CJ$128,67,FALSE)</f>
        <v>#N/A</v>
      </c>
      <c r="G156" s="78" t="e">
        <f>VLOOKUP($A156,Data!$D$3:$CJ$128,68,FALSE)</f>
        <v>#N/A</v>
      </c>
      <c r="H156" s="78" t="e">
        <f>VLOOKUP($A156,Data!$D$3:$CJ$128,69,FALSE)</f>
        <v>#N/A</v>
      </c>
      <c r="I156" s="74" t="e">
        <f>VLOOKUP($A156,Data!$D$3:$CJ$128,70,FALSE)</f>
        <v>#N/A</v>
      </c>
      <c r="J156" s="74" t="e">
        <f>VLOOKUP($A156,Data!$D$3:$CJ$128,71,FALSE)</f>
        <v>#N/A</v>
      </c>
      <c r="K156" s="74" t="e">
        <f>VLOOKUP($A156,Data!$D$3:$CJ$128,72,FALSE)</f>
        <v>#N/A</v>
      </c>
      <c r="L156" s="74" t="e">
        <f>VLOOKUP($A156,Data!$D$3:$CJ$128,73,FALSE)</f>
        <v>#N/A</v>
      </c>
      <c r="M156" s="74" t="e">
        <f>VLOOKUP($A156,Data!$D$3:$CJ$128,74,FALSE)</f>
        <v>#N/A</v>
      </c>
      <c r="N156" s="78" t="e">
        <f t="shared" si="31"/>
        <v>#N/A</v>
      </c>
      <c r="O156" s="78" t="e">
        <f t="shared" si="32"/>
        <v>#N/A</v>
      </c>
      <c r="P156" s="78" t="e">
        <f t="shared" si="33"/>
        <v>#N/A</v>
      </c>
      <c r="Q156" s="78" t="e">
        <f t="shared" si="34"/>
        <v>#N/A</v>
      </c>
      <c r="R156" s="78" t="e">
        <f t="shared" si="35"/>
        <v>#N/A</v>
      </c>
      <c r="S156" s="78" t="e">
        <f t="shared" si="36"/>
        <v>#N/A</v>
      </c>
      <c r="T156" s="74" t="e">
        <f t="shared" si="37"/>
        <v>#N/A</v>
      </c>
      <c r="U156" s="74" t="e">
        <f t="shared" si="38"/>
        <v>#N/A</v>
      </c>
      <c r="V156" s="74" t="e">
        <f t="shared" si="39"/>
        <v>#N/A</v>
      </c>
      <c r="W156" s="74" t="e">
        <f t="shared" si="40"/>
        <v>#N/A</v>
      </c>
      <c r="X156" s="74" t="e">
        <f t="shared" si="41"/>
        <v>#N/A</v>
      </c>
      <c r="Y156" s="74" t="e">
        <f t="shared" si="42"/>
        <v>#N/A</v>
      </c>
    </row>
    <row r="157" spans="1:25">
      <c r="A157" s="88">
        <f>'Batch input'!A156</f>
        <v>0</v>
      </c>
      <c r="B157">
        <f>'Batch input'!B156</f>
        <v>0</v>
      </c>
      <c r="C157" t="e">
        <f>VLOOKUP($A157,Data!$D$3:$CJ$128,30,FALSE)</f>
        <v>#N/A</v>
      </c>
      <c r="D157" s="74" t="e">
        <f>VLOOKUP($A157,Data!$D$3:$CJ$128,64,FALSE)</f>
        <v>#N/A</v>
      </c>
      <c r="E157" s="74" t="e">
        <f>VLOOKUP($A157,Data!$D$3:$CJ$128,66,FALSE)</f>
        <v>#N/A</v>
      </c>
      <c r="F157" s="74" t="e">
        <f>VLOOKUP($A157,Data!$D$3:$CJ$128,67,FALSE)</f>
        <v>#N/A</v>
      </c>
      <c r="G157" s="78" t="e">
        <f>VLOOKUP($A157,Data!$D$3:$CJ$128,68,FALSE)</f>
        <v>#N/A</v>
      </c>
      <c r="H157" s="78" t="e">
        <f>VLOOKUP($A157,Data!$D$3:$CJ$128,69,FALSE)</f>
        <v>#N/A</v>
      </c>
      <c r="I157" s="74" t="e">
        <f>VLOOKUP($A157,Data!$D$3:$CJ$128,70,FALSE)</f>
        <v>#N/A</v>
      </c>
      <c r="J157" s="74" t="e">
        <f>VLOOKUP($A157,Data!$D$3:$CJ$128,71,FALSE)</f>
        <v>#N/A</v>
      </c>
      <c r="K157" s="74" t="e">
        <f>VLOOKUP($A157,Data!$D$3:$CJ$128,72,FALSE)</f>
        <v>#N/A</v>
      </c>
      <c r="L157" s="74" t="e">
        <f>VLOOKUP($A157,Data!$D$3:$CJ$128,73,FALSE)</f>
        <v>#N/A</v>
      </c>
      <c r="M157" s="74" t="e">
        <f>VLOOKUP($A157,Data!$D$3:$CJ$128,74,FALSE)</f>
        <v>#N/A</v>
      </c>
      <c r="N157" s="78" t="e">
        <f t="shared" ref="N157:N220" si="43">I157</f>
        <v>#N/A</v>
      </c>
      <c r="O157" s="78" t="e">
        <f t="shared" ref="O157:O220" si="44">(((D157/1000)*H157)+((G157/1000)*M157)+(J157/1000))</f>
        <v>#N/A</v>
      </c>
      <c r="P157" s="78" t="e">
        <f t="shared" ref="P157:P220" si="45">(F157/1000)*H157</f>
        <v>#N/A</v>
      </c>
      <c r="Q157" s="78" t="e">
        <f t="shared" ref="Q157:Q220" si="46">K157/1000</f>
        <v>#N/A</v>
      </c>
      <c r="R157" s="78" t="e">
        <f t="shared" ref="R157:R220" si="47">L157/1000</f>
        <v>#N/A</v>
      </c>
      <c r="S157" s="78" t="e">
        <f t="shared" ref="S157:S220" si="48">(E157/1000)*H157</f>
        <v>#N/A</v>
      </c>
      <c r="T157" s="74" t="e">
        <f t="shared" ref="T157:T220" si="49">$B157*N157</f>
        <v>#N/A</v>
      </c>
      <c r="U157" s="74" t="e">
        <f t="shared" ref="U157:U220" si="50">$B157*O157</f>
        <v>#N/A</v>
      </c>
      <c r="V157" s="74" t="e">
        <f t="shared" ref="V157:V220" si="51">$B157*P157</f>
        <v>#N/A</v>
      </c>
      <c r="W157" s="74" t="e">
        <f t="shared" ref="W157:W220" si="52">$B157*Q157</f>
        <v>#N/A</v>
      </c>
      <c r="X157" s="74" t="e">
        <f t="shared" ref="X157:X220" si="53">$B157*R157</f>
        <v>#N/A</v>
      </c>
      <c r="Y157" s="74" t="e">
        <f t="shared" ref="Y157:Y220" si="54">$B157*S157</f>
        <v>#N/A</v>
      </c>
    </row>
    <row r="158" spans="1:25">
      <c r="A158" s="88">
        <f>'Batch input'!A157</f>
        <v>0</v>
      </c>
      <c r="B158">
        <f>'Batch input'!B157</f>
        <v>0</v>
      </c>
      <c r="C158" t="e">
        <f>VLOOKUP($A158,Data!$D$3:$CJ$128,30,FALSE)</f>
        <v>#N/A</v>
      </c>
      <c r="D158" s="74" t="e">
        <f>VLOOKUP($A158,Data!$D$3:$CJ$128,64,FALSE)</f>
        <v>#N/A</v>
      </c>
      <c r="E158" s="74" t="e">
        <f>VLOOKUP($A158,Data!$D$3:$CJ$128,66,FALSE)</f>
        <v>#N/A</v>
      </c>
      <c r="F158" s="74" t="e">
        <f>VLOOKUP($A158,Data!$D$3:$CJ$128,67,FALSE)</f>
        <v>#N/A</v>
      </c>
      <c r="G158" s="78" t="e">
        <f>VLOOKUP($A158,Data!$D$3:$CJ$128,68,FALSE)</f>
        <v>#N/A</v>
      </c>
      <c r="H158" s="78" t="e">
        <f>VLOOKUP($A158,Data!$D$3:$CJ$128,69,FALSE)</f>
        <v>#N/A</v>
      </c>
      <c r="I158" s="74" t="e">
        <f>VLOOKUP($A158,Data!$D$3:$CJ$128,70,FALSE)</f>
        <v>#N/A</v>
      </c>
      <c r="J158" s="74" t="e">
        <f>VLOOKUP($A158,Data!$D$3:$CJ$128,71,FALSE)</f>
        <v>#N/A</v>
      </c>
      <c r="K158" s="74" t="e">
        <f>VLOOKUP($A158,Data!$D$3:$CJ$128,72,FALSE)</f>
        <v>#N/A</v>
      </c>
      <c r="L158" s="74" t="e">
        <f>VLOOKUP($A158,Data!$D$3:$CJ$128,73,FALSE)</f>
        <v>#N/A</v>
      </c>
      <c r="M158" s="74" t="e">
        <f>VLOOKUP($A158,Data!$D$3:$CJ$128,74,FALSE)</f>
        <v>#N/A</v>
      </c>
      <c r="N158" s="78" t="e">
        <f t="shared" si="43"/>
        <v>#N/A</v>
      </c>
      <c r="O158" s="78" t="e">
        <f t="shared" si="44"/>
        <v>#N/A</v>
      </c>
      <c r="P158" s="78" t="e">
        <f t="shared" si="45"/>
        <v>#N/A</v>
      </c>
      <c r="Q158" s="78" t="e">
        <f t="shared" si="46"/>
        <v>#N/A</v>
      </c>
      <c r="R158" s="78" t="e">
        <f t="shared" si="47"/>
        <v>#N/A</v>
      </c>
      <c r="S158" s="78" t="e">
        <f t="shared" si="48"/>
        <v>#N/A</v>
      </c>
      <c r="T158" s="74" t="e">
        <f t="shared" si="49"/>
        <v>#N/A</v>
      </c>
      <c r="U158" s="74" t="e">
        <f t="shared" si="50"/>
        <v>#N/A</v>
      </c>
      <c r="V158" s="74" t="e">
        <f t="shared" si="51"/>
        <v>#N/A</v>
      </c>
      <c r="W158" s="74" t="e">
        <f t="shared" si="52"/>
        <v>#N/A</v>
      </c>
      <c r="X158" s="74" t="e">
        <f t="shared" si="53"/>
        <v>#N/A</v>
      </c>
      <c r="Y158" s="74" t="e">
        <f t="shared" si="54"/>
        <v>#N/A</v>
      </c>
    </row>
    <row r="159" spans="1:25">
      <c r="A159" s="88">
        <f>'Batch input'!A158</f>
        <v>0</v>
      </c>
      <c r="B159">
        <f>'Batch input'!B158</f>
        <v>0</v>
      </c>
      <c r="C159" t="e">
        <f>VLOOKUP($A159,Data!$D$3:$CJ$128,30,FALSE)</f>
        <v>#N/A</v>
      </c>
      <c r="D159" s="74" t="e">
        <f>VLOOKUP($A159,Data!$D$3:$CJ$128,64,FALSE)</f>
        <v>#N/A</v>
      </c>
      <c r="E159" s="74" t="e">
        <f>VLOOKUP($A159,Data!$D$3:$CJ$128,66,FALSE)</f>
        <v>#N/A</v>
      </c>
      <c r="F159" s="74" t="e">
        <f>VLOOKUP($A159,Data!$D$3:$CJ$128,67,FALSE)</f>
        <v>#N/A</v>
      </c>
      <c r="G159" s="78" t="e">
        <f>VLOOKUP($A159,Data!$D$3:$CJ$128,68,FALSE)</f>
        <v>#N/A</v>
      </c>
      <c r="H159" s="78" t="e">
        <f>VLOOKUP($A159,Data!$D$3:$CJ$128,69,FALSE)</f>
        <v>#N/A</v>
      </c>
      <c r="I159" s="74" t="e">
        <f>VLOOKUP($A159,Data!$D$3:$CJ$128,70,FALSE)</f>
        <v>#N/A</v>
      </c>
      <c r="J159" s="74" t="e">
        <f>VLOOKUP($A159,Data!$D$3:$CJ$128,71,FALSE)</f>
        <v>#N/A</v>
      </c>
      <c r="K159" s="74" t="e">
        <f>VLOOKUP($A159,Data!$D$3:$CJ$128,72,FALSE)</f>
        <v>#N/A</v>
      </c>
      <c r="L159" s="74" t="e">
        <f>VLOOKUP($A159,Data!$D$3:$CJ$128,73,FALSE)</f>
        <v>#N/A</v>
      </c>
      <c r="M159" s="74" t="e">
        <f>VLOOKUP($A159,Data!$D$3:$CJ$128,74,FALSE)</f>
        <v>#N/A</v>
      </c>
      <c r="N159" s="78" t="e">
        <f t="shared" si="43"/>
        <v>#N/A</v>
      </c>
      <c r="O159" s="78" t="e">
        <f t="shared" si="44"/>
        <v>#N/A</v>
      </c>
      <c r="P159" s="78" t="e">
        <f t="shared" si="45"/>
        <v>#N/A</v>
      </c>
      <c r="Q159" s="78" t="e">
        <f t="shared" si="46"/>
        <v>#N/A</v>
      </c>
      <c r="R159" s="78" t="e">
        <f t="shared" si="47"/>
        <v>#N/A</v>
      </c>
      <c r="S159" s="78" t="e">
        <f t="shared" si="48"/>
        <v>#N/A</v>
      </c>
      <c r="T159" s="74" t="e">
        <f t="shared" si="49"/>
        <v>#N/A</v>
      </c>
      <c r="U159" s="74" t="e">
        <f t="shared" si="50"/>
        <v>#N/A</v>
      </c>
      <c r="V159" s="74" t="e">
        <f t="shared" si="51"/>
        <v>#N/A</v>
      </c>
      <c r="W159" s="74" t="e">
        <f t="shared" si="52"/>
        <v>#N/A</v>
      </c>
      <c r="X159" s="74" t="e">
        <f t="shared" si="53"/>
        <v>#N/A</v>
      </c>
      <c r="Y159" s="74" t="e">
        <f t="shared" si="54"/>
        <v>#N/A</v>
      </c>
    </row>
    <row r="160" spans="1:25">
      <c r="A160" s="88">
        <f>'Batch input'!A159</f>
        <v>0</v>
      </c>
      <c r="B160">
        <f>'Batch input'!B159</f>
        <v>0</v>
      </c>
      <c r="C160" t="e">
        <f>VLOOKUP($A160,Data!$D$3:$CJ$128,30,FALSE)</f>
        <v>#N/A</v>
      </c>
      <c r="D160" s="74" t="e">
        <f>VLOOKUP($A160,Data!$D$3:$CJ$128,64,FALSE)</f>
        <v>#N/A</v>
      </c>
      <c r="E160" s="74" t="e">
        <f>VLOOKUP($A160,Data!$D$3:$CJ$128,66,FALSE)</f>
        <v>#N/A</v>
      </c>
      <c r="F160" s="74" t="e">
        <f>VLOOKUP($A160,Data!$D$3:$CJ$128,67,FALSE)</f>
        <v>#N/A</v>
      </c>
      <c r="G160" s="78" t="e">
        <f>VLOOKUP($A160,Data!$D$3:$CJ$128,68,FALSE)</f>
        <v>#N/A</v>
      </c>
      <c r="H160" s="78" t="e">
        <f>VLOOKUP($A160,Data!$D$3:$CJ$128,69,FALSE)</f>
        <v>#N/A</v>
      </c>
      <c r="I160" s="74" t="e">
        <f>VLOOKUP($A160,Data!$D$3:$CJ$128,70,FALSE)</f>
        <v>#N/A</v>
      </c>
      <c r="J160" s="74" t="e">
        <f>VLOOKUP($A160,Data!$D$3:$CJ$128,71,FALSE)</f>
        <v>#N/A</v>
      </c>
      <c r="K160" s="74" t="e">
        <f>VLOOKUP($A160,Data!$D$3:$CJ$128,72,FALSE)</f>
        <v>#N/A</v>
      </c>
      <c r="L160" s="74" t="e">
        <f>VLOOKUP($A160,Data!$D$3:$CJ$128,73,FALSE)</f>
        <v>#N/A</v>
      </c>
      <c r="M160" s="74" t="e">
        <f>VLOOKUP($A160,Data!$D$3:$CJ$128,74,FALSE)</f>
        <v>#N/A</v>
      </c>
      <c r="N160" s="78" t="e">
        <f t="shared" si="43"/>
        <v>#N/A</v>
      </c>
      <c r="O160" s="78" t="e">
        <f t="shared" si="44"/>
        <v>#N/A</v>
      </c>
      <c r="P160" s="78" t="e">
        <f t="shared" si="45"/>
        <v>#N/A</v>
      </c>
      <c r="Q160" s="78" t="e">
        <f t="shared" si="46"/>
        <v>#N/A</v>
      </c>
      <c r="R160" s="78" t="e">
        <f t="shared" si="47"/>
        <v>#N/A</v>
      </c>
      <c r="S160" s="78" t="e">
        <f t="shared" si="48"/>
        <v>#N/A</v>
      </c>
      <c r="T160" s="74" t="e">
        <f t="shared" si="49"/>
        <v>#N/A</v>
      </c>
      <c r="U160" s="74" t="e">
        <f t="shared" si="50"/>
        <v>#N/A</v>
      </c>
      <c r="V160" s="74" t="e">
        <f t="shared" si="51"/>
        <v>#N/A</v>
      </c>
      <c r="W160" s="74" t="e">
        <f t="shared" si="52"/>
        <v>#N/A</v>
      </c>
      <c r="X160" s="74" t="e">
        <f t="shared" si="53"/>
        <v>#N/A</v>
      </c>
      <c r="Y160" s="74" t="e">
        <f t="shared" si="54"/>
        <v>#N/A</v>
      </c>
    </row>
    <row r="161" spans="1:25">
      <c r="A161" s="88">
        <f>'Batch input'!A160</f>
        <v>0</v>
      </c>
      <c r="B161">
        <f>'Batch input'!B160</f>
        <v>0</v>
      </c>
      <c r="C161" t="e">
        <f>VLOOKUP($A161,Data!$D$3:$CJ$128,30,FALSE)</f>
        <v>#N/A</v>
      </c>
      <c r="D161" s="74" t="e">
        <f>VLOOKUP($A161,Data!$D$3:$CJ$128,64,FALSE)</f>
        <v>#N/A</v>
      </c>
      <c r="E161" s="74" t="e">
        <f>VLOOKUP($A161,Data!$D$3:$CJ$128,66,FALSE)</f>
        <v>#N/A</v>
      </c>
      <c r="F161" s="74" t="e">
        <f>VLOOKUP($A161,Data!$D$3:$CJ$128,67,FALSE)</f>
        <v>#N/A</v>
      </c>
      <c r="G161" s="78" t="e">
        <f>VLOOKUP($A161,Data!$D$3:$CJ$128,68,FALSE)</f>
        <v>#N/A</v>
      </c>
      <c r="H161" s="78" t="e">
        <f>VLOOKUP($A161,Data!$D$3:$CJ$128,69,FALSE)</f>
        <v>#N/A</v>
      </c>
      <c r="I161" s="74" t="e">
        <f>VLOOKUP($A161,Data!$D$3:$CJ$128,70,FALSE)</f>
        <v>#N/A</v>
      </c>
      <c r="J161" s="74" t="e">
        <f>VLOOKUP($A161,Data!$D$3:$CJ$128,71,FALSE)</f>
        <v>#N/A</v>
      </c>
      <c r="K161" s="74" t="e">
        <f>VLOOKUP($A161,Data!$D$3:$CJ$128,72,FALSE)</f>
        <v>#N/A</v>
      </c>
      <c r="L161" s="74" t="e">
        <f>VLOOKUP($A161,Data!$D$3:$CJ$128,73,FALSE)</f>
        <v>#N/A</v>
      </c>
      <c r="M161" s="74" t="e">
        <f>VLOOKUP($A161,Data!$D$3:$CJ$128,74,FALSE)</f>
        <v>#N/A</v>
      </c>
      <c r="N161" s="78" t="e">
        <f t="shared" si="43"/>
        <v>#N/A</v>
      </c>
      <c r="O161" s="78" t="e">
        <f t="shared" si="44"/>
        <v>#N/A</v>
      </c>
      <c r="P161" s="78" t="e">
        <f t="shared" si="45"/>
        <v>#N/A</v>
      </c>
      <c r="Q161" s="78" t="e">
        <f t="shared" si="46"/>
        <v>#N/A</v>
      </c>
      <c r="R161" s="78" t="e">
        <f t="shared" si="47"/>
        <v>#N/A</v>
      </c>
      <c r="S161" s="78" t="e">
        <f t="shared" si="48"/>
        <v>#N/A</v>
      </c>
      <c r="T161" s="74" t="e">
        <f t="shared" si="49"/>
        <v>#N/A</v>
      </c>
      <c r="U161" s="74" t="e">
        <f t="shared" si="50"/>
        <v>#N/A</v>
      </c>
      <c r="V161" s="74" t="e">
        <f t="shared" si="51"/>
        <v>#N/A</v>
      </c>
      <c r="W161" s="74" t="e">
        <f t="shared" si="52"/>
        <v>#N/A</v>
      </c>
      <c r="X161" s="74" t="e">
        <f t="shared" si="53"/>
        <v>#N/A</v>
      </c>
      <c r="Y161" s="74" t="e">
        <f t="shared" si="54"/>
        <v>#N/A</v>
      </c>
    </row>
    <row r="162" spans="1:25">
      <c r="A162" s="88">
        <f>'Batch input'!A161</f>
        <v>0</v>
      </c>
      <c r="B162">
        <f>'Batch input'!B161</f>
        <v>0</v>
      </c>
      <c r="C162" t="e">
        <f>VLOOKUP($A162,Data!$D$3:$CJ$128,30,FALSE)</f>
        <v>#N/A</v>
      </c>
      <c r="D162" s="74" t="e">
        <f>VLOOKUP($A162,Data!$D$3:$CJ$128,64,FALSE)</f>
        <v>#N/A</v>
      </c>
      <c r="E162" s="74" t="e">
        <f>VLOOKUP($A162,Data!$D$3:$CJ$128,66,FALSE)</f>
        <v>#N/A</v>
      </c>
      <c r="F162" s="74" t="e">
        <f>VLOOKUP($A162,Data!$D$3:$CJ$128,67,FALSE)</f>
        <v>#N/A</v>
      </c>
      <c r="G162" s="78" t="e">
        <f>VLOOKUP($A162,Data!$D$3:$CJ$128,68,FALSE)</f>
        <v>#N/A</v>
      </c>
      <c r="H162" s="78" t="e">
        <f>VLOOKUP($A162,Data!$D$3:$CJ$128,69,FALSE)</f>
        <v>#N/A</v>
      </c>
      <c r="I162" s="74" t="e">
        <f>VLOOKUP($A162,Data!$D$3:$CJ$128,70,FALSE)</f>
        <v>#N/A</v>
      </c>
      <c r="J162" s="74" t="e">
        <f>VLOOKUP($A162,Data!$D$3:$CJ$128,71,FALSE)</f>
        <v>#N/A</v>
      </c>
      <c r="K162" s="74" t="e">
        <f>VLOOKUP($A162,Data!$D$3:$CJ$128,72,FALSE)</f>
        <v>#N/A</v>
      </c>
      <c r="L162" s="74" t="e">
        <f>VLOOKUP($A162,Data!$D$3:$CJ$128,73,FALSE)</f>
        <v>#N/A</v>
      </c>
      <c r="M162" s="74" t="e">
        <f>VLOOKUP($A162,Data!$D$3:$CJ$128,74,FALSE)</f>
        <v>#N/A</v>
      </c>
      <c r="N162" s="78" t="e">
        <f t="shared" si="43"/>
        <v>#N/A</v>
      </c>
      <c r="O162" s="78" t="e">
        <f t="shared" si="44"/>
        <v>#N/A</v>
      </c>
      <c r="P162" s="78" t="e">
        <f t="shared" si="45"/>
        <v>#N/A</v>
      </c>
      <c r="Q162" s="78" t="e">
        <f t="shared" si="46"/>
        <v>#N/A</v>
      </c>
      <c r="R162" s="78" t="e">
        <f t="shared" si="47"/>
        <v>#N/A</v>
      </c>
      <c r="S162" s="78" t="e">
        <f t="shared" si="48"/>
        <v>#N/A</v>
      </c>
      <c r="T162" s="74" t="e">
        <f t="shared" si="49"/>
        <v>#N/A</v>
      </c>
      <c r="U162" s="74" t="e">
        <f t="shared" si="50"/>
        <v>#N/A</v>
      </c>
      <c r="V162" s="74" t="e">
        <f t="shared" si="51"/>
        <v>#N/A</v>
      </c>
      <c r="W162" s="74" t="e">
        <f t="shared" si="52"/>
        <v>#N/A</v>
      </c>
      <c r="X162" s="74" t="e">
        <f t="shared" si="53"/>
        <v>#N/A</v>
      </c>
      <c r="Y162" s="74" t="e">
        <f t="shared" si="54"/>
        <v>#N/A</v>
      </c>
    </row>
    <row r="163" spans="1:25">
      <c r="A163" s="88">
        <f>'Batch input'!A162</f>
        <v>0</v>
      </c>
      <c r="B163">
        <f>'Batch input'!B162</f>
        <v>0</v>
      </c>
      <c r="C163" t="e">
        <f>VLOOKUP($A163,Data!$D$3:$CJ$128,30,FALSE)</f>
        <v>#N/A</v>
      </c>
      <c r="D163" s="74" t="e">
        <f>VLOOKUP($A163,Data!$D$3:$CJ$128,64,FALSE)</f>
        <v>#N/A</v>
      </c>
      <c r="E163" s="74" t="e">
        <f>VLOOKUP($A163,Data!$D$3:$CJ$128,66,FALSE)</f>
        <v>#N/A</v>
      </c>
      <c r="F163" s="74" t="e">
        <f>VLOOKUP($A163,Data!$D$3:$CJ$128,67,FALSE)</f>
        <v>#N/A</v>
      </c>
      <c r="G163" s="78" t="e">
        <f>VLOOKUP($A163,Data!$D$3:$CJ$128,68,FALSE)</f>
        <v>#N/A</v>
      </c>
      <c r="H163" s="78" t="e">
        <f>VLOOKUP($A163,Data!$D$3:$CJ$128,69,FALSE)</f>
        <v>#N/A</v>
      </c>
      <c r="I163" s="74" t="e">
        <f>VLOOKUP($A163,Data!$D$3:$CJ$128,70,FALSE)</f>
        <v>#N/A</v>
      </c>
      <c r="J163" s="74" t="e">
        <f>VLOOKUP($A163,Data!$D$3:$CJ$128,71,FALSE)</f>
        <v>#N/A</v>
      </c>
      <c r="K163" s="74" t="e">
        <f>VLOOKUP($A163,Data!$D$3:$CJ$128,72,FALSE)</f>
        <v>#N/A</v>
      </c>
      <c r="L163" s="74" t="e">
        <f>VLOOKUP($A163,Data!$D$3:$CJ$128,73,FALSE)</f>
        <v>#N/A</v>
      </c>
      <c r="M163" s="74" t="e">
        <f>VLOOKUP($A163,Data!$D$3:$CJ$128,74,FALSE)</f>
        <v>#N/A</v>
      </c>
      <c r="N163" s="78" t="e">
        <f t="shared" si="43"/>
        <v>#N/A</v>
      </c>
      <c r="O163" s="78" t="e">
        <f t="shared" si="44"/>
        <v>#N/A</v>
      </c>
      <c r="P163" s="78" t="e">
        <f t="shared" si="45"/>
        <v>#N/A</v>
      </c>
      <c r="Q163" s="78" t="e">
        <f t="shared" si="46"/>
        <v>#N/A</v>
      </c>
      <c r="R163" s="78" t="e">
        <f t="shared" si="47"/>
        <v>#N/A</v>
      </c>
      <c r="S163" s="78" t="e">
        <f t="shared" si="48"/>
        <v>#N/A</v>
      </c>
      <c r="T163" s="74" t="e">
        <f t="shared" si="49"/>
        <v>#N/A</v>
      </c>
      <c r="U163" s="74" t="e">
        <f t="shared" si="50"/>
        <v>#N/A</v>
      </c>
      <c r="V163" s="74" t="e">
        <f t="shared" si="51"/>
        <v>#N/A</v>
      </c>
      <c r="W163" s="74" t="e">
        <f t="shared" si="52"/>
        <v>#N/A</v>
      </c>
      <c r="X163" s="74" t="e">
        <f t="shared" si="53"/>
        <v>#N/A</v>
      </c>
      <c r="Y163" s="74" t="e">
        <f t="shared" si="54"/>
        <v>#N/A</v>
      </c>
    </row>
    <row r="164" spans="1:25">
      <c r="A164" s="88">
        <f>'Batch input'!A163</f>
        <v>0</v>
      </c>
      <c r="B164">
        <f>'Batch input'!B163</f>
        <v>0</v>
      </c>
      <c r="C164" t="e">
        <f>VLOOKUP($A164,Data!$D$3:$CJ$128,30,FALSE)</f>
        <v>#N/A</v>
      </c>
      <c r="D164" s="74" t="e">
        <f>VLOOKUP($A164,Data!$D$3:$CJ$128,64,FALSE)</f>
        <v>#N/A</v>
      </c>
      <c r="E164" s="74" t="e">
        <f>VLOOKUP($A164,Data!$D$3:$CJ$128,66,FALSE)</f>
        <v>#N/A</v>
      </c>
      <c r="F164" s="74" t="e">
        <f>VLOOKUP($A164,Data!$D$3:$CJ$128,67,FALSE)</f>
        <v>#N/A</v>
      </c>
      <c r="G164" s="78" t="e">
        <f>VLOOKUP($A164,Data!$D$3:$CJ$128,68,FALSE)</f>
        <v>#N/A</v>
      </c>
      <c r="H164" s="78" t="e">
        <f>VLOOKUP($A164,Data!$D$3:$CJ$128,69,FALSE)</f>
        <v>#N/A</v>
      </c>
      <c r="I164" s="74" t="e">
        <f>VLOOKUP($A164,Data!$D$3:$CJ$128,70,FALSE)</f>
        <v>#N/A</v>
      </c>
      <c r="J164" s="74" t="e">
        <f>VLOOKUP($A164,Data!$D$3:$CJ$128,71,FALSE)</f>
        <v>#N/A</v>
      </c>
      <c r="K164" s="74" t="e">
        <f>VLOOKUP($A164,Data!$D$3:$CJ$128,72,FALSE)</f>
        <v>#N/A</v>
      </c>
      <c r="L164" s="74" t="e">
        <f>VLOOKUP($A164,Data!$D$3:$CJ$128,73,FALSE)</f>
        <v>#N/A</v>
      </c>
      <c r="M164" s="74" t="e">
        <f>VLOOKUP($A164,Data!$D$3:$CJ$128,74,FALSE)</f>
        <v>#N/A</v>
      </c>
      <c r="N164" s="78" t="e">
        <f t="shared" si="43"/>
        <v>#N/A</v>
      </c>
      <c r="O164" s="78" t="e">
        <f t="shared" si="44"/>
        <v>#N/A</v>
      </c>
      <c r="P164" s="78" t="e">
        <f t="shared" si="45"/>
        <v>#N/A</v>
      </c>
      <c r="Q164" s="78" t="e">
        <f t="shared" si="46"/>
        <v>#N/A</v>
      </c>
      <c r="R164" s="78" t="e">
        <f t="shared" si="47"/>
        <v>#N/A</v>
      </c>
      <c r="S164" s="78" t="e">
        <f t="shared" si="48"/>
        <v>#N/A</v>
      </c>
      <c r="T164" s="74" t="e">
        <f t="shared" si="49"/>
        <v>#N/A</v>
      </c>
      <c r="U164" s="74" t="e">
        <f t="shared" si="50"/>
        <v>#N/A</v>
      </c>
      <c r="V164" s="74" t="e">
        <f t="shared" si="51"/>
        <v>#N/A</v>
      </c>
      <c r="W164" s="74" t="e">
        <f t="shared" si="52"/>
        <v>#N/A</v>
      </c>
      <c r="X164" s="74" t="e">
        <f t="shared" si="53"/>
        <v>#N/A</v>
      </c>
      <c r="Y164" s="74" t="e">
        <f t="shared" si="54"/>
        <v>#N/A</v>
      </c>
    </row>
    <row r="165" spans="1:25">
      <c r="A165" s="88">
        <f>'Batch input'!A164</f>
        <v>0</v>
      </c>
      <c r="B165">
        <f>'Batch input'!B164</f>
        <v>0</v>
      </c>
      <c r="C165" t="e">
        <f>VLOOKUP($A165,Data!$D$3:$CJ$128,30,FALSE)</f>
        <v>#N/A</v>
      </c>
      <c r="D165" s="74" t="e">
        <f>VLOOKUP($A165,Data!$D$3:$CJ$128,64,FALSE)</f>
        <v>#N/A</v>
      </c>
      <c r="E165" s="74" t="e">
        <f>VLOOKUP($A165,Data!$D$3:$CJ$128,66,FALSE)</f>
        <v>#N/A</v>
      </c>
      <c r="F165" s="74" t="e">
        <f>VLOOKUP($A165,Data!$D$3:$CJ$128,67,FALSE)</f>
        <v>#N/A</v>
      </c>
      <c r="G165" s="78" t="e">
        <f>VLOOKUP($A165,Data!$D$3:$CJ$128,68,FALSE)</f>
        <v>#N/A</v>
      </c>
      <c r="H165" s="78" t="e">
        <f>VLOOKUP($A165,Data!$D$3:$CJ$128,69,FALSE)</f>
        <v>#N/A</v>
      </c>
      <c r="I165" s="74" t="e">
        <f>VLOOKUP($A165,Data!$D$3:$CJ$128,70,FALSE)</f>
        <v>#N/A</v>
      </c>
      <c r="J165" s="74" t="e">
        <f>VLOOKUP($A165,Data!$D$3:$CJ$128,71,FALSE)</f>
        <v>#N/A</v>
      </c>
      <c r="K165" s="74" t="e">
        <f>VLOOKUP($A165,Data!$D$3:$CJ$128,72,FALSE)</f>
        <v>#N/A</v>
      </c>
      <c r="L165" s="74" t="e">
        <f>VLOOKUP($A165,Data!$D$3:$CJ$128,73,FALSE)</f>
        <v>#N/A</v>
      </c>
      <c r="M165" s="74" t="e">
        <f>VLOOKUP($A165,Data!$D$3:$CJ$128,74,FALSE)</f>
        <v>#N/A</v>
      </c>
      <c r="N165" s="78" t="e">
        <f t="shared" si="43"/>
        <v>#N/A</v>
      </c>
      <c r="O165" s="78" t="e">
        <f t="shared" si="44"/>
        <v>#N/A</v>
      </c>
      <c r="P165" s="78" t="e">
        <f t="shared" si="45"/>
        <v>#N/A</v>
      </c>
      <c r="Q165" s="78" t="e">
        <f t="shared" si="46"/>
        <v>#N/A</v>
      </c>
      <c r="R165" s="78" t="e">
        <f t="shared" si="47"/>
        <v>#N/A</v>
      </c>
      <c r="S165" s="78" t="e">
        <f t="shared" si="48"/>
        <v>#N/A</v>
      </c>
      <c r="T165" s="74" t="e">
        <f t="shared" si="49"/>
        <v>#N/A</v>
      </c>
      <c r="U165" s="74" t="e">
        <f t="shared" si="50"/>
        <v>#N/A</v>
      </c>
      <c r="V165" s="74" t="e">
        <f t="shared" si="51"/>
        <v>#N/A</v>
      </c>
      <c r="W165" s="74" t="e">
        <f t="shared" si="52"/>
        <v>#N/A</v>
      </c>
      <c r="X165" s="74" t="e">
        <f t="shared" si="53"/>
        <v>#N/A</v>
      </c>
      <c r="Y165" s="74" t="e">
        <f t="shared" si="54"/>
        <v>#N/A</v>
      </c>
    </row>
    <row r="166" spans="1:25">
      <c r="A166" s="88">
        <f>'Batch input'!A165</f>
        <v>0</v>
      </c>
      <c r="B166">
        <f>'Batch input'!B165</f>
        <v>0</v>
      </c>
      <c r="C166" t="e">
        <f>VLOOKUP($A166,Data!$D$3:$CJ$128,30,FALSE)</f>
        <v>#N/A</v>
      </c>
      <c r="D166" s="74" t="e">
        <f>VLOOKUP($A166,Data!$D$3:$CJ$128,64,FALSE)</f>
        <v>#N/A</v>
      </c>
      <c r="E166" s="74" t="e">
        <f>VLOOKUP($A166,Data!$D$3:$CJ$128,66,FALSE)</f>
        <v>#N/A</v>
      </c>
      <c r="F166" s="74" t="e">
        <f>VLOOKUP($A166,Data!$D$3:$CJ$128,67,FALSE)</f>
        <v>#N/A</v>
      </c>
      <c r="G166" s="78" t="e">
        <f>VLOOKUP($A166,Data!$D$3:$CJ$128,68,FALSE)</f>
        <v>#N/A</v>
      </c>
      <c r="H166" s="78" t="e">
        <f>VLOOKUP($A166,Data!$D$3:$CJ$128,69,FALSE)</f>
        <v>#N/A</v>
      </c>
      <c r="I166" s="74" t="e">
        <f>VLOOKUP($A166,Data!$D$3:$CJ$128,70,FALSE)</f>
        <v>#N/A</v>
      </c>
      <c r="J166" s="74" t="e">
        <f>VLOOKUP($A166,Data!$D$3:$CJ$128,71,FALSE)</f>
        <v>#N/A</v>
      </c>
      <c r="K166" s="74" t="e">
        <f>VLOOKUP($A166,Data!$D$3:$CJ$128,72,FALSE)</f>
        <v>#N/A</v>
      </c>
      <c r="L166" s="74" t="e">
        <f>VLOOKUP($A166,Data!$D$3:$CJ$128,73,FALSE)</f>
        <v>#N/A</v>
      </c>
      <c r="M166" s="74" t="e">
        <f>VLOOKUP($A166,Data!$D$3:$CJ$128,74,FALSE)</f>
        <v>#N/A</v>
      </c>
      <c r="N166" s="78" t="e">
        <f t="shared" si="43"/>
        <v>#N/A</v>
      </c>
      <c r="O166" s="78" t="e">
        <f t="shared" si="44"/>
        <v>#N/A</v>
      </c>
      <c r="P166" s="78" t="e">
        <f t="shared" si="45"/>
        <v>#N/A</v>
      </c>
      <c r="Q166" s="78" t="e">
        <f t="shared" si="46"/>
        <v>#N/A</v>
      </c>
      <c r="R166" s="78" t="e">
        <f t="shared" si="47"/>
        <v>#N/A</v>
      </c>
      <c r="S166" s="78" t="e">
        <f t="shared" si="48"/>
        <v>#N/A</v>
      </c>
      <c r="T166" s="74" t="e">
        <f t="shared" si="49"/>
        <v>#N/A</v>
      </c>
      <c r="U166" s="74" t="e">
        <f t="shared" si="50"/>
        <v>#N/A</v>
      </c>
      <c r="V166" s="74" t="e">
        <f t="shared" si="51"/>
        <v>#N/A</v>
      </c>
      <c r="W166" s="74" t="e">
        <f t="shared" si="52"/>
        <v>#N/A</v>
      </c>
      <c r="X166" s="74" t="e">
        <f t="shared" si="53"/>
        <v>#N/A</v>
      </c>
      <c r="Y166" s="74" t="e">
        <f t="shared" si="54"/>
        <v>#N/A</v>
      </c>
    </row>
    <row r="167" spans="1:25">
      <c r="A167" s="88">
        <f>'Batch input'!A166</f>
        <v>0</v>
      </c>
      <c r="B167">
        <f>'Batch input'!B166</f>
        <v>0</v>
      </c>
      <c r="C167" t="e">
        <f>VLOOKUP($A167,Data!$D$3:$CJ$128,30,FALSE)</f>
        <v>#N/A</v>
      </c>
      <c r="D167" s="74" t="e">
        <f>VLOOKUP($A167,Data!$D$3:$CJ$128,64,FALSE)</f>
        <v>#N/A</v>
      </c>
      <c r="E167" s="74" t="e">
        <f>VLOOKUP($A167,Data!$D$3:$CJ$128,66,FALSE)</f>
        <v>#N/A</v>
      </c>
      <c r="F167" s="74" t="e">
        <f>VLOOKUP($A167,Data!$D$3:$CJ$128,67,FALSE)</f>
        <v>#N/A</v>
      </c>
      <c r="G167" s="78" t="e">
        <f>VLOOKUP($A167,Data!$D$3:$CJ$128,68,FALSE)</f>
        <v>#N/A</v>
      </c>
      <c r="H167" s="78" t="e">
        <f>VLOOKUP($A167,Data!$D$3:$CJ$128,69,FALSE)</f>
        <v>#N/A</v>
      </c>
      <c r="I167" s="74" t="e">
        <f>VLOOKUP($A167,Data!$D$3:$CJ$128,70,FALSE)</f>
        <v>#N/A</v>
      </c>
      <c r="J167" s="74" t="e">
        <f>VLOOKUP($A167,Data!$D$3:$CJ$128,71,FALSE)</f>
        <v>#N/A</v>
      </c>
      <c r="K167" s="74" t="e">
        <f>VLOOKUP($A167,Data!$D$3:$CJ$128,72,FALSE)</f>
        <v>#N/A</v>
      </c>
      <c r="L167" s="74" t="e">
        <f>VLOOKUP($A167,Data!$D$3:$CJ$128,73,FALSE)</f>
        <v>#N/A</v>
      </c>
      <c r="M167" s="74" t="e">
        <f>VLOOKUP($A167,Data!$D$3:$CJ$128,74,FALSE)</f>
        <v>#N/A</v>
      </c>
      <c r="N167" s="78" t="e">
        <f t="shared" si="43"/>
        <v>#N/A</v>
      </c>
      <c r="O167" s="78" t="e">
        <f t="shared" si="44"/>
        <v>#N/A</v>
      </c>
      <c r="P167" s="78" t="e">
        <f t="shared" si="45"/>
        <v>#N/A</v>
      </c>
      <c r="Q167" s="78" t="e">
        <f t="shared" si="46"/>
        <v>#N/A</v>
      </c>
      <c r="R167" s="78" t="e">
        <f t="shared" si="47"/>
        <v>#N/A</v>
      </c>
      <c r="S167" s="78" t="e">
        <f t="shared" si="48"/>
        <v>#N/A</v>
      </c>
      <c r="T167" s="74" t="e">
        <f t="shared" si="49"/>
        <v>#N/A</v>
      </c>
      <c r="U167" s="74" t="e">
        <f t="shared" si="50"/>
        <v>#N/A</v>
      </c>
      <c r="V167" s="74" t="e">
        <f t="shared" si="51"/>
        <v>#N/A</v>
      </c>
      <c r="W167" s="74" t="e">
        <f t="shared" si="52"/>
        <v>#N/A</v>
      </c>
      <c r="X167" s="74" t="e">
        <f t="shared" si="53"/>
        <v>#N/A</v>
      </c>
      <c r="Y167" s="74" t="e">
        <f t="shared" si="54"/>
        <v>#N/A</v>
      </c>
    </row>
    <row r="168" spans="1:25">
      <c r="A168" s="88">
        <f>'Batch input'!A167</f>
        <v>0</v>
      </c>
      <c r="B168">
        <f>'Batch input'!B167</f>
        <v>0</v>
      </c>
      <c r="C168" t="e">
        <f>VLOOKUP($A168,Data!$D$3:$CJ$128,30,FALSE)</f>
        <v>#N/A</v>
      </c>
      <c r="D168" s="74" t="e">
        <f>VLOOKUP($A168,Data!$D$3:$CJ$128,64,FALSE)</f>
        <v>#N/A</v>
      </c>
      <c r="E168" s="74" t="e">
        <f>VLOOKUP($A168,Data!$D$3:$CJ$128,66,FALSE)</f>
        <v>#N/A</v>
      </c>
      <c r="F168" s="74" t="e">
        <f>VLOOKUP($A168,Data!$D$3:$CJ$128,67,FALSE)</f>
        <v>#N/A</v>
      </c>
      <c r="G168" s="78" t="e">
        <f>VLOOKUP($A168,Data!$D$3:$CJ$128,68,FALSE)</f>
        <v>#N/A</v>
      </c>
      <c r="H168" s="78" t="e">
        <f>VLOOKUP($A168,Data!$D$3:$CJ$128,69,FALSE)</f>
        <v>#N/A</v>
      </c>
      <c r="I168" s="74" t="e">
        <f>VLOOKUP($A168,Data!$D$3:$CJ$128,70,FALSE)</f>
        <v>#N/A</v>
      </c>
      <c r="J168" s="74" t="e">
        <f>VLOOKUP($A168,Data!$D$3:$CJ$128,71,FALSE)</f>
        <v>#N/A</v>
      </c>
      <c r="K168" s="74" t="e">
        <f>VLOOKUP($A168,Data!$D$3:$CJ$128,72,FALSE)</f>
        <v>#N/A</v>
      </c>
      <c r="L168" s="74" t="e">
        <f>VLOOKUP($A168,Data!$D$3:$CJ$128,73,FALSE)</f>
        <v>#N/A</v>
      </c>
      <c r="M168" s="74" t="e">
        <f>VLOOKUP($A168,Data!$D$3:$CJ$128,74,FALSE)</f>
        <v>#N/A</v>
      </c>
      <c r="N168" s="78" t="e">
        <f t="shared" si="43"/>
        <v>#N/A</v>
      </c>
      <c r="O168" s="78" t="e">
        <f t="shared" si="44"/>
        <v>#N/A</v>
      </c>
      <c r="P168" s="78" t="e">
        <f t="shared" si="45"/>
        <v>#N/A</v>
      </c>
      <c r="Q168" s="78" t="e">
        <f t="shared" si="46"/>
        <v>#N/A</v>
      </c>
      <c r="R168" s="78" t="e">
        <f t="shared" si="47"/>
        <v>#N/A</v>
      </c>
      <c r="S168" s="78" t="e">
        <f t="shared" si="48"/>
        <v>#N/A</v>
      </c>
      <c r="T168" s="74" t="e">
        <f t="shared" si="49"/>
        <v>#N/A</v>
      </c>
      <c r="U168" s="74" t="e">
        <f t="shared" si="50"/>
        <v>#N/A</v>
      </c>
      <c r="V168" s="74" t="e">
        <f t="shared" si="51"/>
        <v>#N/A</v>
      </c>
      <c r="W168" s="74" t="e">
        <f t="shared" si="52"/>
        <v>#N/A</v>
      </c>
      <c r="X168" s="74" t="e">
        <f t="shared" si="53"/>
        <v>#N/A</v>
      </c>
      <c r="Y168" s="74" t="e">
        <f t="shared" si="54"/>
        <v>#N/A</v>
      </c>
    </row>
    <row r="169" spans="1:25">
      <c r="A169" s="88">
        <f>'Batch input'!A168</f>
        <v>0</v>
      </c>
      <c r="B169">
        <f>'Batch input'!B168</f>
        <v>0</v>
      </c>
      <c r="C169" t="e">
        <f>VLOOKUP($A169,Data!$D$3:$CJ$128,30,FALSE)</f>
        <v>#N/A</v>
      </c>
      <c r="D169" s="74" t="e">
        <f>VLOOKUP($A169,Data!$D$3:$CJ$128,64,FALSE)</f>
        <v>#N/A</v>
      </c>
      <c r="E169" s="74" t="e">
        <f>VLOOKUP($A169,Data!$D$3:$CJ$128,66,FALSE)</f>
        <v>#N/A</v>
      </c>
      <c r="F169" s="74" t="e">
        <f>VLOOKUP($A169,Data!$D$3:$CJ$128,67,FALSE)</f>
        <v>#N/A</v>
      </c>
      <c r="G169" s="78" t="e">
        <f>VLOOKUP($A169,Data!$D$3:$CJ$128,68,FALSE)</f>
        <v>#N/A</v>
      </c>
      <c r="H169" s="78" t="e">
        <f>VLOOKUP($A169,Data!$D$3:$CJ$128,69,FALSE)</f>
        <v>#N/A</v>
      </c>
      <c r="I169" s="74" t="e">
        <f>VLOOKUP($A169,Data!$D$3:$CJ$128,70,FALSE)</f>
        <v>#N/A</v>
      </c>
      <c r="J169" s="74" t="e">
        <f>VLOOKUP($A169,Data!$D$3:$CJ$128,71,FALSE)</f>
        <v>#N/A</v>
      </c>
      <c r="K169" s="74" t="e">
        <f>VLOOKUP($A169,Data!$D$3:$CJ$128,72,FALSE)</f>
        <v>#N/A</v>
      </c>
      <c r="L169" s="74" t="e">
        <f>VLOOKUP($A169,Data!$D$3:$CJ$128,73,FALSE)</f>
        <v>#N/A</v>
      </c>
      <c r="M169" s="74" t="e">
        <f>VLOOKUP($A169,Data!$D$3:$CJ$128,74,FALSE)</f>
        <v>#N/A</v>
      </c>
      <c r="N169" s="78" t="e">
        <f t="shared" si="43"/>
        <v>#N/A</v>
      </c>
      <c r="O169" s="78" t="e">
        <f t="shared" si="44"/>
        <v>#N/A</v>
      </c>
      <c r="P169" s="78" t="e">
        <f t="shared" si="45"/>
        <v>#N/A</v>
      </c>
      <c r="Q169" s="78" t="e">
        <f t="shared" si="46"/>
        <v>#N/A</v>
      </c>
      <c r="R169" s="78" t="e">
        <f t="shared" si="47"/>
        <v>#N/A</v>
      </c>
      <c r="S169" s="78" t="e">
        <f t="shared" si="48"/>
        <v>#N/A</v>
      </c>
      <c r="T169" s="74" t="e">
        <f t="shared" si="49"/>
        <v>#N/A</v>
      </c>
      <c r="U169" s="74" t="e">
        <f t="shared" si="50"/>
        <v>#N/A</v>
      </c>
      <c r="V169" s="74" t="e">
        <f t="shared" si="51"/>
        <v>#N/A</v>
      </c>
      <c r="W169" s="74" t="e">
        <f t="shared" si="52"/>
        <v>#N/A</v>
      </c>
      <c r="X169" s="74" t="e">
        <f t="shared" si="53"/>
        <v>#N/A</v>
      </c>
      <c r="Y169" s="74" t="e">
        <f t="shared" si="54"/>
        <v>#N/A</v>
      </c>
    </row>
    <row r="170" spans="1:25">
      <c r="A170" s="88">
        <f>'Batch input'!A169</f>
        <v>0</v>
      </c>
      <c r="B170">
        <f>'Batch input'!B169</f>
        <v>0</v>
      </c>
      <c r="C170" t="e">
        <f>VLOOKUP($A170,Data!$D$3:$CJ$128,30,FALSE)</f>
        <v>#N/A</v>
      </c>
      <c r="D170" s="74" t="e">
        <f>VLOOKUP($A170,Data!$D$3:$CJ$128,64,FALSE)</f>
        <v>#N/A</v>
      </c>
      <c r="E170" s="74" t="e">
        <f>VLOOKUP($A170,Data!$D$3:$CJ$128,66,FALSE)</f>
        <v>#N/A</v>
      </c>
      <c r="F170" s="74" t="e">
        <f>VLOOKUP($A170,Data!$D$3:$CJ$128,67,FALSE)</f>
        <v>#N/A</v>
      </c>
      <c r="G170" s="78" t="e">
        <f>VLOOKUP($A170,Data!$D$3:$CJ$128,68,FALSE)</f>
        <v>#N/A</v>
      </c>
      <c r="H170" s="78" t="e">
        <f>VLOOKUP($A170,Data!$D$3:$CJ$128,69,FALSE)</f>
        <v>#N/A</v>
      </c>
      <c r="I170" s="74" t="e">
        <f>VLOOKUP($A170,Data!$D$3:$CJ$128,70,FALSE)</f>
        <v>#N/A</v>
      </c>
      <c r="J170" s="74" t="e">
        <f>VLOOKUP($A170,Data!$D$3:$CJ$128,71,FALSE)</f>
        <v>#N/A</v>
      </c>
      <c r="K170" s="74" t="e">
        <f>VLOOKUP($A170,Data!$D$3:$CJ$128,72,FALSE)</f>
        <v>#N/A</v>
      </c>
      <c r="L170" s="74" t="e">
        <f>VLOOKUP($A170,Data!$D$3:$CJ$128,73,FALSE)</f>
        <v>#N/A</v>
      </c>
      <c r="M170" s="74" t="e">
        <f>VLOOKUP($A170,Data!$D$3:$CJ$128,74,FALSE)</f>
        <v>#N/A</v>
      </c>
      <c r="N170" s="78" t="e">
        <f t="shared" si="43"/>
        <v>#N/A</v>
      </c>
      <c r="O170" s="78" t="e">
        <f t="shared" si="44"/>
        <v>#N/A</v>
      </c>
      <c r="P170" s="78" t="e">
        <f t="shared" si="45"/>
        <v>#N/A</v>
      </c>
      <c r="Q170" s="78" t="e">
        <f t="shared" si="46"/>
        <v>#N/A</v>
      </c>
      <c r="R170" s="78" t="e">
        <f t="shared" si="47"/>
        <v>#N/A</v>
      </c>
      <c r="S170" s="78" t="e">
        <f t="shared" si="48"/>
        <v>#N/A</v>
      </c>
      <c r="T170" s="74" t="e">
        <f t="shared" si="49"/>
        <v>#N/A</v>
      </c>
      <c r="U170" s="74" t="e">
        <f t="shared" si="50"/>
        <v>#N/A</v>
      </c>
      <c r="V170" s="74" t="e">
        <f t="shared" si="51"/>
        <v>#N/A</v>
      </c>
      <c r="W170" s="74" t="e">
        <f t="shared" si="52"/>
        <v>#N/A</v>
      </c>
      <c r="X170" s="74" t="e">
        <f t="shared" si="53"/>
        <v>#N/A</v>
      </c>
      <c r="Y170" s="74" t="e">
        <f t="shared" si="54"/>
        <v>#N/A</v>
      </c>
    </row>
    <row r="171" spans="1:25">
      <c r="A171" s="88">
        <f>'Batch input'!A170</f>
        <v>0</v>
      </c>
      <c r="B171">
        <f>'Batch input'!B170</f>
        <v>0</v>
      </c>
      <c r="C171" t="e">
        <f>VLOOKUP($A171,Data!$D$3:$CJ$128,30,FALSE)</f>
        <v>#N/A</v>
      </c>
      <c r="D171" s="74" t="e">
        <f>VLOOKUP($A171,Data!$D$3:$CJ$128,64,FALSE)</f>
        <v>#N/A</v>
      </c>
      <c r="E171" s="74" t="e">
        <f>VLOOKUP($A171,Data!$D$3:$CJ$128,66,FALSE)</f>
        <v>#N/A</v>
      </c>
      <c r="F171" s="74" t="e">
        <f>VLOOKUP($A171,Data!$D$3:$CJ$128,67,FALSE)</f>
        <v>#N/A</v>
      </c>
      <c r="G171" s="78" t="e">
        <f>VLOOKUP($A171,Data!$D$3:$CJ$128,68,FALSE)</f>
        <v>#N/A</v>
      </c>
      <c r="H171" s="78" t="e">
        <f>VLOOKUP($A171,Data!$D$3:$CJ$128,69,FALSE)</f>
        <v>#N/A</v>
      </c>
      <c r="I171" s="74" t="e">
        <f>VLOOKUP($A171,Data!$D$3:$CJ$128,70,FALSE)</f>
        <v>#N/A</v>
      </c>
      <c r="J171" s="74" t="e">
        <f>VLOOKUP($A171,Data!$D$3:$CJ$128,71,FALSE)</f>
        <v>#N/A</v>
      </c>
      <c r="K171" s="74" t="e">
        <f>VLOOKUP($A171,Data!$D$3:$CJ$128,72,FALSE)</f>
        <v>#N/A</v>
      </c>
      <c r="L171" s="74" t="e">
        <f>VLOOKUP($A171,Data!$D$3:$CJ$128,73,FALSE)</f>
        <v>#N/A</v>
      </c>
      <c r="M171" s="74" t="e">
        <f>VLOOKUP($A171,Data!$D$3:$CJ$128,74,FALSE)</f>
        <v>#N/A</v>
      </c>
      <c r="N171" s="78" t="e">
        <f t="shared" si="43"/>
        <v>#N/A</v>
      </c>
      <c r="O171" s="78" t="e">
        <f t="shared" si="44"/>
        <v>#N/A</v>
      </c>
      <c r="P171" s="78" t="e">
        <f t="shared" si="45"/>
        <v>#N/A</v>
      </c>
      <c r="Q171" s="78" t="e">
        <f t="shared" si="46"/>
        <v>#N/A</v>
      </c>
      <c r="R171" s="78" t="e">
        <f t="shared" si="47"/>
        <v>#N/A</v>
      </c>
      <c r="S171" s="78" t="e">
        <f t="shared" si="48"/>
        <v>#N/A</v>
      </c>
      <c r="T171" s="74" t="e">
        <f t="shared" si="49"/>
        <v>#N/A</v>
      </c>
      <c r="U171" s="74" t="e">
        <f t="shared" si="50"/>
        <v>#N/A</v>
      </c>
      <c r="V171" s="74" t="e">
        <f t="shared" si="51"/>
        <v>#N/A</v>
      </c>
      <c r="W171" s="74" t="e">
        <f t="shared" si="52"/>
        <v>#N/A</v>
      </c>
      <c r="X171" s="74" t="e">
        <f t="shared" si="53"/>
        <v>#N/A</v>
      </c>
      <c r="Y171" s="74" t="e">
        <f t="shared" si="54"/>
        <v>#N/A</v>
      </c>
    </row>
    <row r="172" spans="1:25">
      <c r="A172" s="88">
        <f>'Batch input'!A171</f>
        <v>0</v>
      </c>
      <c r="B172">
        <f>'Batch input'!B171</f>
        <v>0</v>
      </c>
      <c r="C172" t="e">
        <f>VLOOKUP($A172,Data!$D$3:$CJ$128,30,FALSE)</f>
        <v>#N/A</v>
      </c>
      <c r="D172" s="74" t="e">
        <f>VLOOKUP($A172,Data!$D$3:$CJ$128,64,FALSE)</f>
        <v>#N/A</v>
      </c>
      <c r="E172" s="74" t="e">
        <f>VLOOKUP($A172,Data!$D$3:$CJ$128,66,FALSE)</f>
        <v>#N/A</v>
      </c>
      <c r="F172" s="74" t="e">
        <f>VLOOKUP($A172,Data!$D$3:$CJ$128,67,FALSE)</f>
        <v>#N/A</v>
      </c>
      <c r="G172" s="78" t="e">
        <f>VLOOKUP($A172,Data!$D$3:$CJ$128,68,FALSE)</f>
        <v>#N/A</v>
      </c>
      <c r="H172" s="78" t="e">
        <f>VLOOKUP($A172,Data!$D$3:$CJ$128,69,FALSE)</f>
        <v>#N/A</v>
      </c>
      <c r="I172" s="74" t="e">
        <f>VLOOKUP($A172,Data!$D$3:$CJ$128,70,FALSE)</f>
        <v>#N/A</v>
      </c>
      <c r="J172" s="74" t="e">
        <f>VLOOKUP($A172,Data!$D$3:$CJ$128,71,FALSE)</f>
        <v>#N/A</v>
      </c>
      <c r="K172" s="74" t="e">
        <f>VLOOKUP($A172,Data!$D$3:$CJ$128,72,FALSE)</f>
        <v>#N/A</v>
      </c>
      <c r="L172" s="74" t="e">
        <f>VLOOKUP($A172,Data!$D$3:$CJ$128,73,FALSE)</f>
        <v>#N/A</v>
      </c>
      <c r="M172" s="74" t="e">
        <f>VLOOKUP($A172,Data!$D$3:$CJ$128,74,FALSE)</f>
        <v>#N/A</v>
      </c>
      <c r="N172" s="78" t="e">
        <f t="shared" si="43"/>
        <v>#N/A</v>
      </c>
      <c r="O172" s="78" t="e">
        <f t="shared" si="44"/>
        <v>#N/A</v>
      </c>
      <c r="P172" s="78" t="e">
        <f t="shared" si="45"/>
        <v>#N/A</v>
      </c>
      <c r="Q172" s="78" t="e">
        <f t="shared" si="46"/>
        <v>#N/A</v>
      </c>
      <c r="R172" s="78" t="e">
        <f t="shared" si="47"/>
        <v>#N/A</v>
      </c>
      <c r="S172" s="78" t="e">
        <f t="shared" si="48"/>
        <v>#N/A</v>
      </c>
      <c r="T172" s="74" t="e">
        <f t="shared" si="49"/>
        <v>#N/A</v>
      </c>
      <c r="U172" s="74" t="e">
        <f t="shared" si="50"/>
        <v>#N/A</v>
      </c>
      <c r="V172" s="74" t="e">
        <f t="shared" si="51"/>
        <v>#N/A</v>
      </c>
      <c r="W172" s="74" t="e">
        <f t="shared" si="52"/>
        <v>#N/A</v>
      </c>
      <c r="X172" s="74" t="e">
        <f t="shared" si="53"/>
        <v>#N/A</v>
      </c>
      <c r="Y172" s="74" t="e">
        <f t="shared" si="54"/>
        <v>#N/A</v>
      </c>
    </row>
    <row r="173" spans="1:25">
      <c r="A173" s="88">
        <f>'Batch input'!A172</f>
        <v>0</v>
      </c>
      <c r="B173">
        <f>'Batch input'!B172</f>
        <v>0</v>
      </c>
      <c r="C173" t="e">
        <f>VLOOKUP($A173,Data!$D$3:$CJ$128,30,FALSE)</f>
        <v>#N/A</v>
      </c>
      <c r="D173" s="74" t="e">
        <f>VLOOKUP($A173,Data!$D$3:$CJ$128,64,FALSE)</f>
        <v>#N/A</v>
      </c>
      <c r="E173" s="74" t="e">
        <f>VLOOKUP($A173,Data!$D$3:$CJ$128,66,FALSE)</f>
        <v>#N/A</v>
      </c>
      <c r="F173" s="74" t="e">
        <f>VLOOKUP($A173,Data!$D$3:$CJ$128,67,FALSE)</f>
        <v>#N/A</v>
      </c>
      <c r="G173" s="78" t="e">
        <f>VLOOKUP($A173,Data!$D$3:$CJ$128,68,FALSE)</f>
        <v>#N/A</v>
      </c>
      <c r="H173" s="78" t="e">
        <f>VLOOKUP($A173,Data!$D$3:$CJ$128,69,FALSE)</f>
        <v>#N/A</v>
      </c>
      <c r="I173" s="74" t="e">
        <f>VLOOKUP($A173,Data!$D$3:$CJ$128,70,FALSE)</f>
        <v>#N/A</v>
      </c>
      <c r="J173" s="74" t="e">
        <f>VLOOKUP($A173,Data!$D$3:$CJ$128,71,FALSE)</f>
        <v>#N/A</v>
      </c>
      <c r="K173" s="74" t="e">
        <f>VLOOKUP($A173,Data!$D$3:$CJ$128,72,FALSE)</f>
        <v>#N/A</v>
      </c>
      <c r="L173" s="74" t="e">
        <f>VLOOKUP($A173,Data!$D$3:$CJ$128,73,FALSE)</f>
        <v>#N/A</v>
      </c>
      <c r="M173" s="74" t="e">
        <f>VLOOKUP($A173,Data!$D$3:$CJ$128,74,FALSE)</f>
        <v>#N/A</v>
      </c>
      <c r="N173" s="78" t="e">
        <f t="shared" si="43"/>
        <v>#N/A</v>
      </c>
      <c r="O173" s="78" t="e">
        <f t="shared" si="44"/>
        <v>#N/A</v>
      </c>
      <c r="P173" s="78" t="e">
        <f t="shared" si="45"/>
        <v>#N/A</v>
      </c>
      <c r="Q173" s="78" t="e">
        <f t="shared" si="46"/>
        <v>#N/A</v>
      </c>
      <c r="R173" s="78" t="e">
        <f t="shared" si="47"/>
        <v>#N/A</v>
      </c>
      <c r="S173" s="78" t="e">
        <f t="shared" si="48"/>
        <v>#N/A</v>
      </c>
      <c r="T173" s="74" t="e">
        <f t="shared" si="49"/>
        <v>#N/A</v>
      </c>
      <c r="U173" s="74" t="e">
        <f t="shared" si="50"/>
        <v>#N/A</v>
      </c>
      <c r="V173" s="74" t="e">
        <f t="shared" si="51"/>
        <v>#N/A</v>
      </c>
      <c r="W173" s="74" t="e">
        <f t="shared" si="52"/>
        <v>#N/A</v>
      </c>
      <c r="X173" s="74" t="e">
        <f t="shared" si="53"/>
        <v>#N/A</v>
      </c>
      <c r="Y173" s="74" t="e">
        <f t="shared" si="54"/>
        <v>#N/A</v>
      </c>
    </row>
    <row r="174" spans="1:25">
      <c r="A174" s="88">
        <f>'Batch input'!A173</f>
        <v>0</v>
      </c>
      <c r="B174">
        <f>'Batch input'!B173</f>
        <v>0</v>
      </c>
      <c r="C174" t="e">
        <f>VLOOKUP($A174,Data!$D$3:$CJ$128,30,FALSE)</f>
        <v>#N/A</v>
      </c>
      <c r="D174" s="74" t="e">
        <f>VLOOKUP($A174,Data!$D$3:$CJ$128,64,FALSE)</f>
        <v>#N/A</v>
      </c>
      <c r="E174" s="74" t="e">
        <f>VLOOKUP($A174,Data!$D$3:$CJ$128,66,FALSE)</f>
        <v>#N/A</v>
      </c>
      <c r="F174" s="74" t="e">
        <f>VLOOKUP($A174,Data!$D$3:$CJ$128,67,FALSE)</f>
        <v>#N/A</v>
      </c>
      <c r="G174" s="78" t="e">
        <f>VLOOKUP($A174,Data!$D$3:$CJ$128,68,FALSE)</f>
        <v>#N/A</v>
      </c>
      <c r="H174" s="78" t="e">
        <f>VLOOKUP($A174,Data!$D$3:$CJ$128,69,FALSE)</f>
        <v>#N/A</v>
      </c>
      <c r="I174" s="74" t="e">
        <f>VLOOKUP($A174,Data!$D$3:$CJ$128,70,FALSE)</f>
        <v>#N/A</v>
      </c>
      <c r="J174" s="74" t="e">
        <f>VLOOKUP($A174,Data!$D$3:$CJ$128,71,FALSE)</f>
        <v>#N/A</v>
      </c>
      <c r="K174" s="74" t="e">
        <f>VLOOKUP($A174,Data!$D$3:$CJ$128,72,FALSE)</f>
        <v>#N/A</v>
      </c>
      <c r="L174" s="74" t="e">
        <f>VLOOKUP($A174,Data!$D$3:$CJ$128,73,FALSE)</f>
        <v>#N/A</v>
      </c>
      <c r="M174" s="74" t="e">
        <f>VLOOKUP($A174,Data!$D$3:$CJ$128,74,FALSE)</f>
        <v>#N/A</v>
      </c>
      <c r="N174" s="78" t="e">
        <f t="shared" si="43"/>
        <v>#N/A</v>
      </c>
      <c r="O174" s="78" t="e">
        <f t="shared" si="44"/>
        <v>#N/A</v>
      </c>
      <c r="P174" s="78" t="e">
        <f t="shared" si="45"/>
        <v>#N/A</v>
      </c>
      <c r="Q174" s="78" t="e">
        <f t="shared" si="46"/>
        <v>#N/A</v>
      </c>
      <c r="R174" s="78" t="e">
        <f t="shared" si="47"/>
        <v>#N/A</v>
      </c>
      <c r="S174" s="78" t="e">
        <f t="shared" si="48"/>
        <v>#N/A</v>
      </c>
      <c r="T174" s="74" t="e">
        <f t="shared" si="49"/>
        <v>#N/A</v>
      </c>
      <c r="U174" s="74" t="e">
        <f t="shared" si="50"/>
        <v>#N/A</v>
      </c>
      <c r="V174" s="74" t="e">
        <f t="shared" si="51"/>
        <v>#N/A</v>
      </c>
      <c r="W174" s="74" t="e">
        <f t="shared" si="52"/>
        <v>#N/A</v>
      </c>
      <c r="X174" s="74" t="e">
        <f t="shared" si="53"/>
        <v>#N/A</v>
      </c>
      <c r="Y174" s="74" t="e">
        <f t="shared" si="54"/>
        <v>#N/A</v>
      </c>
    </row>
    <row r="175" spans="1:25">
      <c r="A175" s="88">
        <f>'Batch input'!A174</f>
        <v>0</v>
      </c>
      <c r="B175">
        <f>'Batch input'!B174</f>
        <v>0</v>
      </c>
      <c r="C175" t="e">
        <f>VLOOKUP($A175,Data!$D$3:$CJ$128,30,FALSE)</f>
        <v>#N/A</v>
      </c>
      <c r="D175" s="74" t="e">
        <f>VLOOKUP($A175,Data!$D$3:$CJ$128,64,FALSE)</f>
        <v>#N/A</v>
      </c>
      <c r="E175" s="74" t="e">
        <f>VLOOKUP($A175,Data!$D$3:$CJ$128,66,FALSE)</f>
        <v>#N/A</v>
      </c>
      <c r="F175" s="74" t="e">
        <f>VLOOKUP($A175,Data!$D$3:$CJ$128,67,FALSE)</f>
        <v>#N/A</v>
      </c>
      <c r="G175" s="78" t="e">
        <f>VLOOKUP($A175,Data!$D$3:$CJ$128,68,FALSE)</f>
        <v>#N/A</v>
      </c>
      <c r="H175" s="78" t="e">
        <f>VLOOKUP($A175,Data!$D$3:$CJ$128,69,FALSE)</f>
        <v>#N/A</v>
      </c>
      <c r="I175" s="74" t="e">
        <f>VLOOKUP($A175,Data!$D$3:$CJ$128,70,FALSE)</f>
        <v>#N/A</v>
      </c>
      <c r="J175" s="74" t="e">
        <f>VLOOKUP($A175,Data!$D$3:$CJ$128,71,FALSE)</f>
        <v>#N/A</v>
      </c>
      <c r="K175" s="74" t="e">
        <f>VLOOKUP($A175,Data!$D$3:$CJ$128,72,FALSE)</f>
        <v>#N/A</v>
      </c>
      <c r="L175" s="74" t="e">
        <f>VLOOKUP($A175,Data!$D$3:$CJ$128,73,FALSE)</f>
        <v>#N/A</v>
      </c>
      <c r="M175" s="74" t="e">
        <f>VLOOKUP($A175,Data!$D$3:$CJ$128,74,FALSE)</f>
        <v>#N/A</v>
      </c>
      <c r="N175" s="78" t="e">
        <f t="shared" si="43"/>
        <v>#N/A</v>
      </c>
      <c r="O175" s="78" t="e">
        <f t="shared" si="44"/>
        <v>#N/A</v>
      </c>
      <c r="P175" s="78" t="e">
        <f t="shared" si="45"/>
        <v>#N/A</v>
      </c>
      <c r="Q175" s="78" t="e">
        <f t="shared" si="46"/>
        <v>#N/A</v>
      </c>
      <c r="R175" s="78" t="e">
        <f t="shared" si="47"/>
        <v>#N/A</v>
      </c>
      <c r="S175" s="78" t="e">
        <f t="shared" si="48"/>
        <v>#N/A</v>
      </c>
      <c r="T175" s="74" t="e">
        <f t="shared" si="49"/>
        <v>#N/A</v>
      </c>
      <c r="U175" s="74" t="e">
        <f t="shared" si="50"/>
        <v>#N/A</v>
      </c>
      <c r="V175" s="74" t="e">
        <f t="shared" si="51"/>
        <v>#N/A</v>
      </c>
      <c r="W175" s="74" t="e">
        <f t="shared" si="52"/>
        <v>#N/A</v>
      </c>
      <c r="X175" s="74" t="e">
        <f t="shared" si="53"/>
        <v>#N/A</v>
      </c>
      <c r="Y175" s="74" t="e">
        <f t="shared" si="54"/>
        <v>#N/A</v>
      </c>
    </row>
    <row r="176" spans="1:25">
      <c r="A176" s="88">
        <f>'Batch input'!A175</f>
        <v>0</v>
      </c>
      <c r="B176">
        <f>'Batch input'!B175</f>
        <v>0</v>
      </c>
      <c r="C176" t="e">
        <f>VLOOKUP($A176,Data!$D$3:$CJ$128,30,FALSE)</f>
        <v>#N/A</v>
      </c>
      <c r="D176" s="74" t="e">
        <f>VLOOKUP($A176,Data!$D$3:$CJ$128,64,FALSE)</f>
        <v>#N/A</v>
      </c>
      <c r="E176" s="74" t="e">
        <f>VLOOKUP($A176,Data!$D$3:$CJ$128,66,FALSE)</f>
        <v>#N/A</v>
      </c>
      <c r="F176" s="74" t="e">
        <f>VLOOKUP($A176,Data!$D$3:$CJ$128,67,FALSE)</f>
        <v>#N/A</v>
      </c>
      <c r="G176" s="78" t="e">
        <f>VLOOKUP($A176,Data!$D$3:$CJ$128,68,FALSE)</f>
        <v>#N/A</v>
      </c>
      <c r="H176" s="78" t="e">
        <f>VLOOKUP($A176,Data!$D$3:$CJ$128,69,FALSE)</f>
        <v>#N/A</v>
      </c>
      <c r="I176" s="74" t="e">
        <f>VLOOKUP($A176,Data!$D$3:$CJ$128,70,FALSE)</f>
        <v>#N/A</v>
      </c>
      <c r="J176" s="74" t="e">
        <f>VLOOKUP($A176,Data!$D$3:$CJ$128,71,FALSE)</f>
        <v>#N/A</v>
      </c>
      <c r="K176" s="74" t="e">
        <f>VLOOKUP($A176,Data!$D$3:$CJ$128,72,FALSE)</f>
        <v>#N/A</v>
      </c>
      <c r="L176" s="74" t="e">
        <f>VLOOKUP($A176,Data!$D$3:$CJ$128,73,FALSE)</f>
        <v>#N/A</v>
      </c>
      <c r="M176" s="74" t="e">
        <f>VLOOKUP($A176,Data!$D$3:$CJ$128,74,FALSE)</f>
        <v>#N/A</v>
      </c>
      <c r="N176" s="78" t="e">
        <f t="shared" si="43"/>
        <v>#N/A</v>
      </c>
      <c r="O176" s="78" t="e">
        <f t="shared" si="44"/>
        <v>#N/A</v>
      </c>
      <c r="P176" s="78" t="e">
        <f t="shared" si="45"/>
        <v>#N/A</v>
      </c>
      <c r="Q176" s="78" t="e">
        <f t="shared" si="46"/>
        <v>#N/A</v>
      </c>
      <c r="R176" s="78" t="e">
        <f t="shared" si="47"/>
        <v>#N/A</v>
      </c>
      <c r="S176" s="78" t="e">
        <f t="shared" si="48"/>
        <v>#N/A</v>
      </c>
      <c r="T176" s="74" t="e">
        <f t="shared" si="49"/>
        <v>#N/A</v>
      </c>
      <c r="U176" s="74" t="e">
        <f t="shared" si="50"/>
        <v>#N/A</v>
      </c>
      <c r="V176" s="74" t="e">
        <f t="shared" si="51"/>
        <v>#N/A</v>
      </c>
      <c r="W176" s="74" t="e">
        <f t="shared" si="52"/>
        <v>#N/A</v>
      </c>
      <c r="X176" s="74" t="e">
        <f t="shared" si="53"/>
        <v>#N/A</v>
      </c>
      <c r="Y176" s="74" t="e">
        <f t="shared" si="54"/>
        <v>#N/A</v>
      </c>
    </row>
    <row r="177" spans="1:25">
      <c r="A177" s="88">
        <f>'Batch input'!A176</f>
        <v>0</v>
      </c>
      <c r="B177">
        <f>'Batch input'!B176</f>
        <v>0</v>
      </c>
      <c r="C177" t="e">
        <f>VLOOKUP($A177,Data!$D$3:$CJ$128,30,FALSE)</f>
        <v>#N/A</v>
      </c>
      <c r="D177" s="74" t="e">
        <f>VLOOKUP($A177,Data!$D$3:$CJ$128,64,FALSE)</f>
        <v>#N/A</v>
      </c>
      <c r="E177" s="74" t="e">
        <f>VLOOKUP($A177,Data!$D$3:$CJ$128,66,FALSE)</f>
        <v>#N/A</v>
      </c>
      <c r="F177" s="74" t="e">
        <f>VLOOKUP($A177,Data!$D$3:$CJ$128,67,FALSE)</f>
        <v>#N/A</v>
      </c>
      <c r="G177" s="78" t="e">
        <f>VLOOKUP($A177,Data!$D$3:$CJ$128,68,FALSE)</f>
        <v>#N/A</v>
      </c>
      <c r="H177" s="78" t="e">
        <f>VLOOKUP($A177,Data!$D$3:$CJ$128,69,FALSE)</f>
        <v>#N/A</v>
      </c>
      <c r="I177" s="74" t="e">
        <f>VLOOKUP($A177,Data!$D$3:$CJ$128,70,FALSE)</f>
        <v>#N/A</v>
      </c>
      <c r="J177" s="74" t="e">
        <f>VLOOKUP($A177,Data!$D$3:$CJ$128,71,FALSE)</f>
        <v>#N/A</v>
      </c>
      <c r="K177" s="74" t="e">
        <f>VLOOKUP($A177,Data!$D$3:$CJ$128,72,FALSE)</f>
        <v>#N/A</v>
      </c>
      <c r="L177" s="74" t="e">
        <f>VLOOKUP($A177,Data!$D$3:$CJ$128,73,FALSE)</f>
        <v>#N/A</v>
      </c>
      <c r="M177" s="74" t="e">
        <f>VLOOKUP($A177,Data!$D$3:$CJ$128,74,FALSE)</f>
        <v>#N/A</v>
      </c>
      <c r="N177" s="78" t="e">
        <f t="shared" si="43"/>
        <v>#N/A</v>
      </c>
      <c r="O177" s="78" t="e">
        <f t="shared" si="44"/>
        <v>#N/A</v>
      </c>
      <c r="P177" s="78" t="e">
        <f t="shared" si="45"/>
        <v>#N/A</v>
      </c>
      <c r="Q177" s="78" t="e">
        <f t="shared" si="46"/>
        <v>#N/A</v>
      </c>
      <c r="R177" s="78" t="e">
        <f t="shared" si="47"/>
        <v>#N/A</v>
      </c>
      <c r="S177" s="78" t="e">
        <f t="shared" si="48"/>
        <v>#N/A</v>
      </c>
      <c r="T177" s="74" t="e">
        <f t="shared" si="49"/>
        <v>#N/A</v>
      </c>
      <c r="U177" s="74" t="e">
        <f t="shared" si="50"/>
        <v>#N/A</v>
      </c>
      <c r="V177" s="74" t="e">
        <f t="shared" si="51"/>
        <v>#N/A</v>
      </c>
      <c r="W177" s="74" t="e">
        <f t="shared" si="52"/>
        <v>#N/A</v>
      </c>
      <c r="X177" s="74" t="e">
        <f t="shared" si="53"/>
        <v>#N/A</v>
      </c>
      <c r="Y177" s="74" t="e">
        <f t="shared" si="54"/>
        <v>#N/A</v>
      </c>
    </row>
    <row r="178" spans="1:25">
      <c r="A178" s="88">
        <f>'Batch input'!A177</f>
        <v>0</v>
      </c>
      <c r="B178">
        <f>'Batch input'!B177</f>
        <v>0</v>
      </c>
      <c r="C178" t="e">
        <f>VLOOKUP($A178,Data!$D$3:$CJ$128,30,FALSE)</f>
        <v>#N/A</v>
      </c>
      <c r="D178" s="74" t="e">
        <f>VLOOKUP($A178,Data!$D$3:$CJ$128,64,FALSE)</f>
        <v>#N/A</v>
      </c>
      <c r="E178" s="74" t="e">
        <f>VLOOKUP($A178,Data!$D$3:$CJ$128,66,FALSE)</f>
        <v>#N/A</v>
      </c>
      <c r="F178" s="74" t="e">
        <f>VLOOKUP($A178,Data!$D$3:$CJ$128,67,FALSE)</f>
        <v>#N/A</v>
      </c>
      <c r="G178" s="78" t="e">
        <f>VLOOKUP($A178,Data!$D$3:$CJ$128,68,FALSE)</f>
        <v>#N/A</v>
      </c>
      <c r="H178" s="78" t="e">
        <f>VLOOKUP($A178,Data!$D$3:$CJ$128,69,FALSE)</f>
        <v>#N/A</v>
      </c>
      <c r="I178" s="74" t="e">
        <f>VLOOKUP($A178,Data!$D$3:$CJ$128,70,FALSE)</f>
        <v>#N/A</v>
      </c>
      <c r="J178" s="74" t="e">
        <f>VLOOKUP($A178,Data!$D$3:$CJ$128,71,FALSE)</f>
        <v>#N/A</v>
      </c>
      <c r="K178" s="74" t="e">
        <f>VLOOKUP($A178,Data!$D$3:$CJ$128,72,FALSE)</f>
        <v>#N/A</v>
      </c>
      <c r="L178" s="74" t="e">
        <f>VLOOKUP($A178,Data!$D$3:$CJ$128,73,FALSE)</f>
        <v>#N/A</v>
      </c>
      <c r="M178" s="74" t="e">
        <f>VLOOKUP($A178,Data!$D$3:$CJ$128,74,FALSE)</f>
        <v>#N/A</v>
      </c>
      <c r="N178" s="78" t="e">
        <f t="shared" si="43"/>
        <v>#N/A</v>
      </c>
      <c r="O178" s="78" t="e">
        <f t="shared" si="44"/>
        <v>#N/A</v>
      </c>
      <c r="P178" s="78" t="e">
        <f t="shared" si="45"/>
        <v>#N/A</v>
      </c>
      <c r="Q178" s="78" t="e">
        <f t="shared" si="46"/>
        <v>#N/A</v>
      </c>
      <c r="R178" s="78" t="e">
        <f t="shared" si="47"/>
        <v>#N/A</v>
      </c>
      <c r="S178" s="78" t="e">
        <f t="shared" si="48"/>
        <v>#N/A</v>
      </c>
      <c r="T178" s="74" t="e">
        <f t="shared" si="49"/>
        <v>#N/A</v>
      </c>
      <c r="U178" s="74" t="e">
        <f t="shared" si="50"/>
        <v>#N/A</v>
      </c>
      <c r="V178" s="74" t="e">
        <f t="shared" si="51"/>
        <v>#N/A</v>
      </c>
      <c r="W178" s="74" t="e">
        <f t="shared" si="52"/>
        <v>#N/A</v>
      </c>
      <c r="X178" s="74" t="e">
        <f t="shared" si="53"/>
        <v>#N/A</v>
      </c>
      <c r="Y178" s="74" t="e">
        <f t="shared" si="54"/>
        <v>#N/A</v>
      </c>
    </row>
    <row r="179" spans="1:25">
      <c r="A179" s="88">
        <f>'Batch input'!A178</f>
        <v>0</v>
      </c>
      <c r="B179">
        <f>'Batch input'!B178</f>
        <v>0</v>
      </c>
      <c r="C179" t="e">
        <f>VLOOKUP($A179,Data!$D$3:$CJ$128,30,FALSE)</f>
        <v>#N/A</v>
      </c>
      <c r="D179" s="74" t="e">
        <f>VLOOKUP($A179,Data!$D$3:$CJ$128,64,FALSE)</f>
        <v>#N/A</v>
      </c>
      <c r="E179" s="74" t="e">
        <f>VLOOKUP($A179,Data!$D$3:$CJ$128,66,FALSE)</f>
        <v>#N/A</v>
      </c>
      <c r="F179" s="74" t="e">
        <f>VLOOKUP($A179,Data!$D$3:$CJ$128,67,FALSE)</f>
        <v>#N/A</v>
      </c>
      <c r="G179" s="78" t="e">
        <f>VLOOKUP($A179,Data!$D$3:$CJ$128,68,FALSE)</f>
        <v>#N/A</v>
      </c>
      <c r="H179" s="78" t="e">
        <f>VLOOKUP($A179,Data!$D$3:$CJ$128,69,FALSE)</f>
        <v>#N/A</v>
      </c>
      <c r="I179" s="74" t="e">
        <f>VLOOKUP($A179,Data!$D$3:$CJ$128,70,FALSE)</f>
        <v>#N/A</v>
      </c>
      <c r="J179" s="74" t="e">
        <f>VLOOKUP($A179,Data!$D$3:$CJ$128,71,FALSE)</f>
        <v>#N/A</v>
      </c>
      <c r="K179" s="74" t="e">
        <f>VLOOKUP($A179,Data!$D$3:$CJ$128,72,FALSE)</f>
        <v>#N/A</v>
      </c>
      <c r="L179" s="74" t="e">
        <f>VLOOKUP($A179,Data!$D$3:$CJ$128,73,FALSE)</f>
        <v>#N/A</v>
      </c>
      <c r="M179" s="74" t="e">
        <f>VLOOKUP($A179,Data!$D$3:$CJ$128,74,FALSE)</f>
        <v>#N/A</v>
      </c>
      <c r="N179" s="78" t="e">
        <f t="shared" si="43"/>
        <v>#N/A</v>
      </c>
      <c r="O179" s="78" t="e">
        <f t="shared" si="44"/>
        <v>#N/A</v>
      </c>
      <c r="P179" s="78" t="e">
        <f t="shared" si="45"/>
        <v>#N/A</v>
      </c>
      <c r="Q179" s="78" t="e">
        <f t="shared" si="46"/>
        <v>#N/A</v>
      </c>
      <c r="R179" s="78" t="e">
        <f t="shared" si="47"/>
        <v>#N/A</v>
      </c>
      <c r="S179" s="78" t="e">
        <f t="shared" si="48"/>
        <v>#N/A</v>
      </c>
      <c r="T179" s="74" t="e">
        <f t="shared" si="49"/>
        <v>#N/A</v>
      </c>
      <c r="U179" s="74" t="e">
        <f t="shared" si="50"/>
        <v>#N/A</v>
      </c>
      <c r="V179" s="74" t="e">
        <f t="shared" si="51"/>
        <v>#N/A</v>
      </c>
      <c r="W179" s="74" t="e">
        <f t="shared" si="52"/>
        <v>#N/A</v>
      </c>
      <c r="X179" s="74" t="e">
        <f t="shared" si="53"/>
        <v>#N/A</v>
      </c>
      <c r="Y179" s="74" t="e">
        <f t="shared" si="54"/>
        <v>#N/A</v>
      </c>
    </row>
    <row r="180" spans="1:25">
      <c r="A180" s="88">
        <f>'Batch input'!A179</f>
        <v>0</v>
      </c>
      <c r="B180">
        <f>'Batch input'!B179</f>
        <v>0</v>
      </c>
      <c r="C180" t="e">
        <f>VLOOKUP($A180,Data!$D$3:$CJ$128,30,FALSE)</f>
        <v>#N/A</v>
      </c>
      <c r="D180" s="74" t="e">
        <f>VLOOKUP($A180,Data!$D$3:$CJ$128,64,FALSE)</f>
        <v>#N/A</v>
      </c>
      <c r="E180" s="74" t="e">
        <f>VLOOKUP($A180,Data!$D$3:$CJ$128,66,FALSE)</f>
        <v>#N/A</v>
      </c>
      <c r="F180" s="74" t="e">
        <f>VLOOKUP($A180,Data!$D$3:$CJ$128,67,FALSE)</f>
        <v>#N/A</v>
      </c>
      <c r="G180" s="78" t="e">
        <f>VLOOKUP($A180,Data!$D$3:$CJ$128,68,FALSE)</f>
        <v>#N/A</v>
      </c>
      <c r="H180" s="78" t="e">
        <f>VLOOKUP($A180,Data!$D$3:$CJ$128,69,FALSE)</f>
        <v>#N/A</v>
      </c>
      <c r="I180" s="74" t="e">
        <f>VLOOKUP($A180,Data!$D$3:$CJ$128,70,FALSE)</f>
        <v>#N/A</v>
      </c>
      <c r="J180" s="74" t="e">
        <f>VLOOKUP($A180,Data!$D$3:$CJ$128,71,FALSE)</f>
        <v>#N/A</v>
      </c>
      <c r="K180" s="74" t="e">
        <f>VLOOKUP($A180,Data!$D$3:$CJ$128,72,FALSE)</f>
        <v>#N/A</v>
      </c>
      <c r="L180" s="74" t="e">
        <f>VLOOKUP($A180,Data!$D$3:$CJ$128,73,FALSE)</f>
        <v>#N/A</v>
      </c>
      <c r="M180" s="74" t="e">
        <f>VLOOKUP($A180,Data!$D$3:$CJ$128,74,FALSE)</f>
        <v>#N/A</v>
      </c>
      <c r="N180" s="78" t="e">
        <f t="shared" si="43"/>
        <v>#N/A</v>
      </c>
      <c r="O180" s="78" t="e">
        <f t="shared" si="44"/>
        <v>#N/A</v>
      </c>
      <c r="P180" s="78" t="e">
        <f t="shared" si="45"/>
        <v>#N/A</v>
      </c>
      <c r="Q180" s="78" t="e">
        <f t="shared" si="46"/>
        <v>#N/A</v>
      </c>
      <c r="R180" s="78" t="e">
        <f t="shared" si="47"/>
        <v>#N/A</v>
      </c>
      <c r="S180" s="78" t="e">
        <f t="shared" si="48"/>
        <v>#N/A</v>
      </c>
      <c r="T180" s="74" t="e">
        <f t="shared" si="49"/>
        <v>#N/A</v>
      </c>
      <c r="U180" s="74" t="e">
        <f t="shared" si="50"/>
        <v>#N/A</v>
      </c>
      <c r="V180" s="74" t="e">
        <f t="shared" si="51"/>
        <v>#N/A</v>
      </c>
      <c r="W180" s="74" t="e">
        <f t="shared" si="52"/>
        <v>#N/A</v>
      </c>
      <c r="X180" s="74" t="e">
        <f t="shared" si="53"/>
        <v>#N/A</v>
      </c>
      <c r="Y180" s="74" t="e">
        <f t="shared" si="54"/>
        <v>#N/A</v>
      </c>
    </row>
    <row r="181" spans="1:25">
      <c r="A181" s="88">
        <f>'Batch input'!A180</f>
        <v>0</v>
      </c>
      <c r="B181">
        <f>'Batch input'!B180</f>
        <v>0</v>
      </c>
      <c r="C181" t="e">
        <f>VLOOKUP($A181,Data!$D$3:$CJ$128,30,FALSE)</f>
        <v>#N/A</v>
      </c>
      <c r="D181" s="74" t="e">
        <f>VLOOKUP($A181,Data!$D$3:$CJ$128,64,FALSE)</f>
        <v>#N/A</v>
      </c>
      <c r="E181" s="74" t="e">
        <f>VLOOKUP($A181,Data!$D$3:$CJ$128,66,FALSE)</f>
        <v>#N/A</v>
      </c>
      <c r="F181" s="74" t="e">
        <f>VLOOKUP($A181,Data!$D$3:$CJ$128,67,FALSE)</f>
        <v>#N/A</v>
      </c>
      <c r="G181" s="78" t="e">
        <f>VLOOKUP($A181,Data!$D$3:$CJ$128,68,FALSE)</f>
        <v>#N/A</v>
      </c>
      <c r="H181" s="78" t="e">
        <f>VLOOKUP($A181,Data!$D$3:$CJ$128,69,FALSE)</f>
        <v>#N/A</v>
      </c>
      <c r="I181" s="74" t="e">
        <f>VLOOKUP($A181,Data!$D$3:$CJ$128,70,FALSE)</f>
        <v>#N/A</v>
      </c>
      <c r="J181" s="74" t="e">
        <f>VLOOKUP($A181,Data!$D$3:$CJ$128,71,FALSE)</f>
        <v>#N/A</v>
      </c>
      <c r="K181" s="74" t="e">
        <f>VLOOKUP($A181,Data!$D$3:$CJ$128,72,FALSE)</f>
        <v>#N/A</v>
      </c>
      <c r="L181" s="74" t="e">
        <f>VLOOKUP($A181,Data!$D$3:$CJ$128,73,FALSE)</f>
        <v>#N/A</v>
      </c>
      <c r="M181" s="74" t="e">
        <f>VLOOKUP($A181,Data!$D$3:$CJ$128,74,FALSE)</f>
        <v>#N/A</v>
      </c>
      <c r="N181" s="78" t="e">
        <f t="shared" si="43"/>
        <v>#N/A</v>
      </c>
      <c r="O181" s="78" t="e">
        <f t="shared" si="44"/>
        <v>#N/A</v>
      </c>
      <c r="P181" s="78" t="e">
        <f t="shared" si="45"/>
        <v>#N/A</v>
      </c>
      <c r="Q181" s="78" t="e">
        <f t="shared" si="46"/>
        <v>#N/A</v>
      </c>
      <c r="R181" s="78" t="e">
        <f t="shared" si="47"/>
        <v>#N/A</v>
      </c>
      <c r="S181" s="78" t="e">
        <f t="shared" si="48"/>
        <v>#N/A</v>
      </c>
      <c r="T181" s="74" t="e">
        <f t="shared" si="49"/>
        <v>#N/A</v>
      </c>
      <c r="U181" s="74" t="e">
        <f t="shared" si="50"/>
        <v>#N/A</v>
      </c>
      <c r="V181" s="74" t="e">
        <f t="shared" si="51"/>
        <v>#N/A</v>
      </c>
      <c r="W181" s="74" t="e">
        <f t="shared" si="52"/>
        <v>#N/A</v>
      </c>
      <c r="X181" s="74" t="e">
        <f t="shared" si="53"/>
        <v>#N/A</v>
      </c>
      <c r="Y181" s="74" t="e">
        <f t="shared" si="54"/>
        <v>#N/A</v>
      </c>
    </row>
    <row r="182" spans="1:25">
      <c r="A182" s="88">
        <f>'Batch input'!A181</f>
        <v>0</v>
      </c>
      <c r="B182">
        <f>'Batch input'!B181</f>
        <v>0</v>
      </c>
      <c r="C182" t="e">
        <f>VLOOKUP($A182,Data!$D$3:$CJ$128,30,FALSE)</f>
        <v>#N/A</v>
      </c>
      <c r="D182" s="74" t="e">
        <f>VLOOKUP($A182,Data!$D$3:$CJ$128,64,FALSE)</f>
        <v>#N/A</v>
      </c>
      <c r="E182" s="74" t="e">
        <f>VLOOKUP($A182,Data!$D$3:$CJ$128,66,FALSE)</f>
        <v>#N/A</v>
      </c>
      <c r="F182" s="74" t="e">
        <f>VLOOKUP($A182,Data!$D$3:$CJ$128,67,FALSE)</f>
        <v>#N/A</v>
      </c>
      <c r="G182" s="78" t="e">
        <f>VLOOKUP($A182,Data!$D$3:$CJ$128,68,FALSE)</f>
        <v>#N/A</v>
      </c>
      <c r="H182" s="78" t="e">
        <f>VLOOKUP($A182,Data!$D$3:$CJ$128,69,FALSE)</f>
        <v>#N/A</v>
      </c>
      <c r="I182" s="74" t="e">
        <f>VLOOKUP($A182,Data!$D$3:$CJ$128,70,FALSE)</f>
        <v>#N/A</v>
      </c>
      <c r="J182" s="74" t="e">
        <f>VLOOKUP($A182,Data!$D$3:$CJ$128,71,FALSE)</f>
        <v>#N/A</v>
      </c>
      <c r="K182" s="74" t="e">
        <f>VLOOKUP($A182,Data!$D$3:$CJ$128,72,FALSE)</f>
        <v>#N/A</v>
      </c>
      <c r="L182" s="74" t="e">
        <f>VLOOKUP($A182,Data!$D$3:$CJ$128,73,FALSE)</f>
        <v>#N/A</v>
      </c>
      <c r="M182" s="74" t="e">
        <f>VLOOKUP($A182,Data!$D$3:$CJ$128,74,FALSE)</f>
        <v>#N/A</v>
      </c>
      <c r="N182" s="78" t="e">
        <f t="shared" si="43"/>
        <v>#N/A</v>
      </c>
      <c r="O182" s="78" t="e">
        <f t="shared" si="44"/>
        <v>#N/A</v>
      </c>
      <c r="P182" s="78" t="e">
        <f t="shared" si="45"/>
        <v>#N/A</v>
      </c>
      <c r="Q182" s="78" t="e">
        <f t="shared" si="46"/>
        <v>#N/A</v>
      </c>
      <c r="R182" s="78" t="e">
        <f t="shared" si="47"/>
        <v>#N/A</v>
      </c>
      <c r="S182" s="78" t="e">
        <f t="shared" si="48"/>
        <v>#N/A</v>
      </c>
      <c r="T182" s="74" t="e">
        <f t="shared" si="49"/>
        <v>#N/A</v>
      </c>
      <c r="U182" s="74" t="e">
        <f t="shared" si="50"/>
        <v>#N/A</v>
      </c>
      <c r="V182" s="74" t="e">
        <f t="shared" si="51"/>
        <v>#N/A</v>
      </c>
      <c r="W182" s="74" t="e">
        <f t="shared" si="52"/>
        <v>#N/A</v>
      </c>
      <c r="X182" s="74" t="e">
        <f t="shared" si="53"/>
        <v>#N/A</v>
      </c>
      <c r="Y182" s="74" t="e">
        <f t="shared" si="54"/>
        <v>#N/A</v>
      </c>
    </row>
    <row r="183" spans="1:25">
      <c r="A183" s="88">
        <f>'Batch input'!A182</f>
        <v>0</v>
      </c>
      <c r="B183">
        <f>'Batch input'!B182</f>
        <v>0</v>
      </c>
      <c r="C183" t="e">
        <f>VLOOKUP($A183,Data!$D$3:$CJ$128,30,FALSE)</f>
        <v>#N/A</v>
      </c>
      <c r="D183" s="74" t="e">
        <f>VLOOKUP($A183,Data!$D$3:$CJ$128,64,FALSE)</f>
        <v>#N/A</v>
      </c>
      <c r="E183" s="74" t="e">
        <f>VLOOKUP($A183,Data!$D$3:$CJ$128,66,FALSE)</f>
        <v>#N/A</v>
      </c>
      <c r="F183" s="74" t="e">
        <f>VLOOKUP($A183,Data!$D$3:$CJ$128,67,FALSE)</f>
        <v>#N/A</v>
      </c>
      <c r="G183" s="78" t="e">
        <f>VLOOKUP($A183,Data!$D$3:$CJ$128,68,FALSE)</f>
        <v>#N/A</v>
      </c>
      <c r="H183" s="78" t="e">
        <f>VLOOKUP($A183,Data!$D$3:$CJ$128,69,FALSE)</f>
        <v>#N/A</v>
      </c>
      <c r="I183" s="74" t="e">
        <f>VLOOKUP($A183,Data!$D$3:$CJ$128,70,FALSE)</f>
        <v>#N/A</v>
      </c>
      <c r="J183" s="74" t="e">
        <f>VLOOKUP($A183,Data!$D$3:$CJ$128,71,FALSE)</f>
        <v>#N/A</v>
      </c>
      <c r="K183" s="74" t="e">
        <f>VLOOKUP($A183,Data!$D$3:$CJ$128,72,FALSE)</f>
        <v>#N/A</v>
      </c>
      <c r="L183" s="74" t="e">
        <f>VLOOKUP($A183,Data!$D$3:$CJ$128,73,FALSE)</f>
        <v>#N/A</v>
      </c>
      <c r="M183" s="74" t="e">
        <f>VLOOKUP($A183,Data!$D$3:$CJ$128,74,FALSE)</f>
        <v>#N/A</v>
      </c>
      <c r="N183" s="78" t="e">
        <f t="shared" si="43"/>
        <v>#N/A</v>
      </c>
      <c r="O183" s="78" t="e">
        <f t="shared" si="44"/>
        <v>#N/A</v>
      </c>
      <c r="P183" s="78" t="e">
        <f t="shared" si="45"/>
        <v>#N/A</v>
      </c>
      <c r="Q183" s="78" t="e">
        <f t="shared" si="46"/>
        <v>#N/A</v>
      </c>
      <c r="R183" s="78" t="e">
        <f t="shared" si="47"/>
        <v>#N/A</v>
      </c>
      <c r="S183" s="78" t="e">
        <f t="shared" si="48"/>
        <v>#N/A</v>
      </c>
      <c r="T183" s="74" t="e">
        <f t="shared" si="49"/>
        <v>#N/A</v>
      </c>
      <c r="U183" s="74" t="e">
        <f t="shared" si="50"/>
        <v>#N/A</v>
      </c>
      <c r="V183" s="74" t="e">
        <f t="shared" si="51"/>
        <v>#N/A</v>
      </c>
      <c r="W183" s="74" t="e">
        <f t="shared" si="52"/>
        <v>#N/A</v>
      </c>
      <c r="X183" s="74" t="e">
        <f t="shared" si="53"/>
        <v>#N/A</v>
      </c>
      <c r="Y183" s="74" t="e">
        <f t="shared" si="54"/>
        <v>#N/A</v>
      </c>
    </row>
    <row r="184" spans="1:25">
      <c r="A184" s="88">
        <f>'Batch input'!A183</f>
        <v>0</v>
      </c>
      <c r="B184">
        <f>'Batch input'!B183</f>
        <v>0</v>
      </c>
      <c r="C184" t="e">
        <f>VLOOKUP($A184,Data!$D$3:$CJ$128,30,FALSE)</f>
        <v>#N/A</v>
      </c>
      <c r="D184" s="74" t="e">
        <f>VLOOKUP($A184,Data!$D$3:$CJ$128,64,FALSE)</f>
        <v>#N/A</v>
      </c>
      <c r="E184" s="74" t="e">
        <f>VLOOKUP($A184,Data!$D$3:$CJ$128,66,FALSE)</f>
        <v>#N/A</v>
      </c>
      <c r="F184" s="74" t="e">
        <f>VLOOKUP($A184,Data!$D$3:$CJ$128,67,FALSE)</f>
        <v>#N/A</v>
      </c>
      <c r="G184" s="78" t="e">
        <f>VLOOKUP($A184,Data!$D$3:$CJ$128,68,FALSE)</f>
        <v>#N/A</v>
      </c>
      <c r="H184" s="78" t="e">
        <f>VLOOKUP($A184,Data!$D$3:$CJ$128,69,FALSE)</f>
        <v>#N/A</v>
      </c>
      <c r="I184" s="74" t="e">
        <f>VLOOKUP($A184,Data!$D$3:$CJ$128,70,FALSE)</f>
        <v>#N/A</v>
      </c>
      <c r="J184" s="74" t="e">
        <f>VLOOKUP($A184,Data!$D$3:$CJ$128,71,FALSE)</f>
        <v>#N/A</v>
      </c>
      <c r="K184" s="74" t="e">
        <f>VLOOKUP($A184,Data!$D$3:$CJ$128,72,FALSE)</f>
        <v>#N/A</v>
      </c>
      <c r="L184" s="74" t="e">
        <f>VLOOKUP($A184,Data!$D$3:$CJ$128,73,FALSE)</f>
        <v>#N/A</v>
      </c>
      <c r="M184" s="74" t="e">
        <f>VLOOKUP($A184,Data!$D$3:$CJ$128,74,FALSE)</f>
        <v>#N/A</v>
      </c>
      <c r="N184" s="78" t="e">
        <f t="shared" si="43"/>
        <v>#N/A</v>
      </c>
      <c r="O184" s="78" t="e">
        <f t="shared" si="44"/>
        <v>#N/A</v>
      </c>
      <c r="P184" s="78" t="e">
        <f t="shared" si="45"/>
        <v>#N/A</v>
      </c>
      <c r="Q184" s="78" t="e">
        <f t="shared" si="46"/>
        <v>#N/A</v>
      </c>
      <c r="R184" s="78" t="e">
        <f t="shared" si="47"/>
        <v>#N/A</v>
      </c>
      <c r="S184" s="78" t="e">
        <f t="shared" si="48"/>
        <v>#N/A</v>
      </c>
      <c r="T184" s="74" t="e">
        <f t="shared" si="49"/>
        <v>#N/A</v>
      </c>
      <c r="U184" s="74" t="e">
        <f t="shared" si="50"/>
        <v>#N/A</v>
      </c>
      <c r="V184" s="74" t="e">
        <f t="shared" si="51"/>
        <v>#N/A</v>
      </c>
      <c r="W184" s="74" t="e">
        <f t="shared" si="52"/>
        <v>#N/A</v>
      </c>
      <c r="X184" s="74" t="e">
        <f t="shared" si="53"/>
        <v>#N/A</v>
      </c>
      <c r="Y184" s="74" t="e">
        <f t="shared" si="54"/>
        <v>#N/A</v>
      </c>
    </row>
    <row r="185" spans="1:25">
      <c r="A185" s="88">
        <f>'Batch input'!A184</f>
        <v>0</v>
      </c>
      <c r="B185">
        <f>'Batch input'!B184</f>
        <v>0</v>
      </c>
      <c r="C185" t="e">
        <f>VLOOKUP($A185,Data!$D$3:$CJ$128,30,FALSE)</f>
        <v>#N/A</v>
      </c>
      <c r="D185" s="74" t="e">
        <f>VLOOKUP($A185,Data!$D$3:$CJ$128,64,FALSE)</f>
        <v>#N/A</v>
      </c>
      <c r="E185" s="74" t="e">
        <f>VLOOKUP($A185,Data!$D$3:$CJ$128,66,FALSE)</f>
        <v>#N/A</v>
      </c>
      <c r="F185" s="74" t="e">
        <f>VLOOKUP($A185,Data!$D$3:$CJ$128,67,FALSE)</f>
        <v>#N/A</v>
      </c>
      <c r="G185" s="78" t="e">
        <f>VLOOKUP($A185,Data!$D$3:$CJ$128,68,FALSE)</f>
        <v>#N/A</v>
      </c>
      <c r="H185" s="78" t="e">
        <f>VLOOKUP($A185,Data!$D$3:$CJ$128,69,FALSE)</f>
        <v>#N/A</v>
      </c>
      <c r="I185" s="74" t="e">
        <f>VLOOKUP($A185,Data!$D$3:$CJ$128,70,FALSE)</f>
        <v>#N/A</v>
      </c>
      <c r="J185" s="74" t="e">
        <f>VLOOKUP($A185,Data!$D$3:$CJ$128,71,FALSE)</f>
        <v>#N/A</v>
      </c>
      <c r="K185" s="74" t="e">
        <f>VLOOKUP($A185,Data!$D$3:$CJ$128,72,FALSE)</f>
        <v>#N/A</v>
      </c>
      <c r="L185" s="74" t="e">
        <f>VLOOKUP($A185,Data!$D$3:$CJ$128,73,FALSE)</f>
        <v>#N/A</v>
      </c>
      <c r="M185" s="74" t="e">
        <f>VLOOKUP($A185,Data!$D$3:$CJ$128,74,FALSE)</f>
        <v>#N/A</v>
      </c>
      <c r="N185" s="78" t="e">
        <f t="shared" si="43"/>
        <v>#N/A</v>
      </c>
      <c r="O185" s="78" t="e">
        <f t="shared" si="44"/>
        <v>#N/A</v>
      </c>
      <c r="P185" s="78" t="e">
        <f t="shared" si="45"/>
        <v>#N/A</v>
      </c>
      <c r="Q185" s="78" t="e">
        <f t="shared" si="46"/>
        <v>#N/A</v>
      </c>
      <c r="R185" s="78" t="e">
        <f t="shared" si="47"/>
        <v>#N/A</v>
      </c>
      <c r="S185" s="78" t="e">
        <f t="shared" si="48"/>
        <v>#N/A</v>
      </c>
      <c r="T185" s="74" t="e">
        <f t="shared" si="49"/>
        <v>#N/A</v>
      </c>
      <c r="U185" s="74" t="e">
        <f t="shared" si="50"/>
        <v>#N/A</v>
      </c>
      <c r="V185" s="74" t="e">
        <f t="shared" si="51"/>
        <v>#N/A</v>
      </c>
      <c r="W185" s="74" t="e">
        <f t="shared" si="52"/>
        <v>#N/A</v>
      </c>
      <c r="X185" s="74" t="e">
        <f t="shared" si="53"/>
        <v>#N/A</v>
      </c>
      <c r="Y185" s="74" t="e">
        <f t="shared" si="54"/>
        <v>#N/A</v>
      </c>
    </row>
    <row r="186" spans="1:25">
      <c r="A186" s="88">
        <f>'Batch input'!A185</f>
        <v>0</v>
      </c>
      <c r="B186">
        <f>'Batch input'!B185</f>
        <v>0</v>
      </c>
      <c r="C186" t="e">
        <f>VLOOKUP($A186,Data!$D$3:$CJ$128,30,FALSE)</f>
        <v>#N/A</v>
      </c>
      <c r="D186" s="74" t="e">
        <f>VLOOKUP($A186,Data!$D$3:$CJ$128,64,FALSE)</f>
        <v>#N/A</v>
      </c>
      <c r="E186" s="74" t="e">
        <f>VLOOKUP($A186,Data!$D$3:$CJ$128,66,FALSE)</f>
        <v>#N/A</v>
      </c>
      <c r="F186" s="74" t="e">
        <f>VLOOKUP($A186,Data!$D$3:$CJ$128,67,FALSE)</f>
        <v>#N/A</v>
      </c>
      <c r="G186" s="78" t="e">
        <f>VLOOKUP($A186,Data!$D$3:$CJ$128,68,FALSE)</f>
        <v>#N/A</v>
      </c>
      <c r="H186" s="78" t="e">
        <f>VLOOKUP($A186,Data!$D$3:$CJ$128,69,FALSE)</f>
        <v>#N/A</v>
      </c>
      <c r="I186" s="74" t="e">
        <f>VLOOKUP($A186,Data!$D$3:$CJ$128,70,FALSE)</f>
        <v>#N/A</v>
      </c>
      <c r="J186" s="74" t="e">
        <f>VLOOKUP($A186,Data!$D$3:$CJ$128,71,FALSE)</f>
        <v>#N/A</v>
      </c>
      <c r="K186" s="74" t="e">
        <f>VLOOKUP($A186,Data!$D$3:$CJ$128,72,FALSE)</f>
        <v>#N/A</v>
      </c>
      <c r="L186" s="74" t="e">
        <f>VLOOKUP($A186,Data!$D$3:$CJ$128,73,FALSE)</f>
        <v>#N/A</v>
      </c>
      <c r="M186" s="74" t="e">
        <f>VLOOKUP($A186,Data!$D$3:$CJ$128,74,FALSE)</f>
        <v>#N/A</v>
      </c>
      <c r="N186" s="78" t="e">
        <f t="shared" si="43"/>
        <v>#N/A</v>
      </c>
      <c r="O186" s="78" t="e">
        <f t="shared" si="44"/>
        <v>#N/A</v>
      </c>
      <c r="P186" s="78" t="e">
        <f t="shared" si="45"/>
        <v>#N/A</v>
      </c>
      <c r="Q186" s="78" t="e">
        <f t="shared" si="46"/>
        <v>#N/A</v>
      </c>
      <c r="R186" s="78" t="e">
        <f t="shared" si="47"/>
        <v>#N/A</v>
      </c>
      <c r="S186" s="78" t="e">
        <f t="shared" si="48"/>
        <v>#N/A</v>
      </c>
      <c r="T186" s="74" t="e">
        <f t="shared" si="49"/>
        <v>#N/A</v>
      </c>
      <c r="U186" s="74" t="e">
        <f t="shared" si="50"/>
        <v>#N/A</v>
      </c>
      <c r="V186" s="74" t="e">
        <f t="shared" si="51"/>
        <v>#N/A</v>
      </c>
      <c r="W186" s="74" t="e">
        <f t="shared" si="52"/>
        <v>#N/A</v>
      </c>
      <c r="X186" s="74" t="e">
        <f t="shared" si="53"/>
        <v>#N/A</v>
      </c>
      <c r="Y186" s="74" t="e">
        <f t="shared" si="54"/>
        <v>#N/A</v>
      </c>
    </row>
    <row r="187" spans="1:25">
      <c r="A187" s="88">
        <f>'Batch input'!A186</f>
        <v>0</v>
      </c>
      <c r="B187">
        <f>'Batch input'!B186</f>
        <v>0</v>
      </c>
      <c r="C187" t="e">
        <f>VLOOKUP($A187,Data!$D$3:$CJ$128,30,FALSE)</f>
        <v>#N/A</v>
      </c>
      <c r="D187" s="74" t="e">
        <f>VLOOKUP($A187,Data!$D$3:$CJ$128,64,FALSE)</f>
        <v>#N/A</v>
      </c>
      <c r="E187" s="74" t="e">
        <f>VLOOKUP($A187,Data!$D$3:$CJ$128,66,FALSE)</f>
        <v>#N/A</v>
      </c>
      <c r="F187" s="74" t="e">
        <f>VLOOKUP($A187,Data!$D$3:$CJ$128,67,FALSE)</f>
        <v>#N/A</v>
      </c>
      <c r="G187" s="78" t="e">
        <f>VLOOKUP($A187,Data!$D$3:$CJ$128,68,FALSE)</f>
        <v>#N/A</v>
      </c>
      <c r="H187" s="78" t="e">
        <f>VLOOKUP($A187,Data!$D$3:$CJ$128,69,FALSE)</f>
        <v>#N/A</v>
      </c>
      <c r="I187" s="74" t="e">
        <f>VLOOKUP($A187,Data!$D$3:$CJ$128,70,FALSE)</f>
        <v>#N/A</v>
      </c>
      <c r="J187" s="74" t="e">
        <f>VLOOKUP($A187,Data!$D$3:$CJ$128,71,FALSE)</f>
        <v>#N/A</v>
      </c>
      <c r="K187" s="74" t="e">
        <f>VLOOKUP($A187,Data!$D$3:$CJ$128,72,FALSE)</f>
        <v>#N/A</v>
      </c>
      <c r="L187" s="74" t="e">
        <f>VLOOKUP($A187,Data!$D$3:$CJ$128,73,FALSE)</f>
        <v>#N/A</v>
      </c>
      <c r="M187" s="74" t="e">
        <f>VLOOKUP($A187,Data!$D$3:$CJ$128,74,FALSE)</f>
        <v>#N/A</v>
      </c>
      <c r="N187" s="78" t="e">
        <f t="shared" si="43"/>
        <v>#N/A</v>
      </c>
      <c r="O187" s="78" t="e">
        <f t="shared" si="44"/>
        <v>#N/A</v>
      </c>
      <c r="P187" s="78" t="e">
        <f t="shared" si="45"/>
        <v>#N/A</v>
      </c>
      <c r="Q187" s="78" t="e">
        <f t="shared" si="46"/>
        <v>#N/A</v>
      </c>
      <c r="R187" s="78" t="e">
        <f t="shared" si="47"/>
        <v>#N/A</v>
      </c>
      <c r="S187" s="78" t="e">
        <f t="shared" si="48"/>
        <v>#N/A</v>
      </c>
      <c r="T187" s="74" t="e">
        <f t="shared" si="49"/>
        <v>#N/A</v>
      </c>
      <c r="U187" s="74" t="e">
        <f t="shared" si="50"/>
        <v>#N/A</v>
      </c>
      <c r="V187" s="74" t="e">
        <f t="shared" si="51"/>
        <v>#N/A</v>
      </c>
      <c r="W187" s="74" t="e">
        <f t="shared" si="52"/>
        <v>#N/A</v>
      </c>
      <c r="X187" s="74" t="e">
        <f t="shared" si="53"/>
        <v>#N/A</v>
      </c>
      <c r="Y187" s="74" t="e">
        <f t="shared" si="54"/>
        <v>#N/A</v>
      </c>
    </row>
    <row r="188" spans="1:25">
      <c r="A188" s="88">
        <f>'Batch input'!A187</f>
        <v>0</v>
      </c>
      <c r="B188">
        <f>'Batch input'!B187</f>
        <v>0</v>
      </c>
      <c r="C188" t="e">
        <f>VLOOKUP($A188,Data!$D$3:$CJ$128,30,FALSE)</f>
        <v>#N/A</v>
      </c>
      <c r="D188" s="74" t="e">
        <f>VLOOKUP($A188,Data!$D$3:$CJ$128,64,FALSE)</f>
        <v>#N/A</v>
      </c>
      <c r="E188" s="74" t="e">
        <f>VLOOKUP($A188,Data!$D$3:$CJ$128,66,FALSE)</f>
        <v>#N/A</v>
      </c>
      <c r="F188" s="74" t="e">
        <f>VLOOKUP($A188,Data!$D$3:$CJ$128,67,FALSE)</f>
        <v>#N/A</v>
      </c>
      <c r="G188" s="78" t="e">
        <f>VLOOKUP($A188,Data!$D$3:$CJ$128,68,FALSE)</f>
        <v>#N/A</v>
      </c>
      <c r="H188" s="78" t="e">
        <f>VLOOKUP($A188,Data!$D$3:$CJ$128,69,FALSE)</f>
        <v>#N/A</v>
      </c>
      <c r="I188" s="74" t="e">
        <f>VLOOKUP($A188,Data!$D$3:$CJ$128,70,FALSE)</f>
        <v>#N/A</v>
      </c>
      <c r="J188" s="74" t="e">
        <f>VLOOKUP($A188,Data!$D$3:$CJ$128,71,FALSE)</f>
        <v>#N/A</v>
      </c>
      <c r="K188" s="74" t="e">
        <f>VLOOKUP($A188,Data!$D$3:$CJ$128,72,FALSE)</f>
        <v>#N/A</v>
      </c>
      <c r="L188" s="74" t="e">
        <f>VLOOKUP($A188,Data!$D$3:$CJ$128,73,FALSE)</f>
        <v>#N/A</v>
      </c>
      <c r="M188" s="74" t="e">
        <f>VLOOKUP($A188,Data!$D$3:$CJ$128,74,FALSE)</f>
        <v>#N/A</v>
      </c>
      <c r="N188" s="78" t="e">
        <f t="shared" si="43"/>
        <v>#N/A</v>
      </c>
      <c r="O188" s="78" t="e">
        <f t="shared" si="44"/>
        <v>#N/A</v>
      </c>
      <c r="P188" s="78" t="e">
        <f t="shared" si="45"/>
        <v>#N/A</v>
      </c>
      <c r="Q188" s="78" t="e">
        <f t="shared" si="46"/>
        <v>#N/A</v>
      </c>
      <c r="R188" s="78" t="e">
        <f t="shared" si="47"/>
        <v>#N/A</v>
      </c>
      <c r="S188" s="78" t="e">
        <f t="shared" si="48"/>
        <v>#N/A</v>
      </c>
      <c r="T188" s="74" t="e">
        <f t="shared" si="49"/>
        <v>#N/A</v>
      </c>
      <c r="U188" s="74" t="e">
        <f t="shared" si="50"/>
        <v>#N/A</v>
      </c>
      <c r="V188" s="74" t="e">
        <f t="shared" si="51"/>
        <v>#N/A</v>
      </c>
      <c r="W188" s="74" t="e">
        <f t="shared" si="52"/>
        <v>#N/A</v>
      </c>
      <c r="X188" s="74" t="e">
        <f t="shared" si="53"/>
        <v>#N/A</v>
      </c>
      <c r="Y188" s="74" t="e">
        <f t="shared" si="54"/>
        <v>#N/A</v>
      </c>
    </row>
    <row r="189" spans="1:25">
      <c r="A189" s="88">
        <f>'Batch input'!A188</f>
        <v>0</v>
      </c>
      <c r="B189">
        <f>'Batch input'!B188</f>
        <v>0</v>
      </c>
      <c r="C189" t="e">
        <f>VLOOKUP($A189,Data!$D$3:$CJ$128,30,FALSE)</f>
        <v>#N/A</v>
      </c>
      <c r="D189" s="74" t="e">
        <f>VLOOKUP($A189,Data!$D$3:$CJ$128,64,FALSE)</f>
        <v>#N/A</v>
      </c>
      <c r="E189" s="74" t="e">
        <f>VLOOKUP($A189,Data!$D$3:$CJ$128,66,FALSE)</f>
        <v>#N/A</v>
      </c>
      <c r="F189" s="74" t="e">
        <f>VLOOKUP($A189,Data!$D$3:$CJ$128,67,FALSE)</f>
        <v>#N/A</v>
      </c>
      <c r="G189" s="78" t="e">
        <f>VLOOKUP($A189,Data!$D$3:$CJ$128,68,FALSE)</f>
        <v>#N/A</v>
      </c>
      <c r="H189" s="78" t="e">
        <f>VLOOKUP($A189,Data!$D$3:$CJ$128,69,FALSE)</f>
        <v>#N/A</v>
      </c>
      <c r="I189" s="74" t="e">
        <f>VLOOKUP($A189,Data!$D$3:$CJ$128,70,FALSE)</f>
        <v>#N/A</v>
      </c>
      <c r="J189" s="74" t="e">
        <f>VLOOKUP($A189,Data!$D$3:$CJ$128,71,FALSE)</f>
        <v>#N/A</v>
      </c>
      <c r="K189" s="74" t="e">
        <f>VLOOKUP($A189,Data!$D$3:$CJ$128,72,FALSE)</f>
        <v>#N/A</v>
      </c>
      <c r="L189" s="74" t="e">
        <f>VLOOKUP($A189,Data!$D$3:$CJ$128,73,FALSE)</f>
        <v>#N/A</v>
      </c>
      <c r="M189" s="74" t="e">
        <f>VLOOKUP($A189,Data!$D$3:$CJ$128,74,FALSE)</f>
        <v>#N/A</v>
      </c>
      <c r="N189" s="78" t="e">
        <f t="shared" si="43"/>
        <v>#N/A</v>
      </c>
      <c r="O189" s="78" t="e">
        <f t="shared" si="44"/>
        <v>#N/A</v>
      </c>
      <c r="P189" s="78" t="e">
        <f t="shared" si="45"/>
        <v>#N/A</v>
      </c>
      <c r="Q189" s="78" t="e">
        <f t="shared" si="46"/>
        <v>#N/A</v>
      </c>
      <c r="R189" s="78" t="e">
        <f t="shared" si="47"/>
        <v>#N/A</v>
      </c>
      <c r="S189" s="78" t="e">
        <f t="shared" si="48"/>
        <v>#N/A</v>
      </c>
      <c r="T189" s="74" t="e">
        <f t="shared" si="49"/>
        <v>#N/A</v>
      </c>
      <c r="U189" s="74" t="e">
        <f t="shared" si="50"/>
        <v>#N/A</v>
      </c>
      <c r="V189" s="74" t="e">
        <f t="shared" si="51"/>
        <v>#N/A</v>
      </c>
      <c r="W189" s="74" t="e">
        <f t="shared" si="52"/>
        <v>#N/A</v>
      </c>
      <c r="X189" s="74" t="e">
        <f t="shared" si="53"/>
        <v>#N/A</v>
      </c>
      <c r="Y189" s="74" t="e">
        <f t="shared" si="54"/>
        <v>#N/A</v>
      </c>
    </row>
    <row r="190" spans="1:25">
      <c r="A190" s="88">
        <f>'Batch input'!A189</f>
        <v>0</v>
      </c>
      <c r="B190">
        <f>'Batch input'!B189</f>
        <v>0</v>
      </c>
      <c r="C190" t="e">
        <f>VLOOKUP($A190,Data!$D$3:$CJ$128,30,FALSE)</f>
        <v>#N/A</v>
      </c>
      <c r="D190" s="74" t="e">
        <f>VLOOKUP($A190,Data!$D$3:$CJ$128,64,FALSE)</f>
        <v>#N/A</v>
      </c>
      <c r="E190" s="74" t="e">
        <f>VLOOKUP($A190,Data!$D$3:$CJ$128,66,FALSE)</f>
        <v>#N/A</v>
      </c>
      <c r="F190" s="74" t="e">
        <f>VLOOKUP($A190,Data!$D$3:$CJ$128,67,FALSE)</f>
        <v>#N/A</v>
      </c>
      <c r="G190" s="78" t="e">
        <f>VLOOKUP($A190,Data!$D$3:$CJ$128,68,FALSE)</f>
        <v>#N/A</v>
      </c>
      <c r="H190" s="78" t="e">
        <f>VLOOKUP($A190,Data!$D$3:$CJ$128,69,FALSE)</f>
        <v>#N/A</v>
      </c>
      <c r="I190" s="74" t="e">
        <f>VLOOKUP($A190,Data!$D$3:$CJ$128,70,FALSE)</f>
        <v>#N/A</v>
      </c>
      <c r="J190" s="74" t="e">
        <f>VLOOKUP($A190,Data!$D$3:$CJ$128,71,FALSE)</f>
        <v>#N/A</v>
      </c>
      <c r="K190" s="74" t="e">
        <f>VLOOKUP($A190,Data!$D$3:$CJ$128,72,FALSE)</f>
        <v>#N/A</v>
      </c>
      <c r="L190" s="74" t="e">
        <f>VLOOKUP($A190,Data!$D$3:$CJ$128,73,FALSE)</f>
        <v>#N/A</v>
      </c>
      <c r="M190" s="74" t="e">
        <f>VLOOKUP($A190,Data!$D$3:$CJ$128,74,FALSE)</f>
        <v>#N/A</v>
      </c>
      <c r="N190" s="78" t="e">
        <f t="shared" si="43"/>
        <v>#N/A</v>
      </c>
      <c r="O190" s="78" t="e">
        <f t="shared" si="44"/>
        <v>#N/A</v>
      </c>
      <c r="P190" s="78" t="e">
        <f t="shared" si="45"/>
        <v>#N/A</v>
      </c>
      <c r="Q190" s="78" t="e">
        <f t="shared" si="46"/>
        <v>#N/A</v>
      </c>
      <c r="R190" s="78" t="e">
        <f t="shared" si="47"/>
        <v>#N/A</v>
      </c>
      <c r="S190" s="78" t="e">
        <f t="shared" si="48"/>
        <v>#N/A</v>
      </c>
      <c r="T190" s="74" t="e">
        <f t="shared" si="49"/>
        <v>#N/A</v>
      </c>
      <c r="U190" s="74" t="e">
        <f t="shared" si="50"/>
        <v>#N/A</v>
      </c>
      <c r="V190" s="74" t="e">
        <f t="shared" si="51"/>
        <v>#N/A</v>
      </c>
      <c r="W190" s="74" t="e">
        <f t="shared" si="52"/>
        <v>#N/A</v>
      </c>
      <c r="X190" s="74" t="e">
        <f t="shared" si="53"/>
        <v>#N/A</v>
      </c>
      <c r="Y190" s="74" t="e">
        <f t="shared" si="54"/>
        <v>#N/A</v>
      </c>
    </row>
    <row r="191" spans="1:25">
      <c r="A191" s="88">
        <f>'Batch input'!A190</f>
        <v>0</v>
      </c>
      <c r="B191">
        <f>'Batch input'!B190</f>
        <v>0</v>
      </c>
      <c r="C191" t="e">
        <f>VLOOKUP($A191,Data!$D$3:$CJ$128,30,FALSE)</f>
        <v>#N/A</v>
      </c>
      <c r="D191" s="74" t="e">
        <f>VLOOKUP($A191,Data!$D$3:$CJ$128,64,FALSE)</f>
        <v>#N/A</v>
      </c>
      <c r="E191" s="74" t="e">
        <f>VLOOKUP($A191,Data!$D$3:$CJ$128,66,FALSE)</f>
        <v>#N/A</v>
      </c>
      <c r="F191" s="74" t="e">
        <f>VLOOKUP($A191,Data!$D$3:$CJ$128,67,FALSE)</f>
        <v>#N/A</v>
      </c>
      <c r="G191" s="78" t="e">
        <f>VLOOKUP($A191,Data!$D$3:$CJ$128,68,FALSE)</f>
        <v>#N/A</v>
      </c>
      <c r="H191" s="78" t="e">
        <f>VLOOKUP($A191,Data!$D$3:$CJ$128,69,FALSE)</f>
        <v>#N/A</v>
      </c>
      <c r="I191" s="74" t="e">
        <f>VLOOKUP($A191,Data!$D$3:$CJ$128,70,FALSE)</f>
        <v>#N/A</v>
      </c>
      <c r="J191" s="74" t="e">
        <f>VLOOKUP($A191,Data!$D$3:$CJ$128,71,FALSE)</f>
        <v>#N/A</v>
      </c>
      <c r="K191" s="74" t="e">
        <f>VLOOKUP($A191,Data!$D$3:$CJ$128,72,FALSE)</f>
        <v>#N/A</v>
      </c>
      <c r="L191" s="74" t="e">
        <f>VLOOKUP($A191,Data!$D$3:$CJ$128,73,FALSE)</f>
        <v>#N/A</v>
      </c>
      <c r="M191" s="74" t="e">
        <f>VLOOKUP($A191,Data!$D$3:$CJ$128,74,FALSE)</f>
        <v>#N/A</v>
      </c>
      <c r="N191" s="78" t="e">
        <f t="shared" si="43"/>
        <v>#N/A</v>
      </c>
      <c r="O191" s="78" t="e">
        <f t="shared" si="44"/>
        <v>#N/A</v>
      </c>
      <c r="P191" s="78" t="e">
        <f t="shared" si="45"/>
        <v>#N/A</v>
      </c>
      <c r="Q191" s="78" t="e">
        <f t="shared" si="46"/>
        <v>#N/A</v>
      </c>
      <c r="R191" s="78" t="e">
        <f t="shared" si="47"/>
        <v>#N/A</v>
      </c>
      <c r="S191" s="78" t="e">
        <f t="shared" si="48"/>
        <v>#N/A</v>
      </c>
      <c r="T191" s="74" t="e">
        <f t="shared" si="49"/>
        <v>#N/A</v>
      </c>
      <c r="U191" s="74" t="e">
        <f t="shared" si="50"/>
        <v>#N/A</v>
      </c>
      <c r="V191" s="74" t="e">
        <f t="shared" si="51"/>
        <v>#N/A</v>
      </c>
      <c r="W191" s="74" t="e">
        <f t="shared" si="52"/>
        <v>#N/A</v>
      </c>
      <c r="X191" s="74" t="e">
        <f t="shared" si="53"/>
        <v>#N/A</v>
      </c>
      <c r="Y191" s="74" t="e">
        <f t="shared" si="54"/>
        <v>#N/A</v>
      </c>
    </row>
    <row r="192" spans="1:25">
      <c r="A192" s="88">
        <f>'Batch input'!A191</f>
        <v>0</v>
      </c>
      <c r="B192">
        <f>'Batch input'!B191</f>
        <v>0</v>
      </c>
      <c r="C192" t="e">
        <f>VLOOKUP($A192,Data!$D$3:$CJ$128,30,FALSE)</f>
        <v>#N/A</v>
      </c>
      <c r="D192" s="74" t="e">
        <f>VLOOKUP($A192,Data!$D$3:$CJ$128,64,FALSE)</f>
        <v>#N/A</v>
      </c>
      <c r="E192" s="74" t="e">
        <f>VLOOKUP($A192,Data!$D$3:$CJ$128,66,FALSE)</f>
        <v>#N/A</v>
      </c>
      <c r="F192" s="74" t="e">
        <f>VLOOKUP($A192,Data!$D$3:$CJ$128,67,FALSE)</f>
        <v>#N/A</v>
      </c>
      <c r="G192" s="78" t="e">
        <f>VLOOKUP($A192,Data!$D$3:$CJ$128,68,FALSE)</f>
        <v>#N/A</v>
      </c>
      <c r="H192" s="78" t="e">
        <f>VLOOKUP($A192,Data!$D$3:$CJ$128,69,FALSE)</f>
        <v>#N/A</v>
      </c>
      <c r="I192" s="74" t="e">
        <f>VLOOKUP($A192,Data!$D$3:$CJ$128,70,FALSE)</f>
        <v>#N/A</v>
      </c>
      <c r="J192" s="74" t="e">
        <f>VLOOKUP($A192,Data!$D$3:$CJ$128,71,FALSE)</f>
        <v>#N/A</v>
      </c>
      <c r="K192" s="74" t="e">
        <f>VLOOKUP($A192,Data!$D$3:$CJ$128,72,FALSE)</f>
        <v>#N/A</v>
      </c>
      <c r="L192" s="74" t="e">
        <f>VLOOKUP($A192,Data!$D$3:$CJ$128,73,FALSE)</f>
        <v>#N/A</v>
      </c>
      <c r="M192" s="74" t="e">
        <f>VLOOKUP($A192,Data!$D$3:$CJ$128,74,FALSE)</f>
        <v>#N/A</v>
      </c>
      <c r="N192" s="78" t="e">
        <f t="shared" si="43"/>
        <v>#N/A</v>
      </c>
      <c r="O192" s="78" t="e">
        <f t="shared" si="44"/>
        <v>#N/A</v>
      </c>
      <c r="P192" s="78" t="e">
        <f t="shared" si="45"/>
        <v>#N/A</v>
      </c>
      <c r="Q192" s="78" t="e">
        <f t="shared" si="46"/>
        <v>#N/A</v>
      </c>
      <c r="R192" s="78" t="e">
        <f t="shared" si="47"/>
        <v>#N/A</v>
      </c>
      <c r="S192" s="78" t="e">
        <f t="shared" si="48"/>
        <v>#N/A</v>
      </c>
      <c r="T192" s="74" t="e">
        <f t="shared" si="49"/>
        <v>#N/A</v>
      </c>
      <c r="U192" s="74" t="e">
        <f t="shared" si="50"/>
        <v>#N/A</v>
      </c>
      <c r="V192" s="74" t="e">
        <f t="shared" si="51"/>
        <v>#N/A</v>
      </c>
      <c r="W192" s="74" t="e">
        <f t="shared" si="52"/>
        <v>#N/A</v>
      </c>
      <c r="X192" s="74" t="e">
        <f t="shared" si="53"/>
        <v>#N/A</v>
      </c>
      <c r="Y192" s="74" t="e">
        <f t="shared" si="54"/>
        <v>#N/A</v>
      </c>
    </row>
    <row r="193" spans="1:25">
      <c r="A193" s="88">
        <f>'Batch input'!A192</f>
        <v>0</v>
      </c>
      <c r="B193">
        <f>'Batch input'!B192</f>
        <v>0</v>
      </c>
      <c r="C193" t="e">
        <f>VLOOKUP($A193,Data!$D$3:$CJ$128,30,FALSE)</f>
        <v>#N/A</v>
      </c>
      <c r="D193" s="74" t="e">
        <f>VLOOKUP($A193,Data!$D$3:$CJ$128,64,FALSE)</f>
        <v>#N/A</v>
      </c>
      <c r="E193" s="74" t="e">
        <f>VLOOKUP($A193,Data!$D$3:$CJ$128,66,FALSE)</f>
        <v>#N/A</v>
      </c>
      <c r="F193" s="74" t="e">
        <f>VLOOKUP($A193,Data!$D$3:$CJ$128,67,FALSE)</f>
        <v>#N/A</v>
      </c>
      <c r="G193" s="78" t="e">
        <f>VLOOKUP($A193,Data!$D$3:$CJ$128,68,FALSE)</f>
        <v>#N/A</v>
      </c>
      <c r="H193" s="78" t="e">
        <f>VLOOKUP($A193,Data!$D$3:$CJ$128,69,FALSE)</f>
        <v>#N/A</v>
      </c>
      <c r="I193" s="74" t="e">
        <f>VLOOKUP($A193,Data!$D$3:$CJ$128,70,FALSE)</f>
        <v>#N/A</v>
      </c>
      <c r="J193" s="74" t="e">
        <f>VLOOKUP($A193,Data!$D$3:$CJ$128,71,FALSE)</f>
        <v>#N/A</v>
      </c>
      <c r="K193" s="74" t="e">
        <f>VLOOKUP($A193,Data!$D$3:$CJ$128,72,FALSE)</f>
        <v>#N/A</v>
      </c>
      <c r="L193" s="74" t="e">
        <f>VLOOKUP($A193,Data!$D$3:$CJ$128,73,FALSE)</f>
        <v>#N/A</v>
      </c>
      <c r="M193" s="74" t="e">
        <f>VLOOKUP($A193,Data!$D$3:$CJ$128,74,FALSE)</f>
        <v>#N/A</v>
      </c>
      <c r="N193" s="78" t="e">
        <f t="shared" si="43"/>
        <v>#N/A</v>
      </c>
      <c r="O193" s="78" t="e">
        <f t="shared" si="44"/>
        <v>#N/A</v>
      </c>
      <c r="P193" s="78" t="e">
        <f t="shared" si="45"/>
        <v>#N/A</v>
      </c>
      <c r="Q193" s="78" t="e">
        <f t="shared" si="46"/>
        <v>#N/A</v>
      </c>
      <c r="R193" s="78" t="e">
        <f t="shared" si="47"/>
        <v>#N/A</v>
      </c>
      <c r="S193" s="78" t="e">
        <f t="shared" si="48"/>
        <v>#N/A</v>
      </c>
      <c r="T193" s="74" t="e">
        <f t="shared" si="49"/>
        <v>#N/A</v>
      </c>
      <c r="U193" s="74" t="e">
        <f t="shared" si="50"/>
        <v>#N/A</v>
      </c>
      <c r="V193" s="74" t="e">
        <f t="shared" si="51"/>
        <v>#N/A</v>
      </c>
      <c r="W193" s="74" t="e">
        <f t="shared" si="52"/>
        <v>#N/A</v>
      </c>
      <c r="X193" s="74" t="e">
        <f t="shared" si="53"/>
        <v>#N/A</v>
      </c>
      <c r="Y193" s="74" t="e">
        <f t="shared" si="54"/>
        <v>#N/A</v>
      </c>
    </row>
    <row r="194" spans="1:25">
      <c r="A194" s="88">
        <f>'Batch input'!A193</f>
        <v>0</v>
      </c>
      <c r="B194">
        <f>'Batch input'!B193</f>
        <v>0</v>
      </c>
      <c r="C194" t="e">
        <f>VLOOKUP($A194,Data!$D$3:$CJ$128,30,FALSE)</f>
        <v>#N/A</v>
      </c>
      <c r="D194" s="74" t="e">
        <f>VLOOKUP($A194,Data!$D$3:$CJ$128,64,FALSE)</f>
        <v>#N/A</v>
      </c>
      <c r="E194" s="74" t="e">
        <f>VLOOKUP($A194,Data!$D$3:$CJ$128,66,FALSE)</f>
        <v>#N/A</v>
      </c>
      <c r="F194" s="74" t="e">
        <f>VLOOKUP($A194,Data!$D$3:$CJ$128,67,FALSE)</f>
        <v>#N/A</v>
      </c>
      <c r="G194" s="78" t="e">
        <f>VLOOKUP($A194,Data!$D$3:$CJ$128,68,FALSE)</f>
        <v>#N/A</v>
      </c>
      <c r="H194" s="78" t="e">
        <f>VLOOKUP($A194,Data!$D$3:$CJ$128,69,FALSE)</f>
        <v>#N/A</v>
      </c>
      <c r="I194" s="74" t="e">
        <f>VLOOKUP($A194,Data!$D$3:$CJ$128,70,FALSE)</f>
        <v>#N/A</v>
      </c>
      <c r="J194" s="74" t="e">
        <f>VLOOKUP($A194,Data!$D$3:$CJ$128,71,FALSE)</f>
        <v>#N/A</v>
      </c>
      <c r="K194" s="74" t="e">
        <f>VLOOKUP($A194,Data!$D$3:$CJ$128,72,FALSE)</f>
        <v>#N/A</v>
      </c>
      <c r="L194" s="74" t="e">
        <f>VLOOKUP($A194,Data!$D$3:$CJ$128,73,FALSE)</f>
        <v>#N/A</v>
      </c>
      <c r="M194" s="74" t="e">
        <f>VLOOKUP($A194,Data!$D$3:$CJ$128,74,FALSE)</f>
        <v>#N/A</v>
      </c>
      <c r="N194" s="78" t="e">
        <f t="shared" si="43"/>
        <v>#N/A</v>
      </c>
      <c r="O194" s="78" t="e">
        <f t="shared" si="44"/>
        <v>#N/A</v>
      </c>
      <c r="P194" s="78" t="e">
        <f t="shared" si="45"/>
        <v>#N/A</v>
      </c>
      <c r="Q194" s="78" t="e">
        <f t="shared" si="46"/>
        <v>#N/A</v>
      </c>
      <c r="R194" s="78" t="e">
        <f t="shared" si="47"/>
        <v>#N/A</v>
      </c>
      <c r="S194" s="78" t="e">
        <f t="shared" si="48"/>
        <v>#N/A</v>
      </c>
      <c r="T194" s="74" t="e">
        <f t="shared" si="49"/>
        <v>#N/A</v>
      </c>
      <c r="U194" s="74" t="e">
        <f t="shared" si="50"/>
        <v>#N/A</v>
      </c>
      <c r="V194" s="74" t="e">
        <f t="shared" si="51"/>
        <v>#N/A</v>
      </c>
      <c r="W194" s="74" t="e">
        <f t="shared" si="52"/>
        <v>#N/A</v>
      </c>
      <c r="X194" s="74" t="e">
        <f t="shared" si="53"/>
        <v>#N/A</v>
      </c>
      <c r="Y194" s="74" t="e">
        <f t="shared" si="54"/>
        <v>#N/A</v>
      </c>
    </row>
    <row r="195" spans="1:25">
      <c r="A195" s="88">
        <f>'Batch input'!A194</f>
        <v>0</v>
      </c>
      <c r="B195">
        <f>'Batch input'!B194</f>
        <v>0</v>
      </c>
      <c r="C195" t="e">
        <f>VLOOKUP($A195,Data!$D$3:$CJ$128,30,FALSE)</f>
        <v>#N/A</v>
      </c>
      <c r="D195" s="74" t="e">
        <f>VLOOKUP($A195,Data!$D$3:$CJ$128,64,FALSE)</f>
        <v>#N/A</v>
      </c>
      <c r="E195" s="74" t="e">
        <f>VLOOKUP($A195,Data!$D$3:$CJ$128,66,FALSE)</f>
        <v>#N/A</v>
      </c>
      <c r="F195" s="74" t="e">
        <f>VLOOKUP($A195,Data!$D$3:$CJ$128,67,FALSE)</f>
        <v>#N/A</v>
      </c>
      <c r="G195" s="78" t="e">
        <f>VLOOKUP($A195,Data!$D$3:$CJ$128,68,FALSE)</f>
        <v>#N/A</v>
      </c>
      <c r="H195" s="78" t="e">
        <f>VLOOKUP($A195,Data!$D$3:$CJ$128,69,FALSE)</f>
        <v>#N/A</v>
      </c>
      <c r="I195" s="74" t="e">
        <f>VLOOKUP($A195,Data!$D$3:$CJ$128,70,FALSE)</f>
        <v>#N/A</v>
      </c>
      <c r="J195" s="74" t="e">
        <f>VLOOKUP($A195,Data!$D$3:$CJ$128,71,FALSE)</f>
        <v>#N/A</v>
      </c>
      <c r="K195" s="74" t="e">
        <f>VLOOKUP($A195,Data!$D$3:$CJ$128,72,FALSE)</f>
        <v>#N/A</v>
      </c>
      <c r="L195" s="74" t="e">
        <f>VLOOKUP($A195,Data!$D$3:$CJ$128,73,FALSE)</f>
        <v>#N/A</v>
      </c>
      <c r="M195" s="74" t="e">
        <f>VLOOKUP($A195,Data!$D$3:$CJ$128,74,FALSE)</f>
        <v>#N/A</v>
      </c>
      <c r="N195" s="78" t="e">
        <f t="shared" si="43"/>
        <v>#N/A</v>
      </c>
      <c r="O195" s="78" t="e">
        <f t="shared" si="44"/>
        <v>#N/A</v>
      </c>
      <c r="P195" s="78" t="e">
        <f t="shared" si="45"/>
        <v>#N/A</v>
      </c>
      <c r="Q195" s="78" t="e">
        <f t="shared" si="46"/>
        <v>#N/A</v>
      </c>
      <c r="R195" s="78" t="e">
        <f t="shared" si="47"/>
        <v>#N/A</v>
      </c>
      <c r="S195" s="78" t="e">
        <f t="shared" si="48"/>
        <v>#N/A</v>
      </c>
      <c r="T195" s="74" t="e">
        <f t="shared" si="49"/>
        <v>#N/A</v>
      </c>
      <c r="U195" s="74" t="e">
        <f t="shared" si="50"/>
        <v>#N/A</v>
      </c>
      <c r="V195" s="74" t="e">
        <f t="shared" si="51"/>
        <v>#N/A</v>
      </c>
      <c r="W195" s="74" t="e">
        <f t="shared" si="52"/>
        <v>#N/A</v>
      </c>
      <c r="X195" s="74" t="e">
        <f t="shared" si="53"/>
        <v>#N/A</v>
      </c>
      <c r="Y195" s="74" t="e">
        <f t="shared" si="54"/>
        <v>#N/A</v>
      </c>
    </row>
    <row r="196" spans="1:25">
      <c r="A196" s="88">
        <f>'Batch input'!A195</f>
        <v>0</v>
      </c>
      <c r="B196">
        <f>'Batch input'!B195</f>
        <v>0</v>
      </c>
      <c r="C196" t="e">
        <f>VLOOKUP($A196,Data!$D$3:$CJ$128,30,FALSE)</f>
        <v>#N/A</v>
      </c>
      <c r="D196" s="74" t="e">
        <f>VLOOKUP($A196,Data!$D$3:$CJ$128,64,FALSE)</f>
        <v>#N/A</v>
      </c>
      <c r="E196" s="74" t="e">
        <f>VLOOKUP($A196,Data!$D$3:$CJ$128,66,FALSE)</f>
        <v>#N/A</v>
      </c>
      <c r="F196" s="74" t="e">
        <f>VLOOKUP($A196,Data!$D$3:$CJ$128,67,FALSE)</f>
        <v>#N/A</v>
      </c>
      <c r="G196" s="78" t="e">
        <f>VLOOKUP($A196,Data!$D$3:$CJ$128,68,FALSE)</f>
        <v>#N/A</v>
      </c>
      <c r="H196" s="78" t="e">
        <f>VLOOKUP($A196,Data!$D$3:$CJ$128,69,FALSE)</f>
        <v>#N/A</v>
      </c>
      <c r="I196" s="74" t="e">
        <f>VLOOKUP($A196,Data!$D$3:$CJ$128,70,FALSE)</f>
        <v>#N/A</v>
      </c>
      <c r="J196" s="74" t="e">
        <f>VLOOKUP($A196,Data!$D$3:$CJ$128,71,FALSE)</f>
        <v>#N/A</v>
      </c>
      <c r="K196" s="74" t="e">
        <f>VLOOKUP($A196,Data!$D$3:$CJ$128,72,FALSE)</f>
        <v>#N/A</v>
      </c>
      <c r="L196" s="74" t="e">
        <f>VLOOKUP($A196,Data!$D$3:$CJ$128,73,FALSE)</f>
        <v>#N/A</v>
      </c>
      <c r="M196" s="74" t="e">
        <f>VLOOKUP($A196,Data!$D$3:$CJ$128,74,FALSE)</f>
        <v>#N/A</v>
      </c>
      <c r="N196" s="78" t="e">
        <f t="shared" si="43"/>
        <v>#N/A</v>
      </c>
      <c r="O196" s="78" t="e">
        <f t="shared" si="44"/>
        <v>#N/A</v>
      </c>
      <c r="P196" s="78" t="e">
        <f t="shared" si="45"/>
        <v>#N/A</v>
      </c>
      <c r="Q196" s="78" t="e">
        <f t="shared" si="46"/>
        <v>#N/A</v>
      </c>
      <c r="R196" s="78" t="e">
        <f t="shared" si="47"/>
        <v>#N/A</v>
      </c>
      <c r="S196" s="78" t="e">
        <f t="shared" si="48"/>
        <v>#N/A</v>
      </c>
      <c r="T196" s="74" t="e">
        <f t="shared" si="49"/>
        <v>#N/A</v>
      </c>
      <c r="U196" s="74" t="e">
        <f t="shared" si="50"/>
        <v>#N/A</v>
      </c>
      <c r="V196" s="74" t="e">
        <f t="shared" si="51"/>
        <v>#N/A</v>
      </c>
      <c r="W196" s="74" t="e">
        <f t="shared" si="52"/>
        <v>#N/A</v>
      </c>
      <c r="X196" s="74" t="e">
        <f t="shared" si="53"/>
        <v>#N/A</v>
      </c>
      <c r="Y196" s="74" t="e">
        <f t="shared" si="54"/>
        <v>#N/A</v>
      </c>
    </row>
    <row r="197" spans="1:25">
      <c r="A197" s="88">
        <f>'Batch input'!A196</f>
        <v>0</v>
      </c>
      <c r="B197">
        <f>'Batch input'!B196</f>
        <v>0</v>
      </c>
      <c r="C197" t="e">
        <f>VLOOKUP($A197,Data!$D$3:$CJ$128,30,FALSE)</f>
        <v>#N/A</v>
      </c>
      <c r="D197" s="74" t="e">
        <f>VLOOKUP($A197,Data!$D$3:$CJ$128,64,FALSE)</f>
        <v>#N/A</v>
      </c>
      <c r="E197" s="74" t="e">
        <f>VLOOKUP($A197,Data!$D$3:$CJ$128,66,FALSE)</f>
        <v>#N/A</v>
      </c>
      <c r="F197" s="74" t="e">
        <f>VLOOKUP($A197,Data!$D$3:$CJ$128,67,FALSE)</f>
        <v>#N/A</v>
      </c>
      <c r="G197" s="78" t="e">
        <f>VLOOKUP($A197,Data!$D$3:$CJ$128,68,FALSE)</f>
        <v>#N/A</v>
      </c>
      <c r="H197" s="78" t="e">
        <f>VLOOKUP($A197,Data!$D$3:$CJ$128,69,FALSE)</f>
        <v>#N/A</v>
      </c>
      <c r="I197" s="74" t="e">
        <f>VLOOKUP($A197,Data!$D$3:$CJ$128,70,FALSE)</f>
        <v>#N/A</v>
      </c>
      <c r="J197" s="74" t="e">
        <f>VLOOKUP($A197,Data!$D$3:$CJ$128,71,FALSE)</f>
        <v>#N/A</v>
      </c>
      <c r="K197" s="74" t="e">
        <f>VLOOKUP($A197,Data!$D$3:$CJ$128,72,FALSE)</f>
        <v>#N/A</v>
      </c>
      <c r="L197" s="74" t="e">
        <f>VLOOKUP($A197,Data!$D$3:$CJ$128,73,FALSE)</f>
        <v>#N/A</v>
      </c>
      <c r="M197" s="74" t="e">
        <f>VLOOKUP($A197,Data!$D$3:$CJ$128,74,FALSE)</f>
        <v>#N/A</v>
      </c>
      <c r="N197" s="78" t="e">
        <f t="shared" si="43"/>
        <v>#N/A</v>
      </c>
      <c r="O197" s="78" t="e">
        <f t="shared" si="44"/>
        <v>#N/A</v>
      </c>
      <c r="P197" s="78" t="e">
        <f t="shared" si="45"/>
        <v>#N/A</v>
      </c>
      <c r="Q197" s="78" t="e">
        <f t="shared" si="46"/>
        <v>#N/A</v>
      </c>
      <c r="R197" s="78" t="e">
        <f t="shared" si="47"/>
        <v>#N/A</v>
      </c>
      <c r="S197" s="78" t="e">
        <f t="shared" si="48"/>
        <v>#N/A</v>
      </c>
      <c r="T197" s="74" t="e">
        <f t="shared" si="49"/>
        <v>#N/A</v>
      </c>
      <c r="U197" s="74" t="e">
        <f t="shared" si="50"/>
        <v>#N/A</v>
      </c>
      <c r="V197" s="74" t="e">
        <f t="shared" si="51"/>
        <v>#N/A</v>
      </c>
      <c r="W197" s="74" t="e">
        <f t="shared" si="52"/>
        <v>#N/A</v>
      </c>
      <c r="X197" s="74" t="e">
        <f t="shared" si="53"/>
        <v>#N/A</v>
      </c>
      <c r="Y197" s="74" t="e">
        <f t="shared" si="54"/>
        <v>#N/A</v>
      </c>
    </row>
    <row r="198" spans="1:25">
      <c r="A198" s="88">
        <f>'Batch input'!A197</f>
        <v>0</v>
      </c>
      <c r="B198">
        <f>'Batch input'!B197</f>
        <v>0</v>
      </c>
      <c r="C198" t="e">
        <f>VLOOKUP($A198,Data!$D$3:$CJ$128,30,FALSE)</f>
        <v>#N/A</v>
      </c>
      <c r="D198" s="74" t="e">
        <f>VLOOKUP($A198,Data!$D$3:$CJ$128,64,FALSE)</f>
        <v>#N/A</v>
      </c>
      <c r="E198" s="74" t="e">
        <f>VLOOKUP($A198,Data!$D$3:$CJ$128,66,FALSE)</f>
        <v>#N/A</v>
      </c>
      <c r="F198" s="74" t="e">
        <f>VLOOKUP($A198,Data!$D$3:$CJ$128,67,FALSE)</f>
        <v>#N/A</v>
      </c>
      <c r="G198" s="78" t="e">
        <f>VLOOKUP($A198,Data!$D$3:$CJ$128,68,FALSE)</f>
        <v>#N/A</v>
      </c>
      <c r="H198" s="78" t="e">
        <f>VLOOKUP($A198,Data!$D$3:$CJ$128,69,FALSE)</f>
        <v>#N/A</v>
      </c>
      <c r="I198" s="74" t="e">
        <f>VLOOKUP($A198,Data!$D$3:$CJ$128,70,FALSE)</f>
        <v>#N/A</v>
      </c>
      <c r="J198" s="74" t="e">
        <f>VLOOKUP($A198,Data!$D$3:$CJ$128,71,FALSE)</f>
        <v>#N/A</v>
      </c>
      <c r="K198" s="74" t="e">
        <f>VLOOKUP($A198,Data!$D$3:$CJ$128,72,FALSE)</f>
        <v>#N/A</v>
      </c>
      <c r="L198" s="74" t="e">
        <f>VLOOKUP($A198,Data!$D$3:$CJ$128,73,FALSE)</f>
        <v>#N/A</v>
      </c>
      <c r="M198" s="74" t="e">
        <f>VLOOKUP($A198,Data!$D$3:$CJ$128,74,FALSE)</f>
        <v>#N/A</v>
      </c>
      <c r="N198" s="78" t="e">
        <f t="shared" si="43"/>
        <v>#N/A</v>
      </c>
      <c r="O198" s="78" t="e">
        <f t="shared" si="44"/>
        <v>#N/A</v>
      </c>
      <c r="P198" s="78" t="e">
        <f t="shared" si="45"/>
        <v>#N/A</v>
      </c>
      <c r="Q198" s="78" t="e">
        <f t="shared" si="46"/>
        <v>#N/A</v>
      </c>
      <c r="R198" s="78" t="e">
        <f t="shared" si="47"/>
        <v>#N/A</v>
      </c>
      <c r="S198" s="78" t="e">
        <f t="shared" si="48"/>
        <v>#N/A</v>
      </c>
      <c r="T198" s="74" t="e">
        <f t="shared" si="49"/>
        <v>#N/A</v>
      </c>
      <c r="U198" s="74" t="e">
        <f t="shared" si="50"/>
        <v>#N/A</v>
      </c>
      <c r="V198" s="74" t="e">
        <f t="shared" si="51"/>
        <v>#N/A</v>
      </c>
      <c r="W198" s="74" t="e">
        <f t="shared" si="52"/>
        <v>#N/A</v>
      </c>
      <c r="X198" s="74" t="e">
        <f t="shared" si="53"/>
        <v>#N/A</v>
      </c>
      <c r="Y198" s="74" t="e">
        <f t="shared" si="54"/>
        <v>#N/A</v>
      </c>
    </row>
    <row r="199" spans="1:25">
      <c r="A199" s="88">
        <f>'Batch input'!A198</f>
        <v>0</v>
      </c>
      <c r="B199">
        <f>'Batch input'!B198</f>
        <v>0</v>
      </c>
      <c r="C199" t="e">
        <f>VLOOKUP($A199,Data!$D$3:$CJ$128,30,FALSE)</f>
        <v>#N/A</v>
      </c>
      <c r="D199" s="74" t="e">
        <f>VLOOKUP($A199,Data!$D$3:$CJ$128,64,FALSE)</f>
        <v>#N/A</v>
      </c>
      <c r="E199" s="74" t="e">
        <f>VLOOKUP($A199,Data!$D$3:$CJ$128,66,FALSE)</f>
        <v>#N/A</v>
      </c>
      <c r="F199" s="74" t="e">
        <f>VLOOKUP($A199,Data!$D$3:$CJ$128,67,FALSE)</f>
        <v>#N/A</v>
      </c>
      <c r="G199" s="78" t="e">
        <f>VLOOKUP($A199,Data!$D$3:$CJ$128,68,FALSE)</f>
        <v>#N/A</v>
      </c>
      <c r="H199" s="78" t="e">
        <f>VLOOKUP($A199,Data!$D$3:$CJ$128,69,FALSE)</f>
        <v>#N/A</v>
      </c>
      <c r="I199" s="74" t="e">
        <f>VLOOKUP($A199,Data!$D$3:$CJ$128,70,FALSE)</f>
        <v>#N/A</v>
      </c>
      <c r="J199" s="74" t="e">
        <f>VLOOKUP($A199,Data!$D$3:$CJ$128,71,FALSE)</f>
        <v>#N/A</v>
      </c>
      <c r="K199" s="74" t="e">
        <f>VLOOKUP($A199,Data!$D$3:$CJ$128,72,FALSE)</f>
        <v>#N/A</v>
      </c>
      <c r="L199" s="74" t="e">
        <f>VLOOKUP($A199,Data!$D$3:$CJ$128,73,FALSE)</f>
        <v>#N/A</v>
      </c>
      <c r="M199" s="74" t="e">
        <f>VLOOKUP($A199,Data!$D$3:$CJ$128,74,FALSE)</f>
        <v>#N/A</v>
      </c>
      <c r="N199" s="78" t="e">
        <f t="shared" si="43"/>
        <v>#N/A</v>
      </c>
      <c r="O199" s="78" t="e">
        <f t="shared" si="44"/>
        <v>#N/A</v>
      </c>
      <c r="P199" s="78" t="e">
        <f t="shared" si="45"/>
        <v>#N/A</v>
      </c>
      <c r="Q199" s="78" t="e">
        <f t="shared" si="46"/>
        <v>#N/A</v>
      </c>
      <c r="R199" s="78" t="e">
        <f t="shared" si="47"/>
        <v>#N/A</v>
      </c>
      <c r="S199" s="78" t="e">
        <f t="shared" si="48"/>
        <v>#N/A</v>
      </c>
      <c r="T199" s="74" t="e">
        <f t="shared" si="49"/>
        <v>#N/A</v>
      </c>
      <c r="U199" s="74" t="e">
        <f t="shared" si="50"/>
        <v>#N/A</v>
      </c>
      <c r="V199" s="74" t="e">
        <f t="shared" si="51"/>
        <v>#N/A</v>
      </c>
      <c r="W199" s="74" t="e">
        <f t="shared" si="52"/>
        <v>#N/A</v>
      </c>
      <c r="X199" s="74" t="e">
        <f t="shared" si="53"/>
        <v>#N/A</v>
      </c>
      <c r="Y199" s="74" t="e">
        <f t="shared" si="54"/>
        <v>#N/A</v>
      </c>
    </row>
    <row r="200" spans="1:25">
      <c r="A200" s="88">
        <f>'Batch input'!A199</f>
        <v>0</v>
      </c>
      <c r="B200">
        <f>'Batch input'!B199</f>
        <v>0</v>
      </c>
      <c r="C200" t="e">
        <f>VLOOKUP($A200,Data!$D$3:$CJ$128,30,FALSE)</f>
        <v>#N/A</v>
      </c>
      <c r="D200" s="74" t="e">
        <f>VLOOKUP($A200,Data!$D$3:$CJ$128,64,FALSE)</f>
        <v>#N/A</v>
      </c>
      <c r="E200" s="74" t="e">
        <f>VLOOKUP($A200,Data!$D$3:$CJ$128,66,FALSE)</f>
        <v>#N/A</v>
      </c>
      <c r="F200" s="74" t="e">
        <f>VLOOKUP($A200,Data!$D$3:$CJ$128,67,FALSE)</f>
        <v>#N/A</v>
      </c>
      <c r="G200" s="78" t="e">
        <f>VLOOKUP($A200,Data!$D$3:$CJ$128,68,FALSE)</f>
        <v>#N/A</v>
      </c>
      <c r="H200" s="78" t="e">
        <f>VLOOKUP($A200,Data!$D$3:$CJ$128,69,FALSE)</f>
        <v>#N/A</v>
      </c>
      <c r="I200" s="74" t="e">
        <f>VLOOKUP($A200,Data!$D$3:$CJ$128,70,FALSE)</f>
        <v>#N/A</v>
      </c>
      <c r="J200" s="74" t="e">
        <f>VLOOKUP($A200,Data!$D$3:$CJ$128,71,FALSE)</f>
        <v>#N/A</v>
      </c>
      <c r="K200" s="74" t="e">
        <f>VLOOKUP($A200,Data!$D$3:$CJ$128,72,FALSE)</f>
        <v>#N/A</v>
      </c>
      <c r="L200" s="74" t="e">
        <f>VLOOKUP($A200,Data!$D$3:$CJ$128,73,FALSE)</f>
        <v>#N/A</v>
      </c>
      <c r="M200" s="74" t="e">
        <f>VLOOKUP($A200,Data!$D$3:$CJ$128,74,FALSE)</f>
        <v>#N/A</v>
      </c>
      <c r="N200" s="78" t="e">
        <f t="shared" si="43"/>
        <v>#N/A</v>
      </c>
      <c r="O200" s="78" t="e">
        <f t="shared" si="44"/>
        <v>#N/A</v>
      </c>
      <c r="P200" s="78" t="e">
        <f t="shared" si="45"/>
        <v>#N/A</v>
      </c>
      <c r="Q200" s="78" t="e">
        <f t="shared" si="46"/>
        <v>#N/A</v>
      </c>
      <c r="R200" s="78" t="e">
        <f t="shared" si="47"/>
        <v>#N/A</v>
      </c>
      <c r="S200" s="78" t="e">
        <f t="shared" si="48"/>
        <v>#N/A</v>
      </c>
      <c r="T200" s="74" t="e">
        <f t="shared" si="49"/>
        <v>#N/A</v>
      </c>
      <c r="U200" s="74" t="e">
        <f t="shared" si="50"/>
        <v>#N/A</v>
      </c>
      <c r="V200" s="74" t="e">
        <f t="shared" si="51"/>
        <v>#N/A</v>
      </c>
      <c r="W200" s="74" t="e">
        <f t="shared" si="52"/>
        <v>#N/A</v>
      </c>
      <c r="X200" s="74" t="e">
        <f t="shared" si="53"/>
        <v>#N/A</v>
      </c>
      <c r="Y200" s="74" t="e">
        <f t="shared" si="54"/>
        <v>#N/A</v>
      </c>
    </row>
    <row r="201" spans="1:25">
      <c r="A201" s="88">
        <f>'Batch input'!A200</f>
        <v>0</v>
      </c>
      <c r="B201">
        <f>'Batch input'!B200</f>
        <v>0</v>
      </c>
      <c r="C201" t="e">
        <f>VLOOKUP($A201,Data!$D$3:$CJ$128,30,FALSE)</f>
        <v>#N/A</v>
      </c>
      <c r="D201" s="74" t="e">
        <f>VLOOKUP($A201,Data!$D$3:$CJ$128,64,FALSE)</f>
        <v>#N/A</v>
      </c>
      <c r="E201" s="74" t="e">
        <f>VLOOKUP($A201,Data!$D$3:$CJ$128,66,FALSE)</f>
        <v>#N/A</v>
      </c>
      <c r="F201" s="74" t="e">
        <f>VLOOKUP($A201,Data!$D$3:$CJ$128,67,FALSE)</f>
        <v>#N/A</v>
      </c>
      <c r="G201" s="78" t="e">
        <f>VLOOKUP($A201,Data!$D$3:$CJ$128,68,FALSE)</f>
        <v>#N/A</v>
      </c>
      <c r="H201" s="78" t="e">
        <f>VLOOKUP($A201,Data!$D$3:$CJ$128,69,FALSE)</f>
        <v>#N/A</v>
      </c>
      <c r="I201" s="74" t="e">
        <f>VLOOKUP($A201,Data!$D$3:$CJ$128,70,FALSE)</f>
        <v>#N/A</v>
      </c>
      <c r="J201" s="74" t="e">
        <f>VLOOKUP($A201,Data!$D$3:$CJ$128,71,FALSE)</f>
        <v>#N/A</v>
      </c>
      <c r="K201" s="74" t="e">
        <f>VLOOKUP($A201,Data!$D$3:$CJ$128,72,FALSE)</f>
        <v>#N/A</v>
      </c>
      <c r="L201" s="74" t="e">
        <f>VLOOKUP($A201,Data!$D$3:$CJ$128,73,FALSE)</f>
        <v>#N/A</v>
      </c>
      <c r="M201" s="74" t="e">
        <f>VLOOKUP($A201,Data!$D$3:$CJ$128,74,FALSE)</f>
        <v>#N/A</v>
      </c>
      <c r="N201" s="78" t="e">
        <f t="shared" si="43"/>
        <v>#N/A</v>
      </c>
      <c r="O201" s="78" t="e">
        <f t="shared" si="44"/>
        <v>#N/A</v>
      </c>
      <c r="P201" s="78" t="e">
        <f t="shared" si="45"/>
        <v>#N/A</v>
      </c>
      <c r="Q201" s="78" t="e">
        <f t="shared" si="46"/>
        <v>#N/A</v>
      </c>
      <c r="R201" s="78" t="e">
        <f t="shared" si="47"/>
        <v>#N/A</v>
      </c>
      <c r="S201" s="78" t="e">
        <f t="shared" si="48"/>
        <v>#N/A</v>
      </c>
      <c r="T201" s="74" t="e">
        <f t="shared" si="49"/>
        <v>#N/A</v>
      </c>
      <c r="U201" s="74" t="e">
        <f t="shared" si="50"/>
        <v>#N/A</v>
      </c>
      <c r="V201" s="74" t="e">
        <f t="shared" si="51"/>
        <v>#N/A</v>
      </c>
      <c r="W201" s="74" t="e">
        <f t="shared" si="52"/>
        <v>#N/A</v>
      </c>
      <c r="X201" s="74" t="e">
        <f t="shared" si="53"/>
        <v>#N/A</v>
      </c>
      <c r="Y201" s="74" t="e">
        <f t="shared" si="54"/>
        <v>#N/A</v>
      </c>
    </row>
    <row r="202" spans="1:25">
      <c r="A202" s="88">
        <f>'Batch input'!A201</f>
        <v>0</v>
      </c>
      <c r="B202">
        <f>'Batch input'!B201</f>
        <v>0</v>
      </c>
      <c r="C202" t="e">
        <f>VLOOKUP($A202,Data!$D$3:$CJ$128,30,FALSE)</f>
        <v>#N/A</v>
      </c>
      <c r="D202" s="74" t="e">
        <f>VLOOKUP($A202,Data!$D$3:$CJ$128,64,FALSE)</f>
        <v>#N/A</v>
      </c>
      <c r="E202" s="74" t="e">
        <f>VLOOKUP($A202,Data!$D$3:$CJ$128,66,FALSE)</f>
        <v>#N/A</v>
      </c>
      <c r="F202" s="74" t="e">
        <f>VLOOKUP($A202,Data!$D$3:$CJ$128,67,FALSE)</f>
        <v>#N/A</v>
      </c>
      <c r="G202" s="78" t="e">
        <f>VLOOKUP($A202,Data!$D$3:$CJ$128,68,FALSE)</f>
        <v>#N/A</v>
      </c>
      <c r="H202" s="78" t="e">
        <f>VLOOKUP($A202,Data!$D$3:$CJ$128,69,FALSE)</f>
        <v>#N/A</v>
      </c>
      <c r="I202" s="74" t="e">
        <f>VLOOKUP($A202,Data!$D$3:$CJ$128,70,FALSE)</f>
        <v>#N/A</v>
      </c>
      <c r="J202" s="74" t="e">
        <f>VLOOKUP($A202,Data!$D$3:$CJ$128,71,FALSE)</f>
        <v>#N/A</v>
      </c>
      <c r="K202" s="74" t="e">
        <f>VLOOKUP($A202,Data!$D$3:$CJ$128,72,FALSE)</f>
        <v>#N/A</v>
      </c>
      <c r="L202" s="74" t="e">
        <f>VLOOKUP($A202,Data!$D$3:$CJ$128,73,FALSE)</f>
        <v>#N/A</v>
      </c>
      <c r="M202" s="74" t="e">
        <f>VLOOKUP($A202,Data!$D$3:$CJ$128,74,FALSE)</f>
        <v>#N/A</v>
      </c>
      <c r="N202" s="78" t="e">
        <f t="shared" si="43"/>
        <v>#N/A</v>
      </c>
      <c r="O202" s="78" t="e">
        <f t="shared" si="44"/>
        <v>#N/A</v>
      </c>
      <c r="P202" s="78" t="e">
        <f t="shared" si="45"/>
        <v>#N/A</v>
      </c>
      <c r="Q202" s="78" t="e">
        <f t="shared" si="46"/>
        <v>#N/A</v>
      </c>
      <c r="R202" s="78" t="e">
        <f t="shared" si="47"/>
        <v>#N/A</v>
      </c>
      <c r="S202" s="78" t="e">
        <f t="shared" si="48"/>
        <v>#N/A</v>
      </c>
      <c r="T202" s="74" t="e">
        <f t="shared" si="49"/>
        <v>#N/A</v>
      </c>
      <c r="U202" s="74" t="e">
        <f t="shared" si="50"/>
        <v>#N/A</v>
      </c>
      <c r="V202" s="74" t="e">
        <f t="shared" si="51"/>
        <v>#N/A</v>
      </c>
      <c r="W202" s="74" t="e">
        <f t="shared" si="52"/>
        <v>#N/A</v>
      </c>
      <c r="X202" s="74" t="e">
        <f t="shared" si="53"/>
        <v>#N/A</v>
      </c>
      <c r="Y202" s="74" t="e">
        <f t="shared" si="54"/>
        <v>#N/A</v>
      </c>
    </row>
    <row r="203" spans="1:25">
      <c r="A203" s="88">
        <f>'Batch input'!A202</f>
        <v>0</v>
      </c>
      <c r="B203">
        <f>'Batch input'!B202</f>
        <v>0</v>
      </c>
      <c r="C203" t="e">
        <f>VLOOKUP($A203,Data!$D$3:$CJ$128,30,FALSE)</f>
        <v>#N/A</v>
      </c>
      <c r="D203" s="74" t="e">
        <f>VLOOKUP($A203,Data!$D$3:$CJ$128,64,FALSE)</f>
        <v>#N/A</v>
      </c>
      <c r="E203" s="74" t="e">
        <f>VLOOKUP($A203,Data!$D$3:$CJ$128,66,FALSE)</f>
        <v>#N/A</v>
      </c>
      <c r="F203" s="74" t="e">
        <f>VLOOKUP($A203,Data!$D$3:$CJ$128,67,FALSE)</f>
        <v>#N/A</v>
      </c>
      <c r="G203" s="78" t="e">
        <f>VLOOKUP($A203,Data!$D$3:$CJ$128,68,FALSE)</f>
        <v>#N/A</v>
      </c>
      <c r="H203" s="78" t="e">
        <f>VLOOKUP($A203,Data!$D$3:$CJ$128,69,FALSE)</f>
        <v>#N/A</v>
      </c>
      <c r="I203" s="74" t="e">
        <f>VLOOKUP($A203,Data!$D$3:$CJ$128,70,FALSE)</f>
        <v>#N/A</v>
      </c>
      <c r="J203" s="74" t="e">
        <f>VLOOKUP($A203,Data!$D$3:$CJ$128,71,FALSE)</f>
        <v>#N/A</v>
      </c>
      <c r="K203" s="74" t="e">
        <f>VLOOKUP($A203,Data!$D$3:$CJ$128,72,FALSE)</f>
        <v>#N/A</v>
      </c>
      <c r="L203" s="74" t="e">
        <f>VLOOKUP($A203,Data!$D$3:$CJ$128,73,FALSE)</f>
        <v>#N/A</v>
      </c>
      <c r="M203" s="74" t="e">
        <f>VLOOKUP($A203,Data!$D$3:$CJ$128,74,FALSE)</f>
        <v>#N/A</v>
      </c>
      <c r="N203" s="78" t="e">
        <f t="shared" si="43"/>
        <v>#N/A</v>
      </c>
      <c r="O203" s="78" t="e">
        <f t="shared" si="44"/>
        <v>#N/A</v>
      </c>
      <c r="P203" s="78" t="e">
        <f t="shared" si="45"/>
        <v>#N/A</v>
      </c>
      <c r="Q203" s="78" t="e">
        <f t="shared" si="46"/>
        <v>#N/A</v>
      </c>
      <c r="R203" s="78" t="e">
        <f t="shared" si="47"/>
        <v>#N/A</v>
      </c>
      <c r="S203" s="78" t="e">
        <f t="shared" si="48"/>
        <v>#N/A</v>
      </c>
      <c r="T203" s="74" t="e">
        <f t="shared" si="49"/>
        <v>#N/A</v>
      </c>
      <c r="U203" s="74" t="e">
        <f t="shared" si="50"/>
        <v>#N/A</v>
      </c>
      <c r="V203" s="74" t="e">
        <f t="shared" si="51"/>
        <v>#N/A</v>
      </c>
      <c r="W203" s="74" t="e">
        <f t="shared" si="52"/>
        <v>#N/A</v>
      </c>
      <c r="X203" s="74" t="e">
        <f t="shared" si="53"/>
        <v>#N/A</v>
      </c>
      <c r="Y203" s="74" t="e">
        <f t="shared" si="54"/>
        <v>#N/A</v>
      </c>
    </row>
    <row r="204" spans="1:25">
      <c r="A204" s="88">
        <f>'Batch input'!A203</f>
        <v>0</v>
      </c>
      <c r="B204">
        <f>'Batch input'!B203</f>
        <v>0</v>
      </c>
      <c r="C204" t="e">
        <f>VLOOKUP($A204,Data!$D$3:$CJ$128,30,FALSE)</f>
        <v>#N/A</v>
      </c>
      <c r="D204" s="74" t="e">
        <f>VLOOKUP($A204,Data!$D$3:$CJ$128,64,FALSE)</f>
        <v>#N/A</v>
      </c>
      <c r="E204" s="74" t="e">
        <f>VLOOKUP($A204,Data!$D$3:$CJ$128,66,FALSE)</f>
        <v>#N/A</v>
      </c>
      <c r="F204" s="74" t="e">
        <f>VLOOKUP($A204,Data!$D$3:$CJ$128,67,FALSE)</f>
        <v>#N/A</v>
      </c>
      <c r="G204" s="78" t="e">
        <f>VLOOKUP($A204,Data!$D$3:$CJ$128,68,FALSE)</f>
        <v>#N/A</v>
      </c>
      <c r="H204" s="78" t="e">
        <f>VLOOKUP($A204,Data!$D$3:$CJ$128,69,FALSE)</f>
        <v>#N/A</v>
      </c>
      <c r="I204" s="74" t="e">
        <f>VLOOKUP($A204,Data!$D$3:$CJ$128,70,FALSE)</f>
        <v>#N/A</v>
      </c>
      <c r="J204" s="74" t="e">
        <f>VLOOKUP($A204,Data!$D$3:$CJ$128,71,FALSE)</f>
        <v>#N/A</v>
      </c>
      <c r="K204" s="74" t="e">
        <f>VLOOKUP($A204,Data!$D$3:$CJ$128,72,FALSE)</f>
        <v>#N/A</v>
      </c>
      <c r="L204" s="74" t="e">
        <f>VLOOKUP($A204,Data!$D$3:$CJ$128,73,FALSE)</f>
        <v>#N/A</v>
      </c>
      <c r="M204" s="74" t="e">
        <f>VLOOKUP($A204,Data!$D$3:$CJ$128,74,FALSE)</f>
        <v>#N/A</v>
      </c>
      <c r="N204" s="78" t="e">
        <f t="shared" si="43"/>
        <v>#N/A</v>
      </c>
      <c r="O204" s="78" t="e">
        <f t="shared" si="44"/>
        <v>#N/A</v>
      </c>
      <c r="P204" s="78" t="e">
        <f t="shared" si="45"/>
        <v>#N/A</v>
      </c>
      <c r="Q204" s="78" t="e">
        <f t="shared" si="46"/>
        <v>#N/A</v>
      </c>
      <c r="R204" s="78" t="e">
        <f t="shared" si="47"/>
        <v>#N/A</v>
      </c>
      <c r="S204" s="78" t="e">
        <f t="shared" si="48"/>
        <v>#N/A</v>
      </c>
      <c r="T204" s="74" t="e">
        <f t="shared" si="49"/>
        <v>#N/A</v>
      </c>
      <c r="U204" s="74" t="e">
        <f t="shared" si="50"/>
        <v>#N/A</v>
      </c>
      <c r="V204" s="74" t="e">
        <f t="shared" si="51"/>
        <v>#N/A</v>
      </c>
      <c r="W204" s="74" t="e">
        <f t="shared" si="52"/>
        <v>#N/A</v>
      </c>
      <c r="X204" s="74" t="e">
        <f t="shared" si="53"/>
        <v>#N/A</v>
      </c>
      <c r="Y204" s="74" t="e">
        <f t="shared" si="54"/>
        <v>#N/A</v>
      </c>
    </row>
    <row r="205" spans="1:25">
      <c r="A205" s="88">
        <f>'Batch input'!A204</f>
        <v>0</v>
      </c>
      <c r="B205">
        <f>'Batch input'!B204</f>
        <v>0</v>
      </c>
      <c r="C205" t="e">
        <f>VLOOKUP($A205,Data!$D$3:$CJ$128,30,FALSE)</f>
        <v>#N/A</v>
      </c>
      <c r="D205" s="74" t="e">
        <f>VLOOKUP($A205,Data!$D$3:$CJ$128,64,FALSE)</f>
        <v>#N/A</v>
      </c>
      <c r="E205" s="74" t="e">
        <f>VLOOKUP($A205,Data!$D$3:$CJ$128,66,FALSE)</f>
        <v>#N/A</v>
      </c>
      <c r="F205" s="74" t="e">
        <f>VLOOKUP($A205,Data!$D$3:$CJ$128,67,FALSE)</f>
        <v>#N/A</v>
      </c>
      <c r="G205" s="78" t="e">
        <f>VLOOKUP($A205,Data!$D$3:$CJ$128,68,FALSE)</f>
        <v>#N/A</v>
      </c>
      <c r="H205" s="78" t="e">
        <f>VLOOKUP($A205,Data!$D$3:$CJ$128,69,FALSE)</f>
        <v>#N/A</v>
      </c>
      <c r="I205" s="74" t="e">
        <f>VLOOKUP($A205,Data!$D$3:$CJ$128,70,FALSE)</f>
        <v>#N/A</v>
      </c>
      <c r="J205" s="74" t="e">
        <f>VLOOKUP($A205,Data!$D$3:$CJ$128,71,FALSE)</f>
        <v>#N/A</v>
      </c>
      <c r="K205" s="74" t="e">
        <f>VLOOKUP($A205,Data!$D$3:$CJ$128,72,FALSE)</f>
        <v>#N/A</v>
      </c>
      <c r="L205" s="74" t="e">
        <f>VLOOKUP($A205,Data!$D$3:$CJ$128,73,FALSE)</f>
        <v>#N/A</v>
      </c>
      <c r="M205" s="74" t="e">
        <f>VLOOKUP($A205,Data!$D$3:$CJ$128,74,FALSE)</f>
        <v>#N/A</v>
      </c>
      <c r="N205" s="78" t="e">
        <f t="shared" si="43"/>
        <v>#N/A</v>
      </c>
      <c r="O205" s="78" t="e">
        <f t="shared" si="44"/>
        <v>#N/A</v>
      </c>
      <c r="P205" s="78" t="e">
        <f t="shared" si="45"/>
        <v>#N/A</v>
      </c>
      <c r="Q205" s="78" t="e">
        <f t="shared" si="46"/>
        <v>#N/A</v>
      </c>
      <c r="R205" s="78" t="e">
        <f t="shared" si="47"/>
        <v>#N/A</v>
      </c>
      <c r="S205" s="78" t="e">
        <f t="shared" si="48"/>
        <v>#N/A</v>
      </c>
      <c r="T205" s="74" t="e">
        <f t="shared" si="49"/>
        <v>#N/A</v>
      </c>
      <c r="U205" s="74" t="e">
        <f t="shared" si="50"/>
        <v>#N/A</v>
      </c>
      <c r="V205" s="74" t="e">
        <f t="shared" si="51"/>
        <v>#N/A</v>
      </c>
      <c r="W205" s="74" t="e">
        <f t="shared" si="52"/>
        <v>#N/A</v>
      </c>
      <c r="X205" s="74" t="e">
        <f t="shared" si="53"/>
        <v>#N/A</v>
      </c>
      <c r="Y205" s="74" t="e">
        <f t="shared" si="54"/>
        <v>#N/A</v>
      </c>
    </row>
    <row r="206" spans="1:25">
      <c r="A206" s="88">
        <f>'Batch input'!A205</f>
        <v>0</v>
      </c>
      <c r="B206">
        <f>'Batch input'!B205</f>
        <v>0</v>
      </c>
      <c r="C206" t="e">
        <f>VLOOKUP($A206,Data!$D$3:$CJ$128,30,FALSE)</f>
        <v>#N/A</v>
      </c>
      <c r="D206" s="74" t="e">
        <f>VLOOKUP($A206,Data!$D$3:$CJ$128,64,FALSE)</f>
        <v>#N/A</v>
      </c>
      <c r="E206" s="74" t="e">
        <f>VLOOKUP($A206,Data!$D$3:$CJ$128,66,FALSE)</f>
        <v>#N/A</v>
      </c>
      <c r="F206" s="74" t="e">
        <f>VLOOKUP($A206,Data!$D$3:$CJ$128,67,FALSE)</f>
        <v>#N/A</v>
      </c>
      <c r="G206" s="78" t="e">
        <f>VLOOKUP($A206,Data!$D$3:$CJ$128,68,FALSE)</f>
        <v>#N/A</v>
      </c>
      <c r="H206" s="78" t="e">
        <f>VLOOKUP($A206,Data!$D$3:$CJ$128,69,FALSE)</f>
        <v>#N/A</v>
      </c>
      <c r="I206" s="74" t="e">
        <f>VLOOKUP($A206,Data!$D$3:$CJ$128,70,FALSE)</f>
        <v>#N/A</v>
      </c>
      <c r="J206" s="74" t="e">
        <f>VLOOKUP($A206,Data!$D$3:$CJ$128,71,FALSE)</f>
        <v>#N/A</v>
      </c>
      <c r="K206" s="74" t="e">
        <f>VLOOKUP($A206,Data!$D$3:$CJ$128,72,FALSE)</f>
        <v>#N/A</v>
      </c>
      <c r="L206" s="74" t="e">
        <f>VLOOKUP($A206,Data!$D$3:$CJ$128,73,FALSE)</f>
        <v>#N/A</v>
      </c>
      <c r="M206" s="74" t="e">
        <f>VLOOKUP($A206,Data!$D$3:$CJ$128,74,FALSE)</f>
        <v>#N/A</v>
      </c>
      <c r="N206" s="78" t="e">
        <f t="shared" si="43"/>
        <v>#N/A</v>
      </c>
      <c r="O206" s="78" t="e">
        <f t="shared" si="44"/>
        <v>#N/A</v>
      </c>
      <c r="P206" s="78" t="e">
        <f t="shared" si="45"/>
        <v>#N/A</v>
      </c>
      <c r="Q206" s="78" t="e">
        <f t="shared" si="46"/>
        <v>#N/A</v>
      </c>
      <c r="R206" s="78" t="e">
        <f t="shared" si="47"/>
        <v>#N/A</v>
      </c>
      <c r="S206" s="78" t="e">
        <f t="shared" si="48"/>
        <v>#N/A</v>
      </c>
      <c r="T206" s="74" t="e">
        <f t="shared" si="49"/>
        <v>#N/A</v>
      </c>
      <c r="U206" s="74" t="e">
        <f t="shared" si="50"/>
        <v>#N/A</v>
      </c>
      <c r="V206" s="74" t="e">
        <f t="shared" si="51"/>
        <v>#N/A</v>
      </c>
      <c r="W206" s="74" t="e">
        <f t="shared" si="52"/>
        <v>#N/A</v>
      </c>
      <c r="X206" s="74" t="e">
        <f t="shared" si="53"/>
        <v>#N/A</v>
      </c>
      <c r="Y206" s="74" t="e">
        <f t="shared" si="54"/>
        <v>#N/A</v>
      </c>
    </row>
    <row r="207" spans="1:25">
      <c r="A207" s="88">
        <f>'Batch input'!A206</f>
        <v>0</v>
      </c>
      <c r="B207">
        <f>'Batch input'!B206</f>
        <v>0</v>
      </c>
      <c r="C207" t="e">
        <f>VLOOKUP($A207,Data!$D$3:$CJ$128,30,FALSE)</f>
        <v>#N/A</v>
      </c>
      <c r="D207" s="74" t="e">
        <f>VLOOKUP($A207,Data!$D$3:$CJ$128,64,FALSE)</f>
        <v>#N/A</v>
      </c>
      <c r="E207" s="74" t="e">
        <f>VLOOKUP($A207,Data!$D$3:$CJ$128,66,FALSE)</f>
        <v>#N/A</v>
      </c>
      <c r="F207" s="74" t="e">
        <f>VLOOKUP($A207,Data!$D$3:$CJ$128,67,FALSE)</f>
        <v>#N/A</v>
      </c>
      <c r="G207" s="78" t="e">
        <f>VLOOKUP($A207,Data!$D$3:$CJ$128,68,FALSE)</f>
        <v>#N/A</v>
      </c>
      <c r="H207" s="78" t="e">
        <f>VLOOKUP($A207,Data!$D$3:$CJ$128,69,FALSE)</f>
        <v>#N/A</v>
      </c>
      <c r="I207" s="74" t="e">
        <f>VLOOKUP($A207,Data!$D$3:$CJ$128,70,FALSE)</f>
        <v>#N/A</v>
      </c>
      <c r="J207" s="74" t="e">
        <f>VLOOKUP($A207,Data!$D$3:$CJ$128,71,FALSE)</f>
        <v>#N/A</v>
      </c>
      <c r="K207" s="74" t="e">
        <f>VLOOKUP($A207,Data!$D$3:$CJ$128,72,FALSE)</f>
        <v>#N/A</v>
      </c>
      <c r="L207" s="74" t="e">
        <f>VLOOKUP($A207,Data!$D$3:$CJ$128,73,FALSE)</f>
        <v>#N/A</v>
      </c>
      <c r="M207" s="74" t="e">
        <f>VLOOKUP($A207,Data!$D$3:$CJ$128,74,FALSE)</f>
        <v>#N/A</v>
      </c>
      <c r="N207" s="78" t="e">
        <f t="shared" si="43"/>
        <v>#N/A</v>
      </c>
      <c r="O207" s="78" t="e">
        <f t="shared" si="44"/>
        <v>#N/A</v>
      </c>
      <c r="P207" s="78" t="e">
        <f t="shared" si="45"/>
        <v>#N/A</v>
      </c>
      <c r="Q207" s="78" t="e">
        <f t="shared" si="46"/>
        <v>#N/A</v>
      </c>
      <c r="R207" s="78" t="e">
        <f t="shared" si="47"/>
        <v>#N/A</v>
      </c>
      <c r="S207" s="78" t="e">
        <f t="shared" si="48"/>
        <v>#N/A</v>
      </c>
      <c r="T207" s="74" t="e">
        <f t="shared" si="49"/>
        <v>#N/A</v>
      </c>
      <c r="U207" s="74" t="e">
        <f t="shared" si="50"/>
        <v>#N/A</v>
      </c>
      <c r="V207" s="74" t="e">
        <f t="shared" si="51"/>
        <v>#N/A</v>
      </c>
      <c r="W207" s="74" t="e">
        <f t="shared" si="52"/>
        <v>#N/A</v>
      </c>
      <c r="X207" s="74" t="e">
        <f t="shared" si="53"/>
        <v>#N/A</v>
      </c>
      <c r="Y207" s="74" t="e">
        <f t="shared" si="54"/>
        <v>#N/A</v>
      </c>
    </row>
    <row r="208" spans="1:25">
      <c r="A208" s="88">
        <f>'Batch input'!A207</f>
        <v>0</v>
      </c>
      <c r="B208">
        <f>'Batch input'!B207</f>
        <v>0</v>
      </c>
      <c r="C208" t="e">
        <f>VLOOKUP($A208,Data!$D$3:$CJ$128,30,FALSE)</f>
        <v>#N/A</v>
      </c>
      <c r="D208" s="74" t="e">
        <f>VLOOKUP($A208,Data!$D$3:$CJ$128,64,FALSE)</f>
        <v>#N/A</v>
      </c>
      <c r="E208" s="74" t="e">
        <f>VLOOKUP($A208,Data!$D$3:$CJ$128,66,FALSE)</f>
        <v>#N/A</v>
      </c>
      <c r="F208" s="74" t="e">
        <f>VLOOKUP($A208,Data!$D$3:$CJ$128,67,FALSE)</f>
        <v>#N/A</v>
      </c>
      <c r="G208" s="78" t="e">
        <f>VLOOKUP($A208,Data!$D$3:$CJ$128,68,FALSE)</f>
        <v>#N/A</v>
      </c>
      <c r="H208" s="78" t="e">
        <f>VLOOKUP($A208,Data!$D$3:$CJ$128,69,FALSE)</f>
        <v>#N/A</v>
      </c>
      <c r="I208" s="74" t="e">
        <f>VLOOKUP($A208,Data!$D$3:$CJ$128,70,FALSE)</f>
        <v>#N/A</v>
      </c>
      <c r="J208" s="74" t="e">
        <f>VLOOKUP($A208,Data!$D$3:$CJ$128,71,FALSE)</f>
        <v>#N/A</v>
      </c>
      <c r="K208" s="74" t="e">
        <f>VLOOKUP($A208,Data!$D$3:$CJ$128,72,FALSE)</f>
        <v>#N/A</v>
      </c>
      <c r="L208" s="74" t="e">
        <f>VLOOKUP($A208,Data!$D$3:$CJ$128,73,FALSE)</f>
        <v>#N/A</v>
      </c>
      <c r="M208" s="74" t="e">
        <f>VLOOKUP($A208,Data!$D$3:$CJ$128,74,FALSE)</f>
        <v>#N/A</v>
      </c>
      <c r="N208" s="78" t="e">
        <f t="shared" si="43"/>
        <v>#N/A</v>
      </c>
      <c r="O208" s="78" t="e">
        <f t="shared" si="44"/>
        <v>#N/A</v>
      </c>
      <c r="P208" s="78" t="e">
        <f t="shared" si="45"/>
        <v>#N/A</v>
      </c>
      <c r="Q208" s="78" t="e">
        <f t="shared" si="46"/>
        <v>#N/A</v>
      </c>
      <c r="R208" s="78" t="e">
        <f t="shared" si="47"/>
        <v>#N/A</v>
      </c>
      <c r="S208" s="78" t="e">
        <f t="shared" si="48"/>
        <v>#N/A</v>
      </c>
      <c r="T208" s="74" t="e">
        <f t="shared" si="49"/>
        <v>#N/A</v>
      </c>
      <c r="U208" s="74" t="e">
        <f t="shared" si="50"/>
        <v>#N/A</v>
      </c>
      <c r="V208" s="74" t="e">
        <f t="shared" si="51"/>
        <v>#N/A</v>
      </c>
      <c r="W208" s="74" t="e">
        <f t="shared" si="52"/>
        <v>#N/A</v>
      </c>
      <c r="X208" s="74" t="e">
        <f t="shared" si="53"/>
        <v>#N/A</v>
      </c>
      <c r="Y208" s="74" t="e">
        <f t="shared" si="54"/>
        <v>#N/A</v>
      </c>
    </row>
    <row r="209" spans="1:25">
      <c r="A209" s="88">
        <f>'Batch input'!A208</f>
        <v>0</v>
      </c>
      <c r="B209">
        <f>'Batch input'!B208</f>
        <v>0</v>
      </c>
      <c r="C209" t="e">
        <f>VLOOKUP($A209,Data!$D$3:$CJ$128,30,FALSE)</f>
        <v>#N/A</v>
      </c>
      <c r="D209" s="74" t="e">
        <f>VLOOKUP($A209,Data!$D$3:$CJ$128,64,FALSE)</f>
        <v>#N/A</v>
      </c>
      <c r="E209" s="74" t="e">
        <f>VLOOKUP($A209,Data!$D$3:$CJ$128,66,FALSE)</f>
        <v>#N/A</v>
      </c>
      <c r="F209" s="74" t="e">
        <f>VLOOKUP($A209,Data!$D$3:$CJ$128,67,FALSE)</f>
        <v>#N/A</v>
      </c>
      <c r="G209" s="78" t="e">
        <f>VLOOKUP($A209,Data!$D$3:$CJ$128,68,FALSE)</f>
        <v>#N/A</v>
      </c>
      <c r="H209" s="78" t="e">
        <f>VLOOKUP($A209,Data!$D$3:$CJ$128,69,FALSE)</f>
        <v>#N/A</v>
      </c>
      <c r="I209" s="74" t="e">
        <f>VLOOKUP($A209,Data!$D$3:$CJ$128,70,FALSE)</f>
        <v>#N/A</v>
      </c>
      <c r="J209" s="74" t="e">
        <f>VLOOKUP($A209,Data!$D$3:$CJ$128,71,FALSE)</f>
        <v>#N/A</v>
      </c>
      <c r="K209" s="74" t="e">
        <f>VLOOKUP($A209,Data!$D$3:$CJ$128,72,FALSE)</f>
        <v>#N/A</v>
      </c>
      <c r="L209" s="74" t="e">
        <f>VLOOKUP($A209,Data!$D$3:$CJ$128,73,FALSE)</f>
        <v>#N/A</v>
      </c>
      <c r="M209" s="74" t="e">
        <f>VLOOKUP($A209,Data!$D$3:$CJ$128,74,FALSE)</f>
        <v>#N/A</v>
      </c>
      <c r="N209" s="78" t="e">
        <f t="shared" si="43"/>
        <v>#N/A</v>
      </c>
      <c r="O209" s="78" t="e">
        <f t="shared" si="44"/>
        <v>#N/A</v>
      </c>
      <c r="P209" s="78" t="e">
        <f t="shared" si="45"/>
        <v>#N/A</v>
      </c>
      <c r="Q209" s="78" t="e">
        <f t="shared" si="46"/>
        <v>#N/A</v>
      </c>
      <c r="R209" s="78" t="e">
        <f t="shared" si="47"/>
        <v>#N/A</v>
      </c>
      <c r="S209" s="78" t="e">
        <f t="shared" si="48"/>
        <v>#N/A</v>
      </c>
      <c r="T209" s="74" t="e">
        <f t="shared" si="49"/>
        <v>#N/A</v>
      </c>
      <c r="U209" s="74" t="e">
        <f t="shared" si="50"/>
        <v>#N/A</v>
      </c>
      <c r="V209" s="74" t="e">
        <f t="shared" si="51"/>
        <v>#N/A</v>
      </c>
      <c r="W209" s="74" t="e">
        <f t="shared" si="52"/>
        <v>#N/A</v>
      </c>
      <c r="X209" s="74" t="e">
        <f t="shared" si="53"/>
        <v>#N/A</v>
      </c>
      <c r="Y209" s="74" t="e">
        <f t="shared" si="54"/>
        <v>#N/A</v>
      </c>
    </row>
    <row r="210" spans="1:25">
      <c r="A210" s="88">
        <f>'Batch input'!A209</f>
        <v>0</v>
      </c>
      <c r="B210">
        <f>'Batch input'!B209</f>
        <v>0</v>
      </c>
      <c r="C210" t="e">
        <f>VLOOKUP($A210,Data!$D$3:$CJ$128,30,FALSE)</f>
        <v>#N/A</v>
      </c>
      <c r="D210" s="74" t="e">
        <f>VLOOKUP($A210,Data!$D$3:$CJ$128,64,FALSE)</f>
        <v>#N/A</v>
      </c>
      <c r="E210" s="74" t="e">
        <f>VLOOKUP($A210,Data!$D$3:$CJ$128,66,FALSE)</f>
        <v>#N/A</v>
      </c>
      <c r="F210" s="74" t="e">
        <f>VLOOKUP($A210,Data!$D$3:$CJ$128,67,FALSE)</f>
        <v>#N/A</v>
      </c>
      <c r="G210" s="78" t="e">
        <f>VLOOKUP($A210,Data!$D$3:$CJ$128,68,FALSE)</f>
        <v>#N/A</v>
      </c>
      <c r="H210" s="78" t="e">
        <f>VLOOKUP($A210,Data!$D$3:$CJ$128,69,FALSE)</f>
        <v>#N/A</v>
      </c>
      <c r="I210" s="74" t="e">
        <f>VLOOKUP($A210,Data!$D$3:$CJ$128,70,FALSE)</f>
        <v>#N/A</v>
      </c>
      <c r="J210" s="74" t="e">
        <f>VLOOKUP($A210,Data!$D$3:$CJ$128,71,FALSE)</f>
        <v>#N/A</v>
      </c>
      <c r="K210" s="74" t="e">
        <f>VLOOKUP($A210,Data!$D$3:$CJ$128,72,FALSE)</f>
        <v>#N/A</v>
      </c>
      <c r="L210" s="74" t="e">
        <f>VLOOKUP($A210,Data!$D$3:$CJ$128,73,FALSE)</f>
        <v>#N/A</v>
      </c>
      <c r="M210" s="74" t="e">
        <f>VLOOKUP($A210,Data!$D$3:$CJ$128,74,FALSE)</f>
        <v>#N/A</v>
      </c>
      <c r="N210" s="78" t="e">
        <f t="shared" si="43"/>
        <v>#N/A</v>
      </c>
      <c r="O210" s="78" t="e">
        <f t="shared" si="44"/>
        <v>#N/A</v>
      </c>
      <c r="P210" s="78" t="e">
        <f t="shared" si="45"/>
        <v>#N/A</v>
      </c>
      <c r="Q210" s="78" t="e">
        <f t="shared" si="46"/>
        <v>#N/A</v>
      </c>
      <c r="R210" s="78" t="e">
        <f t="shared" si="47"/>
        <v>#N/A</v>
      </c>
      <c r="S210" s="78" t="e">
        <f t="shared" si="48"/>
        <v>#N/A</v>
      </c>
      <c r="T210" s="74" t="e">
        <f t="shared" si="49"/>
        <v>#N/A</v>
      </c>
      <c r="U210" s="74" t="e">
        <f t="shared" si="50"/>
        <v>#N/A</v>
      </c>
      <c r="V210" s="74" t="e">
        <f t="shared" si="51"/>
        <v>#N/A</v>
      </c>
      <c r="W210" s="74" t="e">
        <f t="shared" si="52"/>
        <v>#N/A</v>
      </c>
      <c r="X210" s="74" t="e">
        <f t="shared" si="53"/>
        <v>#N/A</v>
      </c>
      <c r="Y210" s="74" t="e">
        <f t="shared" si="54"/>
        <v>#N/A</v>
      </c>
    </row>
    <row r="211" spans="1:25">
      <c r="A211" s="88">
        <f>'Batch input'!A210</f>
        <v>0</v>
      </c>
      <c r="B211">
        <f>'Batch input'!B210</f>
        <v>0</v>
      </c>
      <c r="C211" t="e">
        <f>VLOOKUP($A211,Data!$D$3:$CJ$128,30,FALSE)</f>
        <v>#N/A</v>
      </c>
      <c r="D211" s="74" t="e">
        <f>VLOOKUP($A211,Data!$D$3:$CJ$128,64,FALSE)</f>
        <v>#N/A</v>
      </c>
      <c r="E211" s="74" t="e">
        <f>VLOOKUP($A211,Data!$D$3:$CJ$128,66,FALSE)</f>
        <v>#N/A</v>
      </c>
      <c r="F211" s="74" t="e">
        <f>VLOOKUP($A211,Data!$D$3:$CJ$128,67,FALSE)</f>
        <v>#N/A</v>
      </c>
      <c r="G211" s="78" t="e">
        <f>VLOOKUP($A211,Data!$D$3:$CJ$128,68,FALSE)</f>
        <v>#N/A</v>
      </c>
      <c r="H211" s="78" t="e">
        <f>VLOOKUP($A211,Data!$D$3:$CJ$128,69,FALSE)</f>
        <v>#N/A</v>
      </c>
      <c r="I211" s="74" t="e">
        <f>VLOOKUP($A211,Data!$D$3:$CJ$128,70,FALSE)</f>
        <v>#N/A</v>
      </c>
      <c r="J211" s="74" t="e">
        <f>VLOOKUP($A211,Data!$D$3:$CJ$128,71,FALSE)</f>
        <v>#N/A</v>
      </c>
      <c r="K211" s="74" t="e">
        <f>VLOOKUP($A211,Data!$D$3:$CJ$128,72,FALSE)</f>
        <v>#N/A</v>
      </c>
      <c r="L211" s="74" t="e">
        <f>VLOOKUP($A211,Data!$D$3:$CJ$128,73,FALSE)</f>
        <v>#N/A</v>
      </c>
      <c r="M211" s="74" t="e">
        <f>VLOOKUP($A211,Data!$D$3:$CJ$128,74,FALSE)</f>
        <v>#N/A</v>
      </c>
      <c r="N211" s="78" t="e">
        <f t="shared" si="43"/>
        <v>#N/A</v>
      </c>
      <c r="O211" s="78" t="e">
        <f t="shared" si="44"/>
        <v>#N/A</v>
      </c>
      <c r="P211" s="78" t="e">
        <f t="shared" si="45"/>
        <v>#N/A</v>
      </c>
      <c r="Q211" s="78" t="e">
        <f t="shared" si="46"/>
        <v>#N/A</v>
      </c>
      <c r="R211" s="78" t="e">
        <f t="shared" si="47"/>
        <v>#N/A</v>
      </c>
      <c r="S211" s="78" t="e">
        <f t="shared" si="48"/>
        <v>#N/A</v>
      </c>
      <c r="T211" s="74" t="e">
        <f t="shared" si="49"/>
        <v>#N/A</v>
      </c>
      <c r="U211" s="74" t="e">
        <f t="shared" si="50"/>
        <v>#N/A</v>
      </c>
      <c r="V211" s="74" t="e">
        <f t="shared" si="51"/>
        <v>#N/A</v>
      </c>
      <c r="W211" s="74" t="e">
        <f t="shared" si="52"/>
        <v>#N/A</v>
      </c>
      <c r="X211" s="74" t="e">
        <f t="shared" si="53"/>
        <v>#N/A</v>
      </c>
      <c r="Y211" s="74" t="e">
        <f t="shared" si="54"/>
        <v>#N/A</v>
      </c>
    </row>
    <row r="212" spans="1:25">
      <c r="A212" s="88">
        <f>'Batch input'!A211</f>
        <v>0</v>
      </c>
      <c r="B212">
        <f>'Batch input'!B211</f>
        <v>0</v>
      </c>
      <c r="C212" t="e">
        <f>VLOOKUP($A212,Data!$D$3:$CJ$128,30,FALSE)</f>
        <v>#N/A</v>
      </c>
      <c r="D212" s="74" t="e">
        <f>VLOOKUP($A212,Data!$D$3:$CJ$128,64,FALSE)</f>
        <v>#N/A</v>
      </c>
      <c r="E212" s="74" t="e">
        <f>VLOOKUP($A212,Data!$D$3:$CJ$128,66,FALSE)</f>
        <v>#N/A</v>
      </c>
      <c r="F212" s="74" t="e">
        <f>VLOOKUP($A212,Data!$D$3:$CJ$128,67,FALSE)</f>
        <v>#N/A</v>
      </c>
      <c r="G212" s="78" t="e">
        <f>VLOOKUP($A212,Data!$D$3:$CJ$128,68,FALSE)</f>
        <v>#N/A</v>
      </c>
      <c r="H212" s="78" t="e">
        <f>VLOOKUP($A212,Data!$D$3:$CJ$128,69,FALSE)</f>
        <v>#N/A</v>
      </c>
      <c r="I212" s="74" t="e">
        <f>VLOOKUP($A212,Data!$D$3:$CJ$128,70,FALSE)</f>
        <v>#N/A</v>
      </c>
      <c r="J212" s="74" t="e">
        <f>VLOOKUP($A212,Data!$D$3:$CJ$128,71,FALSE)</f>
        <v>#N/A</v>
      </c>
      <c r="K212" s="74" t="e">
        <f>VLOOKUP($A212,Data!$D$3:$CJ$128,72,FALSE)</f>
        <v>#N/A</v>
      </c>
      <c r="L212" s="74" t="e">
        <f>VLOOKUP($A212,Data!$D$3:$CJ$128,73,FALSE)</f>
        <v>#N/A</v>
      </c>
      <c r="M212" s="74" t="e">
        <f>VLOOKUP($A212,Data!$D$3:$CJ$128,74,FALSE)</f>
        <v>#N/A</v>
      </c>
      <c r="N212" s="78" t="e">
        <f t="shared" si="43"/>
        <v>#N/A</v>
      </c>
      <c r="O212" s="78" t="e">
        <f t="shared" si="44"/>
        <v>#N/A</v>
      </c>
      <c r="P212" s="78" t="e">
        <f t="shared" si="45"/>
        <v>#N/A</v>
      </c>
      <c r="Q212" s="78" t="e">
        <f t="shared" si="46"/>
        <v>#N/A</v>
      </c>
      <c r="R212" s="78" t="e">
        <f t="shared" si="47"/>
        <v>#N/A</v>
      </c>
      <c r="S212" s="78" t="e">
        <f t="shared" si="48"/>
        <v>#N/A</v>
      </c>
      <c r="T212" s="74" t="e">
        <f t="shared" si="49"/>
        <v>#N/A</v>
      </c>
      <c r="U212" s="74" t="e">
        <f t="shared" si="50"/>
        <v>#N/A</v>
      </c>
      <c r="V212" s="74" t="e">
        <f t="shared" si="51"/>
        <v>#N/A</v>
      </c>
      <c r="W212" s="74" t="e">
        <f t="shared" si="52"/>
        <v>#N/A</v>
      </c>
      <c r="X212" s="74" t="e">
        <f t="shared" si="53"/>
        <v>#N/A</v>
      </c>
      <c r="Y212" s="74" t="e">
        <f t="shared" si="54"/>
        <v>#N/A</v>
      </c>
    </row>
    <row r="213" spans="1:25">
      <c r="A213" s="88">
        <f>'Batch input'!A212</f>
        <v>0</v>
      </c>
      <c r="B213">
        <f>'Batch input'!B212</f>
        <v>0</v>
      </c>
      <c r="C213" t="e">
        <f>VLOOKUP($A213,Data!$D$3:$CJ$128,30,FALSE)</f>
        <v>#N/A</v>
      </c>
      <c r="D213" s="74" t="e">
        <f>VLOOKUP($A213,Data!$D$3:$CJ$128,64,FALSE)</f>
        <v>#N/A</v>
      </c>
      <c r="E213" s="74" t="e">
        <f>VLOOKUP($A213,Data!$D$3:$CJ$128,66,FALSE)</f>
        <v>#N/A</v>
      </c>
      <c r="F213" s="74" t="e">
        <f>VLOOKUP($A213,Data!$D$3:$CJ$128,67,FALSE)</f>
        <v>#N/A</v>
      </c>
      <c r="G213" s="78" t="e">
        <f>VLOOKUP($A213,Data!$D$3:$CJ$128,68,FALSE)</f>
        <v>#N/A</v>
      </c>
      <c r="H213" s="78" t="e">
        <f>VLOOKUP($A213,Data!$D$3:$CJ$128,69,FALSE)</f>
        <v>#N/A</v>
      </c>
      <c r="I213" s="74" t="e">
        <f>VLOOKUP($A213,Data!$D$3:$CJ$128,70,FALSE)</f>
        <v>#N/A</v>
      </c>
      <c r="J213" s="74" t="e">
        <f>VLOOKUP($A213,Data!$D$3:$CJ$128,71,FALSE)</f>
        <v>#N/A</v>
      </c>
      <c r="K213" s="74" t="e">
        <f>VLOOKUP($A213,Data!$D$3:$CJ$128,72,FALSE)</f>
        <v>#N/A</v>
      </c>
      <c r="L213" s="74" t="e">
        <f>VLOOKUP($A213,Data!$D$3:$CJ$128,73,FALSE)</f>
        <v>#N/A</v>
      </c>
      <c r="M213" s="74" t="e">
        <f>VLOOKUP($A213,Data!$D$3:$CJ$128,74,FALSE)</f>
        <v>#N/A</v>
      </c>
      <c r="N213" s="78" t="e">
        <f t="shared" si="43"/>
        <v>#N/A</v>
      </c>
      <c r="O213" s="78" t="e">
        <f t="shared" si="44"/>
        <v>#N/A</v>
      </c>
      <c r="P213" s="78" t="e">
        <f t="shared" si="45"/>
        <v>#N/A</v>
      </c>
      <c r="Q213" s="78" t="e">
        <f t="shared" si="46"/>
        <v>#N/A</v>
      </c>
      <c r="R213" s="78" t="e">
        <f t="shared" si="47"/>
        <v>#N/A</v>
      </c>
      <c r="S213" s="78" t="e">
        <f t="shared" si="48"/>
        <v>#N/A</v>
      </c>
      <c r="T213" s="74" t="e">
        <f t="shared" si="49"/>
        <v>#N/A</v>
      </c>
      <c r="U213" s="74" t="e">
        <f t="shared" si="50"/>
        <v>#N/A</v>
      </c>
      <c r="V213" s="74" t="e">
        <f t="shared" si="51"/>
        <v>#N/A</v>
      </c>
      <c r="W213" s="74" t="e">
        <f t="shared" si="52"/>
        <v>#N/A</v>
      </c>
      <c r="X213" s="74" t="e">
        <f t="shared" si="53"/>
        <v>#N/A</v>
      </c>
      <c r="Y213" s="74" t="e">
        <f t="shared" si="54"/>
        <v>#N/A</v>
      </c>
    </row>
    <row r="214" spans="1:25">
      <c r="A214" s="88">
        <f>'Batch input'!A213</f>
        <v>0</v>
      </c>
      <c r="B214">
        <f>'Batch input'!B213</f>
        <v>0</v>
      </c>
      <c r="C214" t="e">
        <f>VLOOKUP($A214,Data!$D$3:$CJ$128,30,FALSE)</f>
        <v>#N/A</v>
      </c>
      <c r="D214" s="74" t="e">
        <f>VLOOKUP($A214,Data!$D$3:$CJ$128,64,FALSE)</f>
        <v>#N/A</v>
      </c>
      <c r="E214" s="74" t="e">
        <f>VLOOKUP($A214,Data!$D$3:$CJ$128,66,FALSE)</f>
        <v>#N/A</v>
      </c>
      <c r="F214" s="74" t="e">
        <f>VLOOKUP($A214,Data!$D$3:$CJ$128,67,FALSE)</f>
        <v>#N/A</v>
      </c>
      <c r="G214" s="78" t="e">
        <f>VLOOKUP($A214,Data!$D$3:$CJ$128,68,FALSE)</f>
        <v>#N/A</v>
      </c>
      <c r="H214" s="78" t="e">
        <f>VLOOKUP($A214,Data!$D$3:$CJ$128,69,FALSE)</f>
        <v>#N/A</v>
      </c>
      <c r="I214" s="74" t="e">
        <f>VLOOKUP($A214,Data!$D$3:$CJ$128,70,FALSE)</f>
        <v>#N/A</v>
      </c>
      <c r="J214" s="74" t="e">
        <f>VLOOKUP($A214,Data!$D$3:$CJ$128,71,FALSE)</f>
        <v>#N/A</v>
      </c>
      <c r="K214" s="74" t="e">
        <f>VLOOKUP($A214,Data!$D$3:$CJ$128,72,FALSE)</f>
        <v>#N/A</v>
      </c>
      <c r="L214" s="74" t="e">
        <f>VLOOKUP($A214,Data!$D$3:$CJ$128,73,FALSE)</f>
        <v>#N/A</v>
      </c>
      <c r="M214" s="74" t="e">
        <f>VLOOKUP($A214,Data!$D$3:$CJ$128,74,FALSE)</f>
        <v>#N/A</v>
      </c>
      <c r="N214" s="78" t="e">
        <f t="shared" si="43"/>
        <v>#N/A</v>
      </c>
      <c r="O214" s="78" t="e">
        <f t="shared" si="44"/>
        <v>#N/A</v>
      </c>
      <c r="P214" s="78" t="e">
        <f t="shared" si="45"/>
        <v>#N/A</v>
      </c>
      <c r="Q214" s="78" t="e">
        <f t="shared" si="46"/>
        <v>#N/A</v>
      </c>
      <c r="R214" s="78" t="e">
        <f t="shared" si="47"/>
        <v>#N/A</v>
      </c>
      <c r="S214" s="78" t="e">
        <f t="shared" si="48"/>
        <v>#N/A</v>
      </c>
      <c r="T214" s="74" t="e">
        <f t="shared" si="49"/>
        <v>#N/A</v>
      </c>
      <c r="U214" s="74" t="e">
        <f t="shared" si="50"/>
        <v>#N/A</v>
      </c>
      <c r="V214" s="74" t="e">
        <f t="shared" si="51"/>
        <v>#N/A</v>
      </c>
      <c r="W214" s="74" t="e">
        <f t="shared" si="52"/>
        <v>#N/A</v>
      </c>
      <c r="X214" s="74" t="e">
        <f t="shared" si="53"/>
        <v>#N/A</v>
      </c>
      <c r="Y214" s="74" t="e">
        <f t="shared" si="54"/>
        <v>#N/A</v>
      </c>
    </row>
    <row r="215" spans="1:25">
      <c r="A215" s="88">
        <f>'Batch input'!A214</f>
        <v>0</v>
      </c>
      <c r="B215">
        <f>'Batch input'!B214</f>
        <v>0</v>
      </c>
      <c r="C215" t="e">
        <f>VLOOKUP($A215,Data!$D$3:$CJ$128,30,FALSE)</f>
        <v>#N/A</v>
      </c>
      <c r="D215" s="74" t="e">
        <f>VLOOKUP($A215,Data!$D$3:$CJ$128,64,FALSE)</f>
        <v>#N/A</v>
      </c>
      <c r="E215" s="74" t="e">
        <f>VLOOKUP($A215,Data!$D$3:$CJ$128,66,FALSE)</f>
        <v>#N/A</v>
      </c>
      <c r="F215" s="74" t="e">
        <f>VLOOKUP($A215,Data!$D$3:$CJ$128,67,FALSE)</f>
        <v>#N/A</v>
      </c>
      <c r="G215" s="78" t="e">
        <f>VLOOKUP($A215,Data!$D$3:$CJ$128,68,FALSE)</f>
        <v>#N/A</v>
      </c>
      <c r="H215" s="78" t="e">
        <f>VLOOKUP($A215,Data!$D$3:$CJ$128,69,FALSE)</f>
        <v>#N/A</v>
      </c>
      <c r="I215" s="74" t="e">
        <f>VLOOKUP($A215,Data!$D$3:$CJ$128,70,FALSE)</f>
        <v>#N/A</v>
      </c>
      <c r="J215" s="74" t="e">
        <f>VLOOKUP($A215,Data!$D$3:$CJ$128,71,FALSE)</f>
        <v>#N/A</v>
      </c>
      <c r="K215" s="74" t="e">
        <f>VLOOKUP($A215,Data!$D$3:$CJ$128,72,FALSE)</f>
        <v>#N/A</v>
      </c>
      <c r="L215" s="74" t="e">
        <f>VLOOKUP($A215,Data!$D$3:$CJ$128,73,FALSE)</f>
        <v>#N/A</v>
      </c>
      <c r="M215" s="74" t="e">
        <f>VLOOKUP($A215,Data!$D$3:$CJ$128,74,FALSE)</f>
        <v>#N/A</v>
      </c>
      <c r="N215" s="78" t="e">
        <f t="shared" si="43"/>
        <v>#N/A</v>
      </c>
      <c r="O215" s="78" t="e">
        <f t="shared" si="44"/>
        <v>#N/A</v>
      </c>
      <c r="P215" s="78" t="e">
        <f t="shared" si="45"/>
        <v>#N/A</v>
      </c>
      <c r="Q215" s="78" t="e">
        <f t="shared" si="46"/>
        <v>#N/A</v>
      </c>
      <c r="R215" s="78" t="e">
        <f t="shared" si="47"/>
        <v>#N/A</v>
      </c>
      <c r="S215" s="78" t="e">
        <f t="shared" si="48"/>
        <v>#N/A</v>
      </c>
      <c r="T215" s="74" t="e">
        <f t="shared" si="49"/>
        <v>#N/A</v>
      </c>
      <c r="U215" s="74" t="e">
        <f t="shared" si="50"/>
        <v>#N/A</v>
      </c>
      <c r="V215" s="74" t="e">
        <f t="shared" si="51"/>
        <v>#N/A</v>
      </c>
      <c r="W215" s="74" t="e">
        <f t="shared" si="52"/>
        <v>#N/A</v>
      </c>
      <c r="X215" s="74" t="e">
        <f t="shared" si="53"/>
        <v>#N/A</v>
      </c>
      <c r="Y215" s="74" t="e">
        <f t="shared" si="54"/>
        <v>#N/A</v>
      </c>
    </row>
    <row r="216" spans="1:25">
      <c r="A216" s="88">
        <f>'Batch input'!A215</f>
        <v>0</v>
      </c>
      <c r="B216">
        <f>'Batch input'!B215</f>
        <v>0</v>
      </c>
      <c r="C216" t="e">
        <f>VLOOKUP($A216,Data!$D$3:$CJ$128,30,FALSE)</f>
        <v>#N/A</v>
      </c>
      <c r="D216" s="74" t="e">
        <f>VLOOKUP($A216,Data!$D$3:$CJ$128,64,FALSE)</f>
        <v>#N/A</v>
      </c>
      <c r="E216" s="74" t="e">
        <f>VLOOKUP($A216,Data!$D$3:$CJ$128,66,FALSE)</f>
        <v>#N/A</v>
      </c>
      <c r="F216" s="74" t="e">
        <f>VLOOKUP($A216,Data!$D$3:$CJ$128,67,FALSE)</f>
        <v>#N/A</v>
      </c>
      <c r="G216" s="78" t="e">
        <f>VLOOKUP($A216,Data!$D$3:$CJ$128,68,FALSE)</f>
        <v>#N/A</v>
      </c>
      <c r="H216" s="78" t="e">
        <f>VLOOKUP($A216,Data!$D$3:$CJ$128,69,FALSE)</f>
        <v>#N/A</v>
      </c>
      <c r="I216" s="74" t="e">
        <f>VLOOKUP($A216,Data!$D$3:$CJ$128,70,FALSE)</f>
        <v>#N/A</v>
      </c>
      <c r="J216" s="74" t="e">
        <f>VLOOKUP($A216,Data!$D$3:$CJ$128,71,FALSE)</f>
        <v>#N/A</v>
      </c>
      <c r="K216" s="74" t="e">
        <f>VLOOKUP($A216,Data!$D$3:$CJ$128,72,FALSE)</f>
        <v>#N/A</v>
      </c>
      <c r="L216" s="74" t="e">
        <f>VLOOKUP($A216,Data!$D$3:$CJ$128,73,FALSE)</f>
        <v>#N/A</v>
      </c>
      <c r="M216" s="74" t="e">
        <f>VLOOKUP($A216,Data!$D$3:$CJ$128,74,FALSE)</f>
        <v>#N/A</v>
      </c>
      <c r="N216" s="78" t="e">
        <f t="shared" si="43"/>
        <v>#N/A</v>
      </c>
      <c r="O216" s="78" t="e">
        <f t="shared" si="44"/>
        <v>#N/A</v>
      </c>
      <c r="P216" s="78" t="e">
        <f t="shared" si="45"/>
        <v>#N/A</v>
      </c>
      <c r="Q216" s="78" t="e">
        <f t="shared" si="46"/>
        <v>#N/A</v>
      </c>
      <c r="R216" s="78" t="e">
        <f t="shared" si="47"/>
        <v>#N/A</v>
      </c>
      <c r="S216" s="78" t="e">
        <f t="shared" si="48"/>
        <v>#N/A</v>
      </c>
      <c r="T216" s="74" t="e">
        <f t="shared" si="49"/>
        <v>#N/A</v>
      </c>
      <c r="U216" s="74" t="e">
        <f t="shared" si="50"/>
        <v>#N/A</v>
      </c>
      <c r="V216" s="74" t="e">
        <f t="shared" si="51"/>
        <v>#N/A</v>
      </c>
      <c r="W216" s="74" t="e">
        <f t="shared" si="52"/>
        <v>#N/A</v>
      </c>
      <c r="X216" s="74" t="e">
        <f t="shared" si="53"/>
        <v>#N/A</v>
      </c>
      <c r="Y216" s="74" t="e">
        <f t="shared" si="54"/>
        <v>#N/A</v>
      </c>
    </row>
    <row r="217" spans="1:25">
      <c r="A217" s="88">
        <f>'Batch input'!A216</f>
        <v>0</v>
      </c>
      <c r="B217">
        <f>'Batch input'!B216</f>
        <v>0</v>
      </c>
      <c r="C217" t="e">
        <f>VLOOKUP($A217,Data!$D$3:$CJ$128,30,FALSE)</f>
        <v>#N/A</v>
      </c>
      <c r="D217" s="74" t="e">
        <f>VLOOKUP($A217,Data!$D$3:$CJ$128,64,FALSE)</f>
        <v>#N/A</v>
      </c>
      <c r="E217" s="74" t="e">
        <f>VLOOKUP($A217,Data!$D$3:$CJ$128,66,FALSE)</f>
        <v>#N/A</v>
      </c>
      <c r="F217" s="74" t="e">
        <f>VLOOKUP($A217,Data!$D$3:$CJ$128,67,FALSE)</f>
        <v>#N/A</v>
      </c>
      <c r="G217" s="78" t="e">
        <f>VLOOKUP($A217,Data!$D$3:$CJ$128,68,FALSE)</f>
        <v>#N/A</v>
      </c>
      <c r="H217" s="78" t="e">
        <f>VLOOKUP($A217,Data!$D$3:$CJ$128,69,FALSE)</f>
        <v>#N/A</v>
      </c>
      <c r="I217" s="74" t="e">
        <f>VLOOKUP($A217,Data!$D$3:$CJ$128,70,FALSE)</f>
        <v>#N/A</v>
      </c>
      <c r="J217" s="74" t="e">
        <f>VLOOKUP($A217,Data!$D$3:$CJ$128,71,FALSE)</f>
        <v>#N/A</v>
      </c>
      <c r="K217" s="74" t="e">
        <f>VLOOKUP($A217,Data!$D$3:$CJ$128,72,FALSE)</f>
        <v>#N/A</v>
      </c>
      <c r="L217" s="74" t="e">
        <f>VLOOKUP($A217,Data!$D$3:$CJ$128,73,FALSE)</f>
        <v>#N/A</v>
      </c>
      <c r="M217" s="74" t="e">
        <f>VLOOKUP($A217,Data!$D$3:$CJ$128,74,FALSE)</f>
        <v>#N/A</v>
      </c>
      <c r="N217" s="78" t="e">
        <f t="shared" si="43"/>
        <v>#N/A</v>
      </c>
      <c r="O217" s="78" t="e">
        <f t="shared" si="44"/>
        <v>#N/A</v>
      </c>
      <c r="P217" s="78" t="e">
        <f t="shared" si="45"/>
        <v>#N/A</v>
      </c>
      <c r="Q217" s="78" t="e">
        <f t="shared" si="46"/>
        <v>#N/A</v>
      </c>
      <c r="R217" s="78" t="e">
        <f t="shared" si="47"/>
        <v>#N/A</v>
      </c>
      <c r="S217" s="78" t="e">
        <f t="shared" si="48"/>
        <v>#N/A</v>
      </c>
      <c r="T217" s="74" t="e">
        <f t="shared" si="49"/>
        <v>#N/A</v>
      </c>
      <c r="U217" s="74" t="e">
        <f t="shared" si="50"/>
        <v>#N/A</v>
      </c>
      <c r="V217" s="74" t="e">
        <f t="shared" si="51"/>
        <v>#N/A</v>
      </c>
      <c r="W217" s="74" t="e">
        <f t="shared" si="52"/>
        <v>#N/A</v>
      </c>
      <c r="X217" s="74" t="e">
        <f t="shared" si="53"/>
        <v>#N/A</v>
      </c>
      <c r="Y217" s="74" t="e">
        <f t="shared" si="54"/>
        <v>#N/A</v>
      </c>
    </row>
    <row r="218" spans="1:25">
      <c r="A218" s="88">
        <f>'Batch input'!A217</f>
        <v>0</v>
      </c>
      <c r="B218">
        <f>'Batch input'!B217</f>
        <v>0</v>
      </c>
      <c r="C218" t="e">
        <f>VLOOKUP($A218,Data!$D$3:$CJ$128,30,FALSE)</f>
        <v>#N/A</v>
      </c>
      <c r="D218" s="74" t="e">
        <f>VLOOKUP($A218,Data!$D$3:$CJ$128,64,FALSE)</f>
        <v>#N/A</v>
      </c>
      <c r="E218" s="74" t="e">
        <f>VLOOKUP($A218,Data!$D$3:$CJ$128,66,FALSE)</f>
        <v>#N/A</v>
      </c>
      <c r="F218" s="74" t="e">
        <f>VLOOKUP($A218,Data!$D$3:$CJ$128,67,FALSE)</f>
        <v>#N/A</v>
      </c>
      <c r="G218" s="78" t="e">
        <f>VLOOKUP($A218,Data!$D$3:$CJ$128,68,FALSE)</f>
        <v>#N/A</v>
      </c>
      <c r="H218" s="78" t="e">
        <f>VLOOKUP($A218,Data!$D$3:$CJ$128,69,FALSE)</f>
        <v>#N/A</v>
      </c>
      <c r="I218" s="74" t="e">
        <f>VLOOKUP($A218,Data!$D$3:$CJ$128,70,FALSE)</f>
        <v>#N/A</v>
      </c>
      <c r="J218" s="74" t="e">
        <f>VLOOKUP($A218,Data!$D$3:$CJ$128,71,FALSE)</f>
        <v>#N/A</v>
      </c>
      <c r="K218" s="74" t="e">
        <f>VLOOKUP($A218,Data!$D$3:$CJ$128,72,FALSE)</f>
        <v>#N/A</v>
      </c>
      <c r="L218" s="74" t="e">
        <f>VLOOKUP($A218,Data!$D$3:$CJ$128,73,FALSE)</f>
        <v>#N/A</v>
      </c>
      <c r="M218" s="74" t="e">
        <f>VLOOKUP($A218,Data!$D$3:$CJ$128,74,FALSE)</f>
        <v>#N/A</v>
      </c>
      <c r="N218" s="78" t="e">
        <f t="shared" si="43"/>
        <v>#N/A</v>
      </c>
      <c r="O218" s="78" t="e">
        <f t="shared" si="44"/>
        <v>#N/A</v>
      </c>
      <c r="P218" s="78" t="e">
        <f t="shared" si="45"/>
        <v>#N/A</v>
      </c>
      <c r="Q218" s="78" t="e">
        <f t="shared" si="46"/>
        <v>#N/A</v>
      </c>
      <c r="R218" s="78" t="e">
        <f t="shared" si="47"/>
        <v>#N/A</v>
      </c>
      <c r="S218" s="78" t="e">
        <f t="shared" si="48"/>
        <v>#N/A</v>
      </c>
      <c r="T218" s="74" t="e">
        <f t="shared" si="49"/>
        <v>#N/A</v>
      </c>
      <c r="U218" s="74" t="e">
        <f t="shared" si="50"/>
        <v>#N/A</v>
      </c>
      <c r="V218" s="74" t="e">
        <f t="shared" si="51"/>
        <v>#N/A</v>
      </c>
      <c r="W218" s="74" t="e">
        <f t="shared" si="52"/>
        <v>#N/A</v>
      </c>
      <c r="X218" s="74" t="e">
        <f t="shared" si="53"/>
        <v>#N/A</v>
      </c>
      <c r="Y218" s="74" t="e">
        <f t="shared" si="54"/>
        <v>#N/A</v>
      </c>
    </row>
    <row r="219" spans="1:25">
      <c r="A219" s="88">
        <f>'Batch input'!A218</f>
        <v>0</v>
      </c>
      <c r="B219">
        <f>'Batch input'!B218</f>
        <v>0</v>
      </c>
      <c r="C219" t="e">
        <f>VLOOKUP($A219,Data!$D$3:$CJ$128,30,FALSE)</f>
        <v>#N/A</v>
      </c>
      <c r="D219" s="74" t="e">
        <f>VLOOKUP($A219,Data!$D$3:$CJ$128,64,FALSE)</f>
        <v>#N/A</v>
      </c>
      <c r="E219" s="74" t="e">
        <f>VLOOKUP($A219,Data!$D$3:$CJ$128,66,FALSE)</f>
        <v>#N/A</v>
      </c>
      <c r="F219" s="74" t="e">
        <f>VLOOKUP($A219,Data!$D$3:$CJ$128,67,FALSE)</f>
        <v>#N/A</v>
      </c>
      <c r="G219" s="78" t="e">
        <f>VLOOKUP($A219,Data!$D$3:$CJ$128,68,FALSE)</f>
        <v>#N/A</v>
      </c>
      <c r="H219" s="78" t="e">
        <f>VLOOKUP($A219,Data!$D$3:$CJ$128,69,FALSE)</f>
        <v>#N/A</v>
      </c>
      <c r="I219" s="74" t="e">
        <f>VLOOKUP($A219,Data!$D$3:$CJ$128,70,FALSE)</f>
        <v>#N/A</v>
      </c>
      <c r="J219" s="74" t="e">
        <f>VLOOKUP($A219,Data!$D$3:$CJ$128,71,FALSE)</f>
        <v>#N/A</v>
      </c>
      <c r="K219" s="74" t="e">
        <f>VLOOKUP($A219,Data!$D$3:$CJ$128,72,FALSE)</f>
        <v>#N/A</v>
      </c>
      <c r="L219" s="74" t="e">
        <f>VLOOKUP($A219,Data!$D$3:$CJ$128,73,FALSE)</f>
        <v>#N/A</v>
      </c>
      <c r="M219" s="74" t="e">
        <f>VLOOKUP($A219,Data!$D$3:$CJ$128,74,FALSE)</f>
        <v>#N/A</v>
      </c>
      <c r="N219" s="78" t="e">
        <f t="shared" si="43"/>
        <v>#N/A</v>
      </c>
      <c r="O219" s="78" t="e">
        <f t="shared" si="44"/>
        <v>#N/A</v>
      </c>
      <c r="P219" s="78" t="e">
        <f t="shared" si="45"/>
        <v>#N/A</v>
      </c>
      <c r="Q219" s="78" t="e">
        <f t="shared" si="46"/>
        <v>#N/A</v>
      </c>
      <c r="R219" s="78" t="e">
        <f t="shared" si="47"/>
        <v>#N/A</v>
      </c>
      <c r="S219" s="78" t="e">
        <f t="shared" si="48"/>
        <v>#N/A</v>
      </c>
      <c r="T219" s="74" t="e">
        <f t="shared" si="49"/>
        <v>#N/A</v>
      </c>
      <c r="U219" s="74" t="e">
        <f t="shared" si="50"/>
        <v>#N/A</v>
      </c>
      <c r="V219" s="74" t="e">
        <f t="shared" si="51"/>
        <v>#N/A</v>
      </c>
      <c r="W219" s="74" t="e">
        <f t="shared" si="52"/>
        <v>#N/A</v>
      </c>
      <c r="X219" s="74" t="e">
        <f t="shared" si="53"/>
        <v>#N/A</v>
      </c>
      <c r="Y219" s="74" t="e">
        <f t="shared" si="54"/>
        <v>#N/A</v>
      </c>
    </row>
    <row r="220" spans="1:25">
      <c r="A220" s="88">
        <f>'Batch input'!A219</f>
        <v>0</v>
      </c>
      <c r="B220">
        <f>'Batch input'!B219</f>
        <v>0</v>
      </c>
      <c r="C220" t="e">
        <f>VLOOKUP($A220,Data!$D$3:$CJ$128,30,FALSE)</f>
        <v>#N/A</v>
      </c>
      <c r="D220" s="74" t="e">
        <f>VLOOKUP($A220,Data!$D$3:$CJ$128,64,FALSE)</f>
        <v>#N/A</v>
      </c>
      <c r="E220" s="74" t="e">
        <f>VLOOKUP($A220,Data!$D$3:$CJ$128,66,FALSE)</f>
        <v>#N/A</v>
      </c>
      <c r="F220" s="74" t="e">
        <f>VLOOKUP($A220,Data!$D$3:$CJ$128,67,FALSE)</f>
        <v>#N/A</v>
      </c>
      <c r="G220" s="78" t="e">
        <f>VLOOKUP($A220,Data!$D$3:$CJ$128,68,FALSE)</f>
        <v>#N/A</v>
      </c>
      <c r="H220" s="78" t="e">
        <f>VLOOKUP($A220,Data!$D$3:$CJ$128,69,FALSE)</f>
        <v>#N/A</v>
      </c>
      <c r="I220" s="74" t="e">
        <f>VLOOKUP($A220,Data!$D$3:$CJ$128,70,FALSE)</f>
        <v>#N/A</v>
      </c>
      <c r="J220" s="74" t="e">
        <f>VLOOKUP($A220,Data!$D$3:$CJ$128,71,FALSE)</f>
        <v>#N/A</v>
      </c>
      <c r="K220" s="74" t="e">
        <f>VLOOKUP($A220,Data!$D$3:$CJ$128,72,FALSE)</f>
        <v>#N/A</v>
      </c>
      <c r="L220" s="74" t="e">
        <f>VLOOKUP($A220,Data!$D$3:$CJ$128,73,FALSE)</f>
        <v>#N/A</v>
      </c>
      <c r="M220" s="74" t="e">
        <f>VLOOKUP($A220,Data!$D$3:$CJ$128,74,FALSE)</f>
        <v>#N/A</v>
      </c>
      <c r="N220" s="78" t="e">
        <f t="shared" si="43"/>
        <v>#N/A</v>
      </c>
      <c r="O220" s="78" t="e">
        <f t="shared" si="44"/>
        <v>#N/A</v>
      </c>
      <c r="P220" s="78" t="e">
        <f t="shared" si="45"/>
        <v>#N/A</v>
      </c>
      <c r="Q220" s="78" t="e">
        <f t="shared" si="46"/>
        <v>#N/A</v>
      </c>
      <c r="R220" s="78" t="e">
        <f t="shared" si="47"/>
        <v>#N/A</v>
      </c>
      <c r="S220" s="78" t="e">
        <f t="shared" si="48"/>
        <v>#N/A</v>
      </c>
      <c r="T220" s="74" t="e">
        <f t="shared" si="49"/>
        <v>#N/A</v>
      </c>
      <c r="U220" s="74" t="e">
        <f t="shared" si="50"/>
        <v>#N/A</v>
      </c>
      <c r="V220" s="74" t="e">
        <f t="shared" si="51"/>
        <v>#N/A</v>
      </c>
      <c r="W220" s="74" t="e">
        <f t="shared" si="52"/>
        <v>#N/A</v>
      </c>
      <c r="X220" s="74" t="e">
        <f t="shared" si="53"/>
        <v>#N/A</v>
      </c>
      <c r="Y220" s="74" t="e">
        <f t="shared" si="54"/>
        <v>#N/A</v>
      </c>
    </row>
    <row r="221" spans="1:25">
      <c r="A221" s="88">
        <f>'Batch input'!A220</f>
        <v>0</v>
      </c>
      <c r="B221">
        <f>'Batch input'!B220</f>
        <v>0</v>
      </c>
      <c r="C221" t="e">
        <f>VLOOKUP($A221,Data!$D$3:$CJ$128,30,FALSE)</f>
        <v>#N/A</v>
      </c>
      <c r="D221" s="74" t="e">
        <f>VLOOKUP($A221,Data!$D$3:$CJ$128,64,FALSE)</f>
        <v>#N/A</v>
      </c>
      <c r="E221" s="74" t="e">
        <f>VLOOKUP($A221,Data!$D$3:$CJ$128,66,FALSE)</f>
        <v>#N/A</v>
      </c>
      <c r="F221" s="74" t="e">
        <f>VLOOKUP($A221,Data!$D$3:$CJ$128,67,FALSE)</f>
        <v>#N/A</v>
      </c>
      <c r="G221" s="78" t="e">
        <f>VLOOKUP($A221,Data!$D$3:$CJ$128,68,FALSE)</f>
        <v>#N/A</v>
      </c>
      <c r="H221" s="78" t="e">
        <f>VLOOKUP($A221,Data!$D$3:$CJ$128,69,FALSE)</f>
        <v>#N/A</v>
      </c>
      <c r="I221" s="74" t="e">
        <f>VLOOKUP($A221,Data!$D$3:$CJ$128,70,FALSE)</f>
        <v>#N/A</v>
      </c>
      <c r="J221" s="74" t="e">
        <f>VLOOKUP($A221,Data!$D$3:$CJ$128,71,FALSE)</f>
        <v>#N/A</v>
      </c>
      <c r="K221" s="74" t="e">
        <f>VLOOKUP($A221,Data!$D$3:$CJ$128,72,FALSE)</f>
        <v>#N/A</v>
      </c>
      <c r="L221" s="74" t="e">
        <f>VLOOKUP($A221,Data!$D$3:$CJ$128,73,FALSE)</f>
        <v>#N/A</v>
      </c>
      <c r="M221" s="74" t="e">
        <f>VLOOKUP($A221,Data!$D$3:$CJ$128,74,FALSE)</f>
        <v>#N/A</v>
      </c>
      <c r="N221" s="78" t="e">
        <f t="shared" ref="N221:N284" si="55">I221</f>
        <v>#N/A</v>
      </c>
      <c r="O221" s="78" t="e">
        <f t="shared" ref="O221:O284" si="56">(((D221/1000)*H221)+((G221/1000)*M221)+(J221/1000))</f>
        <v>#N/A</v>
      </c>
      <c r="P221" s="78" t="e">
        <f t="shared" ref="P221:P284" si="57">(F221/1000)*H221</f>
        <v>#N/A</v>
      </c>
      <c r="Q221" s="78" t="e">
        <f t="shared" ref="Q221:Q284" si="58">K221/1000</f>
        <v>#N/A</v>
      </c>
      <c r="R221" s="78" t="e">
        <f t="shared" ref="R221:R284" si="59">L221/1000</f>
        <v>#N/A</v>
      </c>
      <c r="S221" s="78" t="e">
        <f t="shared" ref="S221:S284" si="60">(E221/1000)*H221</f>
        <v>#N/A</v>
      </c>
      <c r="T221" s="74" t="e">
        <f t="shared" ref="T221:T284" si="61">$B221*N221</f>
        <v>#N/A</v>
      </c>
      <c r="U221" s="74" t="e">
        <f t="shared" ref="U221:U284" si="62">$B221*O221</f>
        <v>#N/A</v>
      </c>
      <c r="V221" s="74" t="e">
        <f t="shared" ref="V221:V284" si="63">$B221*P221</f>
        <v>#N/A</v>
      </c>
      <c r="W221" s="74" t="e">
        <f t="shared" ref="W221:W284" si="64">$B221*Q221</f>
        <v>#N/A</v>
      </c>
      <c r="X221" s="74" t="e">
        <f t="shared" ref="X221:X284" si="65">$B221*R221</f>
        <v>#N/A</v>
      </c>
      <c r="Y221" s="74" t="e">
        <f t="shared" ref="Y221:Y284" si="66">$B221*S221</f>
        <v>#N/A</v>
      </c>
    </row>
    <row r="222" spans="1:25">
      <c r="A222" s="88">
        <f>'Batch input'!A221</f>
        <v>0</v>
      </c>
      <c r="B222">
        <f>'Batch input'!B221</f>
        <v>0</v>
      </c>
      <c r="C222" t="e">
        <f>VLOOKUP($A222,Data!$D$3:$CJ$128,30,FALSE)</f>
        <v>#N/A</v>
      </c>
      <c r="D222" s="74" t="e">
        <f>VLOOKUP($A222,Data!$D$3:$CJ$128,64,FALSE)</f>
        <v>#N/A</v>
      </c>
      <c r="E222" s="74" t="e">
        <f>VLOOKUP($A222,Data!$D$3:$CJ$128,66,FALSE)</f>
        <v>#N/A</v>
      </c>
      <c r="F222" s="74" t="e">
        <f>VLOOKUP($A222,Data!$D$3:$CJ$128,67,FALSE)</f>
        <v>#N/A</v>
      </c>
      <c r="G222" s="78" t="e">
        <f>VLOOKUP($A222,Data!$D$3:$CJ$128,68,FALSE)</f>
        <v>#N/A</v>
      </c>
      <c r="H222" s="78" t="e">
        <f>VLOOKUP($A222,Data!$D$3:$CJ$128,69,FALSE)</f>
        <v>#N/A</v>
      </c>
      <c r="I222" s="74" t="e">
        <f>VLOOKUP($A222,Data!$D$3:$CJ$128,70,FALSE)</f>
        <v>#N/A</v>
      </c>
      <c r="J222" s="74" t="e">
        <f>VLOOKUP($A222,Data!$D$3:$CJ$128,71,FALSE)</f>
        <v>#N/A</v>
      </c>
      <c r="K222" s="74" t="e">
        <f>VLOOKUP($A222,Data!$D$3:$CJ$128,72,FALSE)</f>
        <v>#N/A</v>
      </c>
      <c r="L222" s="74" t="e">
        <f>VLOOKUP($A222,Data!$D$3:$CJ$128,73,FALSE)</f>
        <v>#N/A</v>
      </c>
      <c r="M222" s="74" t="e">
        <f>VLOOKUP($A222,Data!$D$3:$CJ$128,74,FALSE)</f>
        <v>#N/A</v>
      </c>
      <c r="N222" s="78" t="e">
        <f t="shared" si="55"/>
        <v>#N/A</v>
      </c>
      <c r="O222" s="78" t="e">
        <f t="shared" si="56"/>
        <v>#N/A</v>
      </c>
      <c r="P222" s="78" t="e">
        <f t="shared" si="57"/>
        <v>#N/A</v>
      </c>
      <c r="Q222" s="78" t="e">
        <f t="shared" si="58"/>
        <v>#N/A</v>
      </c>
      <c r="R222" s="78" t="e">
        <f t="shared" si="59"/>
        <v>#N/A</v>
      </c>
      <c r="S222" s="78" t="e">
        <f t="shared" si="60"/>
        <v>#N/A</v>
      </c>
      <c r="T222" s="74" t="e">
        <f t="shared" si="61"/>
        <v>#N/A</v>
      </c>
      <c r="U222" s="74" t="e">
        <f t="shared" si="62"/>
        <v>#N/A</v>
      </c>
      <c r="V222" s="74" t="e">
        <f t="shared" si="63"/>
        <v>#N/A</v>
      </c>
      <c r="W222" s="74" t="e">
        <f t="shared" si="64"/>
        <v>#N/A</v>
      </c>
      <c r="X222" s="74" t="e">
        <f t="shared" si="65"/>
        <v>#N/A</v>
      </c>
      <c r="Y222" s="74" t="e">
        <f t="shared" si="66"/>
        <v>#N/A</v>
      </c>
    </row>
    <row r="223" spans="1:25">
      <c r="A223" s="88">
        <f>'Batch input'!A222</f>
        <v>0</v>
      </c>
      <c r="B223">
        <f>'Batch input'!B222</f>
        <v>0</v>
      </c>
      <c r="C223" t="e">
        <f>VLOOKUP($A223,Data!$D$3:$CJ$128,30,FALSE)</f>
        <v>#N/A</v>
      </c>
      <c r="D223" s="74" t="e">
        <f>VLOOKUP($A223,Data!$D$3:$CJ$128,64,FALSE)</f>
        <v>#N/A</v>
      </c>
      <c r="E223" s="74" t="e">
        <f>VLOOKUP($A223,Data!$D$3:$CJ$128,66,FALSE)</f>
        <v>#N/A</v>
      </c>
      <c r="F223" s="74" t="e">
        <f>VLOOKUP($A223,Data!$D$3:$CJ$128,67,FALSE)</f>
        <v>#N/A</v>
      </c>
      <c r="G223" s="78" t="e">
        <f>VLOOKUP($A223,Data!$D$3:$CJ$128,68,FALSE)</f>
        <v>#N/A</v>
      </c>
      <c r="H223" s="78" t="e">
        <f>VLOOKUP($A223,Data!$D$3:$CJ$128,69,FALSE)</f>
        <v>#N/A</v>
      </c>
      <c r="I223" s="74" t="e">
        <f>VLOOKUP($A223,Data!$D$3:$CJ$128,70,FALSE)</f>
        <v>#N/A</v>
      </c>
      <c r="J223" s="74" t="e">
        <f>VLOOKUP($A223,Data!$D$3:$CJ$128,71,FALSE)</f>
        <v>#N/A</v>
      </c>
      <c r="K223" s="74" t="e">
        <f>VLOOKUP($A223,Data!$D$3:$CJ$128,72,FALSE)</f>
        <v>#N/A</v>
      </c>
      <c r="L223" s="74" t="e">
        <f>VLOOKUP($A223,Data!$D$3:$CJ$128,73,FALSE)</f>
        <v>#N/A</v>
      </c>
      <c r="M223" s="74" t="e">
        <f>VLOOKUP($A223,Data!$D$3:$CJ$128,74,FALSE)</f>
        <v>#N/A</v>
      </c>
      <c r="N223" s="78" t="e">
        <f t="shared" si="55"/>
        <v>#N/A</v>
      </c>
      <c r="O223" s="78" t="e">
        <f t="shared" si="56"/>
        <v>#N/A</v>
      </c>
      <c r="P223" s="78" t="e">
        <f t="shared" si="57"/>
        <v>#N/A</v>
      </c>
      <c r="Q223" s="78" t="e">
        <f t="shared" si="58"/>
        <v>#N/A</v>
      </c>
      <c r="R223" s="78" t="e">
        <f t="shared" si="59"/>
        <v>#N/A</v>
      </c>
      <c r="S223" s="78" t="e">
        <f t="shared" si="60"/>
        <v>#N/A</v>
      </c>
      <c r="T223" s="74" t="e">
        <f t="shared" si="61"/>
        <v>#N/A</v>
      </c>
      <c r="U223" s="74" t="e">
        <f t="shared" si="62"/>
        <v>#N/A</v>
      </c>
      <c r="V223" s="74" t="e">
        <f t="shared" si="63"/>
        <v>#N/A</v>
      </c>
      <c r="W223" s="74" t="e">
        <f t="shared" si="64"/>
        <v>#N/A</v>
      </c>
      <c r="X223" s="74" t="e">
        <f t="shared" si="65"/>
        <v>#N/A</v>
      </c>
      <c r="Y223" s="74" t="e">
        <f t="shared" si="66"/>
        <v>#N/A</v>
      </c>
    </row>
    <row r="224" spans="1:25">
      <c r="A224" s="88">
        <f>'Batch input'!A223</f>
        <v>0</v>
      </c>
      <c r="B224">
        <f>'Batch input'!B223</f>
        <v>0</v>
      </c>
      <c r="C224" t="e">
        <f>VLOOKUP($A224,Data!$D$3:$CJ$128,30,FALSE)</f>
        <v>#N/A</v>
      </c>
      <c r="D224" s="74" t="e">
        <f>VLOOKUP($A224,Data!$D$3:$CJ$128,64,FALSE)</f>
        <v>#N/A</v>
      </c>
      <c r="E224" s="74" t="e">
        <f>VLOOKUP($A224,Data!$D$3:$CJ$128,66,FALSE)</f>
        <v>#N/A</v>
      </c>
      <c r="F224" s="74" t="e">
        <f>VLOOKUP($A224,Data!$D$3:$CJ$128,67,FALSE)</f>
        <v>#N/A</v>
      </c>
      <c r="G224" s="78" t="e">
        <f>VLOOKUP($A224,Data!$D$3:$CJ$128,68,FALSE)</f>
        <v>#N/A</v>
      </c>
      <c r="H224" s="78" t="e">
        <f>VLOOKUP($A224,Data!$D$3:$CJ$128,69,FALSE)</f>
        <v>#N/A</v>
      </c>
      <c r="I224" s="74" t="e">
        <f>VLOOKUP($A224,Data!$D$3:$CJ$128,70,FALSE)</f>
        <v>#N/A</v>
      </c>
      <c r="J224" s="74" t="e">
        <f>VLOOKUP($A224,Data!$D$3:$CJ$128,71,FALSE)</f>
        <v>#N/A</v>
      </c>
      <c r="K224" s="74" t="e">
        <f>VLOOKUP($A224,Data!$D$3:$CJ$128,72,FALSE)</f>
        <v>#N/A</v>
      </c>
      <c r="L224" s="74" t="e">
        <f>VLOOKUP($A224,Data!$D$3:$CJ$128,73,FALSE)</f>
        <v>#N/A</v>
      </c>
      <c r="M224" s="74" t="e">
        <f>VLOOKUP($A224,Data!$D$3:$CJ$128,74,FALSE)</f>
        <v>#N/A</v>
      </c>
      <c r="N224" s="78" t="e">
        <f t="shared" si="55"/>
        <v>#N/A</v>
      </c>
      <c r="O224" s="78" t="e">
        <f t="shared" si="56"/>
        <v>#N/A</v>
      </c>
      <c r="P224" s="78" t="e">
        <f t="shared" si="57"/>
        <v>#N/A</v>
      </c>
      <c r="Q224" s="78" t="e">
        <f t="shared" si="58"/>
        <v>#N/A</v>
      </c>
      <c r="R224" s="78" t="e">
        <f t="shared" si="59"/>
        <v>#N/A</v>
      </c>
      <c r="S224" s="78" t="e">
        <f t="shared" si="60"/>
        <v>#N/A</v>
      </c>
      <c r="T224" s="74" t="e">
        <f t="shared" si="61"/>
        <v>#N/A</v>
      </c>
      <c r="U224" s="74" t="e">
        <f t="shared" si="62"/>
        <v>#N/A</v>
      </c>
      <c r="V224" s="74" t="e">
        <f t="shared" si="63"/>
        <v>#N/A</v>
      </c>
      <c r="W224" s="74" t="e">
        <f t="shared" si="64"/>
        <v>#N/A</v>
      </c>
      <c r="X224" s="74" t="e">
        <f t="shared" si="65"/>
        <v>#N/A</v>
      </c>
      <c r="Y224" s="74" t="e">
        <f t="shared" si="66"/>
        <v>#N/A</v>
      </c>
    </row>
    <row r="225" spans="1:25">
      <c r="A225" s="88">
        <f>'Batch input'!A224</f>
        <v>0</v>
      </c>
      <c r="B225">
        <f>'Batch input'!B224</f>
        <v>0</v>
      </c>
      <c r="C225" t="e">
        <f>VLOOKUP($A225,Data!$D$3:$CJ$128,30,FALSE)</f>
        <v>#N/A</v>
      </c>
      <c r="D225" s="74" t="e">
        <f>VLOOKUP($A225,Data!$D$3:$CJ$128,64,FALSE)</f>
        <v>#N/A</v>
      </c>
      <c r="E225" s="74" t="e">
        <f>VLOOKUP($A225,Data!$D$3:$CJ$128,66,FALSE)</f>
        <v>#N/A</v>
      </c>
      <c r="F225" s="74" t="e">
        <f>VLOOKUP($A225,Data!$D$3:$CJ$128,67,FALSE)</f>
        <v>#N/A</v>
      </c>
      <c r="G225" s="78" t="e">
        <f>VLOOKUP($A225,Data!$D$3:$CJ$128,68,FALSE)</f>
        <v>#N/A</v>
      </c>
      <c r="H225" s="78" t="e">
        <f>VLOOKUP($A225,Data!$D$3:$CJ$128,69,FALSE)</f>
        <v>#N/A</v>
      </c>
      <c r="I225" s="74" t="e">
        <f>VLOOKUP($A225,Data!$D$3:$CJ$128,70,FALSE)</f>
        <v>#N/A</v>
      </c>
      <c r="J225" s="74" t="e">
        <f>VLOOKUP($A225,Data!$D$3:$CJ$128,71,FALSE)</f>
        <v>#N/A</v>
      </c>
      <c r="K225" s="74" t="e">
        <f>VLOOKUP($A225,Data!$D$3:$CJ$128,72,FALSE)</f>
        <v>#N/A</v>
      </c>
      <c r="L225" s="74" t="e">
        <f>VLOOKUP($A225,Data!$D$3:$CJ$128,73,FALSE)</f>
        <v>#N/A</v>
      </c>
      <c r="M225" s="74" t="e">
        <f>VLOOKUP($A225,Data!$D$3:$CJ$128,74,FALSE)</f>
        <v>#N/A</v>
      </c>
      <c r="N225" s="78" t="e">
        <f t="shared" si="55"/>
        <v>#N/A</v>
      </c>
      <c r="O225" s="78" t="e">
        <f t="shared" si="56"/>
        <v>#N/A</v>
      </c>
      <c r="P225" s="78" t="e">
        <f t="shared" si="57"/>
        <v>#N/A</v>
      </c>
      <c r="Q225" s="78" t="e">
        <f t="shared" si="58"/>
        <v>#N/A</v>
      </c>
      <c r="R225" s="78" t="e">
        <f t="shared" si="59"/>
        <v>#N/A</v>
      </c>
      <c r="S225" s="78" t="e">
        <f t="shared" si="60"/>
        <v>#N/A</v>
      </c>
      <c r="T225" s="74" t="e">
        <f t="shared" si="61"/>
        <v>#N/A</v>
      </c>
      <c r="U225" s="74" t="e">
        <f t="shared" si="62"/>
        <v>#N/A</v>
      </c>
      <c r="V225" s="74" t="e">
        <f t="shared" si="63"/>
        <v>#N/A</v>
      </c>
      <c r="W225" s="74" t="e">
        <f t="shared" si="64"/>
        <v>#N/A</v>
      </c>
      <c r="X225" s="74" t="e">
        <f t="shared" si="65"/>
        <v>#N/A</v>
      </c>
      <c r="Y225" s="74" t="e">
        <f t="shared" si="66"/>
        <v>#N/A</v>
      </c>
    </row>
    <row r="226" spans="1:25">
      <c r="A226" s="88">
        <f>'Batch input'!A225</f>
        <v>0</v>
      </c>
      <c r="B226">
        <f>'Batch input'!B225</f>
        <v>0</v>
      </c>
      <c r="C226" t="e">
        <f>VLOOKUP($A226,Data!$D$3:$CJ$128,30,FALSE)</f>
        <v>#N/A</v>
      </c>
      <c r="D226" s="74" t="e">
        <f>VLOOKUP($A226,Data!$D$3:$CJ$128,64,FALSE)</f>
        <v>#N/A</v>
      </c>
      <c r="E226" s="74" t="e">
        <f>VLOOKUP($A226,Data!$D$3:$CJ$128,66,FALSE)</f>
        <v>#N/A</v>
      </c>
      <c r="F226" s="74" t="e">
        <f>VLOOKUP($A226,Data!$D$3:$CJ$128,67,FALSE)</f>
        <v>#N/A</v>
      </c>
      <c r="G226" s="78" t="e">
        <f>VLOOKUP($A226,Data!$D$3:$CJ$128,68,FALSE)</f>
        <v>#N/A</v>
      </c>
      <c r="H226" s="78" t="e">
        <f>VLOOKUP($A226,Data!$D$3:$CJ$128,69,FALSE)</f>
        <v>#N/A</v>
      </c>
      <c r="I226" s="74" t="e">
        <f>VLOOKUP($A226,Data!$D$3:$CJ$128,70,FALSE)</f>
        <v>#N/A</v>
      </c>
      <c r="J226" s="74" t="e">
        <f>VLOOKUP($A226,Data!$D$3:$CJ$128,71,FALSE)</f>
        <v>#N/A</v>
      </c>
      <c r="K226" s="74" t="e">
        <f>VLOOKUP($A226,Data!$D$3:$CJ$128,72,FALSE)</f>
        <v>#N/A</v>
      </c>
      <c r="L226" s="74" t="e">
        <f>VLOOKUP($A226,Data!$D$3:$CJ$128,73,FALSE)</f>
        <v>#N/A</v>
      </c>
      <c r="M226" s="74" t="e">
        <f>VLOOKUP($A226,Data!$D$3:$CJ$128,74,FALSE)</f>
        <v>#N/A</v>
      </c>
      <c r="N226" s="78" t="e">
        <f t="shared" si="55"/>
        <v>#N/A</v>
      </c>
      <c r="O226" s="78" t="e">
        <f t="shared" si="56"/>
        <v>#N/A</v>
      </c>
      <c r="P226" s="78" t="e">
        <f t="shared" si="57"/>
        <v>#N/A</v>
      </c>
      <c r="Q226" s="78" t="e">
        <f t="shared" si="58"/>
        <v>#N/A</v>
      </c>
      <c r="R226" s="78" t="e">
        <f t="shared" si="59"/>
        <v>#N/A</v>
      </c>
      <c r="S226" s="78" t="e">
        <f t="shared" si="60"/>
        <v>#N/A</v>
      </c>
      <c r="T226" s="74" t="e">
        <f t="shared" si="61"/>
        <v>#N/A</v>
      </c>
      <c r="U226" s="74" t="e">
        <f t="shared" si="62"/>
        <v>#N/A</v>
      </c>
      <c r="V226" s="74" t="e">
        <f t="shared" si="63"/>
        <v>#N/A</v>
      </c>
      <c r="W226" s="74" t="e">
        <f t="shared" si="64"/>
        <v>#N/A</v>
      </c>
      <c r="X226" s="74" t="e">
        <f t="shared" si="65"/>
        <v>#N/A</v>
      </c>
      <c r="Y226" s="74" t="e">
        <f t="shared" si="66"/>
        <v>#N/A</v>
      </c>
    </row>
    <row r="227" spans="1:25">
      <c r="A227" s="88">
        <f>'Batch input'!A226</f>
        <v>0</v>
      </c>
      <c r="B227">
        <f>'Batch input'!B226</f>
        <v>0</v>
      </c>
      <c r="C227" t="e">
        <f>VLOOKUP($A227,Data!$D$3:$CJ$128,30,FALSE)</f>
        <v>#N/A</v>
      </c>
      <c r="D227" s="74" t="e">
        <f>VLOOKUP($A227,Data!$D$3:$CJ$128,64,FALSE)</f>
        <v>#N/A</v>
      </c>
      <c r="E227" s="74" t="e">
        <f>VLOOKUP($A227,Data!$D$3:$CJ$128,66,FALSE)</f>
        <v>#N/A</v>
      </c>
      <c r="F227" s="74" t="e">
        <f>VLOOKUP($A227,Data!$D$3:$CJ$128,67,FALSE)</f>
        <v>#N/A</v>
      </c>
      <c r="G227" s="78" t="e">
        <f>VLOOKUP($A227,Data!$D$3:$CJ$128,68,FALSE)</f>
        <v>#N/A</v>
      </c>
      <c r="H227" s="78" t="e">
        <f>VLOOKUP($A227,Data!$D$3:$CJ$128,69,FALSE)</f>
        <v>#N/A</v>
      </c>
      <c r="I227" s="74" t="e">
        <f>VLOOKUP($A227,Data!$D$3:$CJ$128,70,FALSE)</f>
        <v>#N/A</v>
      </c>
      <c r="J227" s="74" t="e">
        <f>VLOOKUP($A227,Data!$D$3:$CJ$128,71,FALSE)</f>
        <v>#N/A</v>
      </c>
      <c r="K227" s="74" t="e">
        <f>VLOOKUP($A227,Data!$D$3:$CJ$128,72,FALSE)</f>
        <v>#N/A</v>
      </c>
      <c r="L227" s="74" t="e">
        <f>VLOOKUP($A227,Data!$D$3:$CJ$128,73,FALSE)</f>
        <v>#N/A</v>
      </c>
      <c r="M227" s="74" t="e">
        <f>VLOOKUP($A227,Data!$D$3:$CJ$128,74,FALSE)</f>
        <v>#N/A</v>
      </c>
      <c r="N227" s="78" t="e">
        <f t="shared" si="55"/>
        <v>#N/A</v>
      </c>
      <c r="O227" s="78" t="e">
        <f t="shared" si="56"/>
        <v>#N/A</v>
      </c>
      <c r="P227" s="78" t="e">
        <f t="shared" si="57"/>
        <v>#N/A</v>
      </c>
      <c r="Q227" s="78" t="e">
        <f t="shared" si="58"/>
        <v>#N/A</v>
      </c>
      <c r="R227" s="78" t="e">
        <f t="shared" si="59"/>
        <v>#N/A</v>
      </c>
      <c r="S227" s="78" t="e">
        <f t="shared" si="60"/>
        <v>#N/A</v>
      </c>
      <c r="T227" s="74" t="e">
        <f t="shared" si="61"/>
        <v>#N/A</v>
      </c>
      <c r="U227" s="74" t="e">
        <f t="shared" si="62"/>
        <v>#N/A</v>
      </c>
      <c r="V227" s="74" t="e">
        <f t="shared" si="63"/>
        <v>#N/A</v>
      </c>
      <c r="W227" s="74" t="e">
        <f t="shared" si="64"/>
        <v>#N/A</v>
      </c>
      <c r="X227" s="74" t="e">
        <f t="shared" si="65"/>
        <v>#N/A</v>
      </c>
      <c r="Y227" s="74" t="e">
        <f t="shared" si="66"/>
        <v>#N/A</v>
      </c>
    </row>
    <row r="228" spans="1:25">
      <c r="A228" s="88">
        <f>'Batch input'!A227</f>
        <v>0</v>
      </c>
      <c r="B228">
        <f>'Batch input'!B227</f>
        <v>0</v>
      </c>
      <c r="C228" t="e">
        <f>VLOOKUP($A228,Data!$D$3:$CJ$128,30,FALSE)</f>
        <v>#N/A</v>
      </c>
      <c r="D228" s="74" t="e">
        <f>VLOOKUP($A228,Data!$D$3:$CJ$128,64,FALSE)</f>
        <v>#N/A</v>
      </c>
      <c r="E228" s="74" t="e">
        <f>VLOOKUP($A228,Data!$D$3:$CJ$128,66,FALSE)</f>
        <v>#N/A</v>
      </c>
      <c r="F228" s="74" t="e">
        <f>VLOOKUP($A228,Data!$D$3:$CJ$128,67,FALSE)</f>
        <v>#N/A</v>
      </c>
      <c r="G228" s="78" t="e">
        <f>VLOOKUP($A228,Data!$D$3:$CJ$128,68,FALSE)</f>
        <v>#N/A</v>
      </c>
      <c r="H228" s="78" t="e">
        <f>VLOOKUP($A228,Data!$D$3:$CJ$128,69,FALSE)</f>
        <v>#N/A</v>
      </c>
      <c r="I228" s="74" t="e">
        <f>VLOOKUP($A228,Data!$D$3:$CJ$128,70,FALSE)</f>
        <v>#N/A</v>
      </c>
      <c r="J228" s="74" t="e">
        <f>VLOOKUP($A228,Data!$D$3:$CJ$128,71,FALSE)</f>
        <v>#N/A</v>
      </c>
      <c r="K228" s="74" t="e">
        <f>VLOOKUP($A228,Data!$D$3:$CJ$128,72,FALSE)</f>
        <v>#N/A</v>
      </c>
      <c r="L228" s="74" t="e">
        <f>VLOOKUP($A228,Data!$D$3:$CJ$128,73,FALSE)</f>
        <v>#N/A</v>
      </c>
      <c r="M228" s="74" t="e">
        <f>VLOOKUP($A228,Data!$D$3:$CJ$128,74,FALSE)</f>
        <v>#N/A</v>
      </c>
      <c r="N228" s="78" t="e">
        <f t="shared" si="55"/>
        <v>#N/A</v>
      </c>
      <c r="O228" s="78" t="e">
        <f t="shared" si="56"/>
        <v>#N/A</v>
      </c>
      <c r="P228" s="78" t="e">
        <f t="shared" si="57"/>
        <v>#N/A</v>
      </c>
      <c r="Q228" s="78" t="e">
        <f t="shared" si="58"/>
        <v>#N/A</v>
      </c>
      <c r="R228" s="78" t="e">
        <f t="shared" si="59"/>
        <v>#N/A</v>
      </c>
      <c r="S228" s="78" t="e">
        <f t="shared" si="60"/>
        <v>#N/A</v>
      </c>
      <c r="T228" s="74" t="e">
        <f t="shared" si="61"/>
        <v>#N/A</v>
      </c>
      <c r="U228" s="74" t="e">
        <f t="shared" si="62"/>
        <v>#N/A</v>
      </c>
      <c r="V228" s="74" t="e">
        <f t="shared" si="63"/>
        <v>#N/A</v>
      </c>
      <c r="W228" s="74" t="e">
        <f t="shared" si="64"/>
        <v>#N/A</v>
      </c>
      <c r="X228" s="74" t="e">
        <f t="shared" si="65"/>
        <v>#N/A</v>
      </c>
      <c r="Y228" s="74" t="e">
        <f t="shared" si="66"/>
        <v>#N/A</v>
      </c>
    </row>
    <row r="229" spans="1:25">
      <c r="A229" s="88">
        <f>'Batch input'!A228</f>
        <v>0</v>
      </c>
      <c r="B229">
        <f>'Batch input'!B228</f>
        <v>0</v>
      </c>
      <c r="C229" t="e">
        <f>VLOOKUP($A229,Data!$D$3:$CJ$128,30,FALSE)</f>
        <v>#N/A</v>
      </c>
      <c r="D229" s="74" t="e">
        <f>VLOOKUP($A229,Data!$D$3:$CJ$128,64,FALSE)</f>
        <v>#N/A</v>
      </c>
      <c r="E229" s="74" t="e">
        <f>VLOOKUP($A229,Data!$D$3:$CJ$128,66,FALSE)</f>
        <v>#N/A</v>
      </c>
      <c r="F229" s="74" t="e">
        <f>VLOOKUP($A229,Data!$D$3:$CJ$128,67,FALSE)</f>
        <v>#N/A</v>
      </c>
      <c r="G229" s="78" t="e">
        <f>VLOOKUP($A229,Data!$D$3:$CJ$128,68,FALSE)</f>
        <v>#N/A</v>
      </c>
      <c r="H229" s="78" t="e">
        <f>VLOOKUP($A229,Data!$D$3:$CJ$128,69,FALSE)</f>
        <v>#N/A</v>
      </c>
      <c r="I229" s="74" t="e">
        <f>VLOOKUP($A229,Data!$D$3:$CJ$128,70,FALSE)</f>
        <v>#N/A</v>
      </c>
      <c r="J229" s="74" t="e">
        <f>VLOOKUP($A229,Data!$D$3:$CJ$128,71,FALSE)</f>
        <v>#N/A</v>
      </c>
      <c r="K229" s="74" t="e">
        <f>VLOOKUP($A229,Data!$D$3:$CJ$128,72,FALSE)</f>
        <v>#N/A</v>
      </c>
      <c r="L229" s="74" t="e">
        <f>VLOOKUP($A229,Data!$D$3:$CJ$128,73,FALSE)</f>
        <v>#N/A</v>
      </c>
      <c r="M229" s="74" t="e">
        <f>VLOOKUP($A229,Data!$D$3:$CJ$128,74,FALSE)</f>
        <v>#N/A</v>
      </c>
      <c r="N229" s="78" t="e">
        <f t="shared" si="55"/>
        <v>#N/A</v>
      </c>
      <c r="O229" s="78" t="e">
        <f t="shared" si="56"/>
        <v>#N/A</v>
      </c>
      <c r="P229" s="78" t="e">
        <f t="shared" si="57"/>
        <v>#N/A</v>
      </c>
      <c r="Q229" s="78" t="e">
        <f t="shared" si="58"/>
        <v>#N/A</v>
      </c>
      <c r="R229" s="78" t="e">
        <f t="shared" si="59"/>
        <v>#N/A</v>
      </c>
      <c r="S229" s="78" t="e">
        <f t="shared" si="60"/>
        <v>#N/A</v>
      </c>
      <c r="T229" s="74" t="e">
        <f t="shared" si="61"/>
        <v>#N/A</v>
      </c>
      <c r="U229" s="74" t="e">
        <f t="shared" si="62"/>
        <v>#N/A</v>
      </c>
      <c r="V229" s="74" t="e">
        <f t="shared" si="63"/>
        <v>#N/A</v>
      </c>
      <c r="W229" s="74" t="e">
        <f t="shared" si="64"/>
        <v>#N/A</v>
      </c>
      <c r="X229" s="74" t="e">
        <f t="shared" si="65"/>
        <v>#N/A</v>
      </c>
      <c r="Y229" s="74" t="e">
        <f t="shared" si="66"/>
        <v>#N/A</v>
      </c>
    </row>
    <row r="230" spans="1:25">
      <c r="A230" s="88">
        <f>'Batch input'!A229</f>
        <v>0</v>
      </c>
      <c r="B230">
        <f>'Batch input'!B229</f>
        <v>0</v>
      </c>
      <c r="C230" t="e">
        <f>VLOOKUP($A230,Data!$D$3:$CJ$128,30,FALSE)</f>
        <v>#N/A</v>
      </c>
      <c r="D230" s="74" t="e">
        <f>VLOOKUP($A230,Data!$D$3:$CJ$128,64,FALSE)</f>
        <v>#N/A</v>
      </c>
      <c r="E230" s="74" t="e">
        <f>VLOOKUP($A230,Data!$D$3:$CJ$128,66,FALSE)</f>
        <v>#N/A</v>
      </c>
      <c r="F230" s="74" t="e">
        <f>VLOOKUP($A230,Data!$D$3:$CJ$128,67,FALSE)</f>
        <v>#N/A</v>
      </c>
      <c r="G230" s="78" t="e">
        <f>VLOOKUP($A230,Data!$D$3:$CJ$128,68,FALSE)</f>
        <v>#N/A</v>
      </c>
      <c r="H230" s="78" t="e">
        <f>VLOOKUP($A230,Data!$D$3:$CJ$128,69,FALSE)</f>
        <v>#N/A</v>
      </c>
      <c r="I230" s="74" t="e">
        <f>VLOOKUP($A230,Data!$D$3:$CJ$128,70,FALSE)</f>
        <v>#N/A</v>
      </c>
      <c r="J230" s="74" t="e">
        <f>VLOOKUP($A230,Data!$D$3:$CJ$128,71,FALSE)</f>
        <v>#N/A</v>
      </c>
      <c r="K230" s="74" t="e">
        <f>VLOOKUP($A230,Data!$D$3:$CJ$128,72,FALSE)</f>
        <v>#N/A</v>
      </c>
      <c r="L230" s="74" t="e">
        <f>VLOOKUP($A230,Data!$D$3:$CJ$128,73,FALSE)</f>
        <v>#N/A</v>
      </c>
      <c r="M230" s="74" t="e">
        <f>VLOOKUP($A230,Data!$D$3:$CJ$128,74,FALSE)</f>
        <v>#N/A</v>
      </c>
      <c r="N230" s="78" t="e">
        <f t="shared" si="55"/>
        <v>#N/A</v>
      </c>
      <c r="O230" s="78" t="e">
        <f t="shared" si="56"/>
        <v>#N/A</v>
      </c>
      <c r="P230" s="78" t="e">
        <f t="shared" si="57"/>
        <v>#N/A</v>
      </c>
      <c r="Q230" s="78" t="e">
        <f t="shared" si="58"/>
        <v>#N/A</v>
      </c>
      <c r="R230" s="78" t="e">
        <f t="shared" si="59"/>
        <v>#N/A</v>
      </c>
      <c r="S230" s="78" t="e">
        <f t="shared" si="60"/>
        <v>#N/A</v>
      </c>
      <c r="T230" s="74" t="e">
        <f t="shared" si="61"/>
        <v>#N/A</v>
      </c>
      <c r="U230" s="74" t="e">
        <f t="shared" si="62"/>
        <v>#N/A</v>
      </c>
      <c r="V230" s="74" t="e">
        <f t="shared" si="63"/>
        <v>#N/A</v>
      </c>
      <c r="W230" s="74" t="e">
        <f t="shared" si="64"/>
        <v>#N/A</v>
      </c>
      <c r="X230" s="74" t="e">
        <f t="shared" si="65"/>
        <v>#N/A</v>
      </c>
      <c r="Y230" s="74" t="e">
        <f t="shared" si="66"/>
        <v>#N/A</v>
      </c>
    </row>
    <row r="231" spans="1:25">
      <c r="A231" s="88">
        <f>'Batch input'!A230</f>
        <v>0</v>
      </c>
      <c r="B231">
        <f>'Batch input'!B230</f>
        <v>0</v>
      </c>
      <c r="C231" t="e">
        <f>VLOOKUP($A231,Data!$D$3:$CJ$128,30,FALSE)</f>
        <v>#N/A</v>
      </c>
      <c r="D231" s="74" t="e">
        <f>VLOOKUP($A231,Data!$D$3:$CJ$128,64,FALSE)</f>
        <v>#N/A</v>
      </c>
      <c r="E231" s="74" t="e">
        <f>VLOOKUP($A231,Data!$D$3:$CJ$128,66,FALSE)</f>
        <v>#N/A</v>
      </c>
      <c r="F231" s="74" t="e">
        <f>VLOOKUP($A231,Data!$D$3:$CJ$128,67,FALSE)</f>
        <v>#N/A</v>
      </c>
      <c r="G231" s="78" t="e">
        <f>VLOOKUP($A231,Data!$D$3:$CJ$128,68,FALSE)</f>
        <v>#N/A</v>
      </c>
      <c r="H231" s="78" t="e">
        <f>VLOOKUP($A231,Data!$D$3:$CJ$128,69,FALSE)</f>
        <v>#N/A</v>
      </c>
      <c r="I231" s="74" t="e">
        <f>VLOOKUP($A231,Data!$D$3:$CJ$128,70,FALSE)</f>
        <v>#N/A</v>
      </c>
      <c r="J231" s="74" t="e">
        <f>VLOOKUP($A231,Data!$D$3:$CJ$128,71,FALSE)</f>
        <v>#N/A</v>
      </c>
      <c r="K231" s="74" t="e">
        <f>VLOOKUP($A231,Data!$D$3:$CJ$128,72,FALSE)</f>
        <v>#N/A</v>
      </c>
      <c r="L231" s="74" t="e">
        <f>VLOOKUP($A231,Data!$D$3:$CJ$128,73,FALSE)</f>
        <v>#N/A</v>
      </c>
      <c r="M231" s="74" t="e">
        <f>VLOOKUP($A231,Data!$D$3:$CJ$128,74,FALSE)</f>
        <v>#N/A</v>
      </c>
      <c r="N231" s="78" t="e">
        <f t="shared" si="55"/>
        <v>#N/A</v>
      </c>
      <c r="O231" s="78" t="e">
        <f t="shared" si="56"/>
        <v>#N/A</v>
      </c>
      <c r="P231" s="78" t="e">
        <f t="shared" si="57"/>
        <v>#N/A</v>
      </c>
      <c r="Q231" s="78" t="e">
        <f t="shared" si="58"/>
        <v>#N/A</v>
      </c>
      <c r="R231" s="78" t="e">
        <f t="shared" si="59"/>
        <v>#N/A</v>
      </c>
      <c r="S231" s="78" t="e">
        <f t="shared" si="60"/>
        <v>#N/A</v>
      </c>
      <c r="T231" s="74" t="e">
        <f t="shared" si="61"/>
        <v>#N/A</v>
      </c>
      <c r="U231" s="74" t="e">
        <f t="shared" si="62"/>
        <v>#N/A</v>
      </c>
      <c r="V231" s="74" t="e">
        <f t="shared" si="63"/>
        <v>#N/A</v>
      </c>
      <c r="W231" s="74" t="e">
        <f t="shared" si="64"/>
        <v>#N/A</v>
      </c>
      <c r="X231" s="74" t="e">
        <f t="shared" si="65"/>
        <v>#N/A</v>
      </c>
      <c r="Y231" s="74" t="e">
        <f t="shared" si="66"/>
        <v>#N/A</v>
      </c>
    </row>
    <row r="232" spans="1:25">
      <c r="A232" s="88">
        <f>'Batch input'!A231</f>
        <v>0</v>
      </c>
      <c r="B232">
        <f>'Batch input'!B231</f>
        <v>0</v>
      </c>
      <c r="C232" t="e">
        <f>VLOOKUP($A232,Data!$D$3:$CJ$128,30,FALSE)</f>
        <v>#N/A</v>
      </c>
      <c r="D232" s="74" t="e">
        <f>VLOOKUP($A232,Data!$D$3:$CJ$128,64,FALSE)</f>
        <v>#N/A</v>
      </c>
      <c r="E232" s="74" t="e">
        <f>VLOOKUP($A232,Data!$D$3:$CJ$128,66,FALSE)</f>
        <v>#N/A</v>
      </c>
      <c r="F232" s="74" t="e">
        <f>VLOOKUP($A232,Data!$D$3:$CJ$128,67,FALSE)</f>
        <v>#N/A</v>
      </c>
      <c r="G232" s="78" t="e">
        <f>VLOOKUP($A232,Data!$D$3:$CJ$128,68,FALSE)</f>
        <v>#N/A</v>
      </c>
      <c r="H232" s="78" t="e">
        <f>VLOOKUP($A232,Data!$D$3:$CJ$128,69,FALSE)</f>
        <v>#N/A</v>
      </c>
      <c r="I232" s="74" t="e">
        <f>VLOOKUP($A232,Data!$D$3:$CJ$128,70,FALSE)</f>
        <v>#N/A</v>
      </c>
      <c r="J232" s="74" t="e">
        <f>VLOOKUP($A232,Data!$D$3:$CJ$128,71,FALSE)</f>
        <v>#N/A</v>
      </c>
      <c r="K232" s="74" t="e">
        <f>VLOOKUP($A232,Data!$D$3:$CJ$128,72,FALSE)</f>
        <v>#N/A</v>
      </c>
      <c r="L232" s="74" t="e">
        <f>VLOOKUP($A232,Data!$D$3:$CJ$128,73,FALSE)</f>
        <v>#N/A</v>
      </c>
      <c r="M232" s="74" t="e">
        <f>VLOOKUP($A232,Data!$D$3:$CJ$128,74,FALSE)</f>
        <v>#N/A</v>
      </c>
      <c r="N232" s="78" t="e">
        <f t="shared" si="55"/>
        <v>#N/A</v>
      </c>
      <c r="O232" s="78" t="e">
        <f t="shared" si="56"/>
        <v>#N/A</v>
      </c>
      <c r="P232" s="78" t="e">
        <f t="shared" si="57"/>
        <v>#N/A</v>
      </c>
      <c r="Q232" s="78" t="e">
        <f t="shared" si="58"/>
        <v>#N/A</v>
      </c>
      <c r="R232" s="78" t="e">
        <f t="shared" si="59"/>
        <v>#N/A</v>
      </c>
      <c r="S232" s="78" t="e">
        <f t="shared" si="60"/>
        <v>#N/A</v>
      </c>
      <c r="T232" s="74" t="e">
        <f t="shared" si="61"/>
        <v>#N/A</v>
      </c>
      <c r="U232" s="74" t="e">
        <f t="shared" si="62"/>
        <v>#N/A</v>
      </c>
      <c r="V232" s="74" t="e">
        <f t="shared" si="63"/>
        <v>#N/A</v>
      </c>
      <c r="W232" s="74" t="e">
        <f t="shared" si="64"/>
        <v>#N/A</v>
      </c>
      <c r="X232" s="74" t="e">
        <f t="shared" si="65"/>
        <v>#N/A</v>
      </c>
      <c r="Y232" s="74" t="e">
        <f t="shared" si="66"/>
        <v>#N/A</v>
      </c>
    </row>
    <row r="233" spans="1:25">
      <c r="A233" s="88">
        <f>'Batch input'!A232</f>
        <v>0</v>
      </c>
      <c r="B233">
        <f>'Batch input'!B232</f>
        <v>0</v>
      </c>
      <c r="C233" t="e">
        <f>VLOOKUP($A233,Data!$D$3:$CJ$128,30,FALSE)</f>
        <v>#N/A</v>
      </c>
      <c r="D233" s="74" t="e">
        <f>VLOOKUP($A233,Data!$D$3:$CJ$128,64,FALSE)</f>
        <v>#N/A</v>
      </c>
      <c r="E233" s="74" t="e">
        <f>VLOOKUP($A233,Data!$D$3:$CJ$128,66,FALSE)</f>
        <v>#N/A</v>
      </c>
      <c r="F233" s="74" t="e">
        <f>VLOOKUP($A233,Data!$D$3:$CJ$128,67,FALSE)</f>
        <v>#N/A</v>
      </c>
      <c r="G233" s="78" t="e">
        <f>VLOOKUP($A233,Data!$D$3:$CJ$128,68,FALSE)</f>
        <v>#N/A</v>
      </c>
      <c r="H233" s="78" t="e">
        <f>VLOOKUP($A233,Data!$D$3:$CJ$128,69,FALSE)</f>
        <v>#N/A</v>
      </c>
      <c r="I233" s="74" t="e">
        <f>VLOOKUP($A233,Data!$D$3:$CJ$128,70,FALSE)</f>
        <v>#N/A</v>
      </c>
      <c r="J233" s="74" t="e">
        <f>VLOOKUP($A233,Data!$D$3:$CJ$128,71,FALSE)</f>
        <v>#N/A</v>
      </c>
      <c r="K233" s="74" t="e">
        <f>VLOOKUP($A233,Data!$D$3:$CJ$128,72,FALSE)</f>
        <v>#N/A</v>
      </c>
      <c r="L233" s="74" t="e">
        <f>VLOOKUP($A233,Data!$D$3:$CJ$128,73,FALSE)</f>
        <v>#N/A</v>
      </c>
      <c r="M233" s="74" t="e">
        <f>VLOOKUP($A233,Data!$D$3:$CJ$128,74,FALSE)</f>
        <v>#N/A</v>
      </c>
      <c r="N233" s="78" t="e">
        <f t="shared" si="55"/>
        <v>#N/A</v>
      </c>
      <c r="O233" s="78" t="e">
        <f t="shared" si="56"/>
        <v>#N/A</v>
      </c>
      <c r="P233" s="78" t="e">
        <f t="shared" si="57"/>
        <v>#N/A</v>
      </c>
      <c r="Q233" s="78" t="e">
        <f t="shared" si="58"/>
        <v>#N/A</v>
      </c>
      <c r="R233" s="78" t="e">
        <f t="shared" si="59"/>
        <v>#N/A</v>
      </c>
      <c r="S233" s="78" t="e">
        <f t="shared" si="60"/>
        <v>#N/A</v>
      </c>
      <c r="T233" s="74" t="e">
        <f t="shared" si="61"/>
        <v>#N/A</v>
      </c>
      <c r="U233" s="74" t="e">
        <f t="shared" si="62"/>
        <v>#N/A</v>
      </c>
      <c r="V233" s="74" t="e">
        <f t="shared" si="63"/>
        <v>#N/A</v>
      </c>
      <c r="W233" s="74" t="e">
        <f t="shared" si="64"/>
        <v>#N/A</v>
      </c>
      <c r="X233" s="74" t="e">
        <f t="shared" si="65"/>
        <v>#N/A</v>
      </c>
      <c r="Y233" s="74" t="e">
        <f t="shared" si="66"/>
        <v>#N/A</v>
      </c>
    </row>
    <row r="234" spans="1:25">
      <c r="A234" s="88">
        <f>'Batch input'!A233</f>
        <v>0</v>
      </c>
      <c r="B234">
        <f>'Batch input'!B233</f>
        <v>0</v>
      </c>
      <c r="C234" t="e">
        <f>VLOOKUP($A234,Data!$D$3:$CJ$128,30,FALSE)</f>
        <v>#N/A</v>
      </c>
      <c r="D234" s="74" t="e">
        <f>VLOOKUP($A234,Data!$D$3:$CJ$128,64,FALSE)</f>
        <v>#N/A</v>
      </c>
      <c r="E234" s="74" t="e">
        <f>VLOOKUP($A234,Data!$D$3:$CJ$128,66,FALSE)</f>
        <v>#N/A</v>
      </c>
      <c r="F234" s="74" t="e">
        <f>VLOOKUP($A234,Data!$D$3:$CJ$128,67,FALSE)</f>
        <v>#N/A</v>
      </c>
      <c r="G234" s="78" t="e">
        <f>VLOOKUP($A234,Data!$D$3:$CJ$128,68,FALSE)</f>
        <v>#N/A</v>
      </c>
      <c r="H234" s="78" t="e">
        <f>VLOOKUP($A234,Data!$D$3:$CJ$128,69,FALSE)</f>
        <v>#N/A</v>
      </c>
      <c r="I234" s="74" t="e">
        <f>VLOOKUP($A234,Data!$D$3:$CJ$128,70,FALSE)</f>
        <v>#N/A</v>
      </c>
      <c r="J234" s="74" t="e">
        <f>VLOOKUP($A234,Data!$D$3:$CJ$128,71,FALSE)</f>
        <v>#N/A</v>
      </c>
      <c r="K234" s="74" t="e">
        <f>VLOOKUP($A234,Data!$D$3:$CJ$128,72,FALSE)</f>
        <v>#N/A</v>
      </c>
      <c r="L234" s="74" t="e">
        <f>VLOOKUP($A234,Data!$D$3:$CJ$128,73,FALSE)</f>
        <v>#N/A</v>
      </c>
      <c r="M234" s="74" t="e">
        <f>VLOOKUP($A234,Data!$D$3:$CJ$128,74,FALSE)</f>
        <v>#N/A</v>
      </c>
      <c r="N234" s="78" t="e">
        <f t="shared" si="55"/>
        <v>#N/A</v>
      </c>
      <c r="O234" s="78" t="e">
        <f t="shared" si="56"/>
        <v>#N/A</v>
      </c>
      <c r="P234" s="78" t="e">
        <f t="shared" si="57"/>
        <v>#N/A</v>
      </c>
      <c r="Q234" s="78" t="e">
        <f t="shared" si="58"/>
        <v>#N/A</v>
      </c>
      <c r="R234" s="78" t="e">
        <f t="shared" si="59"/>
        <v>#N/A</v>
      </c>
      <c r="S234" s="78" t="e">
        <f t="shared" si="60"/>
        <v>#N/A</v>
      </c>
      <c r="T234" s="74" t="e">
        <f t="shared" si="61"/>
        <v>#N/A</v>
      </c>
      <c r="U234" s="74" t="e">
        <f t="shared" si="62"/>
        <v>#N/A</v>
      </c>
      <c r="V234" s="74" t="e">
        <f t="shared" si="63"/>
        <v>#N/A</v>
      </c>
      <c r="W234" s="74" t="e">
        <f t="shared" si="64"/>
        <v>#N/A</v>
      </c>
      <c r="X234" s="74" t="e">
        <f t="shared" si="65"/>
        <v>#N/A</v>
      </c>
      <c r="Y234" s="74" t="e">
        <f t="shared" si="66"/>
        <v>#N/A</v>
      </c>
    </row>
    <row r="235" spans="1:25">
      <c r="A235" s="88">
        <f>'Batch input'!A234</f>
        <v>0</v>
      </c>
      <c r="B235">
        <f>'Batch input'!B234</f>
        <v>0</v>
      </c>
      <c r="C235" t="e">
        <f>VLOOKUP($A235,Data!$D$3:$CJ$128,30,FALSE)</f>
        <v>#N/A</v>
      </c>
      <c r="D235" s="74" t="e">
        <f>VLOOKUP($A235,Data!$D$3:$CJ$128,64,FALSE)</f>
        <v>#N/A</v>
      </c>
      <c r="E235" s="74" t="e">
        <f>VLOOKUP($A235,Data!$D$3:$CJ$128,66,FALSE)</f>
        <v>#N/A</v>
      </c>
      <c r="F235" s="74" t="e">
        <f>VLOOKUP($A235,Data!$D$3:$CJ$128,67,FALSE)</f>
        <v>#N/A</v>
      </c>
      <c r="G235" s="78" t="e">
        <f>VLOOKUP($A235,Data!$D$3:$CJ$128,68,FALSE)</f>
        <v>#N/A</v>
      </c>
      <c r="H235" s="78" t="e">
        <f>VLOOKUP($A235,Data!$D$3:$CJ$128,69,FALSE)</f>
        <v>#N/A</v>
      </c>
      <c r="I235" s="74" t="e">
        <f>VLOOKUP($A235,Data!$D$3:$CJ$128,70,FALSE)</f>
        <v>#N/A</v>
      </c>
      <c r="J235" s="74" t="e">
        <f>VLOOKUP($A235,Data!$D$3:$CJ$128,71,FALSE)</f>
        <v>#N/A</v>
      </c>
      <c r="K235" s="74" t="e">
        <f>VLOOKUP($A235,Data!$D$3:$CJ$128,72,FALSE)</f>
        <v>#N/A</v>
      </c>
      <c r="L235" s="74" t="e">
        <f>VLOOKUP($A235,Data!$D$3:$CJ$128,73,FALSE)</f>
        <v>#N/A</v>
      </c>
      <c r="M235" s="74" t="e">
        <f>VLOOKUP($A235,Data!$D$3:$CJ$128,74,FALSE)</f>
        <v>#N/A</v>
      </c>
      <c r="N235" s="78" t="e">
        <f t="shared" si="55"/>
        <v>#N/A</v>
      </c>
      <c r="O235" s="78" t="e">
        <f t="shared" si="56"/>
        <v>#N/A</v>
      </c>
      <c r="P235" s="78" t="e">
        <f t="shared" si="57"/>
        <v>#N/A</v>
      </c>
      <c r="Q235" s="78" t="e">
        <f t="shared" si="58"/>
        <v>#N/A</v>
      </c>
      <c r="R235" s="78" t="e">
        <f t="shared" si="59"/>
        <v>#N/A</v>
      </c>
      <c r="S235" s="78" t="e">
        <f t="shared" si="60"/>
        <v>#N/A</v>
      </c>
      <c r="T235" s="74" t="e">
        <f t="shared" si="61"/>
        <v>#N/A</v>
      </c>
      <c r="U235" s="74" t="e">
        <f t="shared" si="62"/>
        <v>#N/A</v>
      </c>
      <c r="V235" s="74" t="e">
        <f t="shared" si="63"/>
        <v>#N/A</v>
      </c>
      <c r="W235" s="74" t="e">
        <f t="shared" si="64"/>
        <v>#N/A</v>
      </c>
      <c r="X235" s="74" t="e">
        <f t="shared" si="65"/>
        <v>#N/A</v>
      </c>
      <c r="Y235" s="74" t="e">
        <f t="shared" si="66"/>
        <v>#N/A</v>
      </c>
    </row>
    <row r="236" spans="1:25">
      <c r="A236" s="88">
        <f>'Batch input'!A235</f>
        <v>0</v>
      </c>
      <c r="B236">
        <f>'Batch input'!B235</f>
        <v>0</v>
      </c>
      <c r="C236" t="e">
        <f>VLOOKUP($A236,Data!$D$3:$CJ$128,30,FALSE)</f>
        <v>#N/A</v>
      </c>
      <c r="D236" s="74" t="e">
        <f>VLOOKUP($A236,Data!$D$3:$CJ$128,64,FALSE)</f>
        <v>#N/A</v>
      </c>
      <c r="E236" s="74" t="e">
        <f>VLOOKUP($A236,Data!$D$3:$CJ$128,66,FALSE)</f>
        <v>#N/A</v>
      </c>
      <c r="F236" s="74" t="e">
        <f>VLOOKUP($A236,Data!$D$3:$CJ$128,67,FALSE)</f>
        <v>#N/A</v>
      </c>
      <c r="G236" s="78" t="e">
        <f>VLOOKUP($A236,Data!$D$3:$CJ$128,68,FALSE)</f>
        <v>#N/A</v>
      </c>
      <c r="H236" s="78" t="e">
        <f>VLOOKUP($A236,Data!$D$3:$CJ$128,69,FALSE)</f>
        <v>#N/A</v>
      </c>
      <c r="I236" s="74" t="e">
        <f>VLOOKUP($A236,Data!$D$3:$CJ$128,70,FALSE)</f>
        <v>#N/A</v>
      </c>
      <c r="J236" s="74" t="e">
        <f>VLOOKUP($A236,Data!$D$3:$CJ$128,71,FALSE)</f>
        <v>#N/A</v>
      </c>
      <c r="K236" s="74" t="e">
        <f>VLOOKUP($A236,Data!$D$3:$CJ$128,72,FALSE)</f>
        <v>#N/A</v>
      </c>
      <c r="L236" s="74" t="e">
        <f>VLOOKUP($A236,Data!$D$3:$CJ$128,73,FALSE)</f>
        <v>#N/A</v>
      </c>
      <c r="M236" s="74" t="e">
        <f>VLOOKUP($A236,Data!$D$3:$CJ$128,74,FALSE)</f>
        <v>#N/A</v>
      </c>
      <c r="N236" s="78" t="e">
        <f t="shared" si="55"/>
        <v>#N/A</v>
      </c>
      <c r="O236" s="78" t="e">
        <f t="shared" si="56"/>
        <v>#N/A</v>
      </c>
      <c r="P236" s="78" t="e">
        <f t="shared" si="57"/>
        <v>#N/A</v>
      </c>
      <c r="Q236" s="78" t="e">
        <f t="shared" si="58"/>
        <v>#N/A</v>
      </c>
      <c r="R236" s="78" t="e">
        <f t="shared" si="59"/>
        <v>#N/A</v>
      </c>
      <c r="S236" s="78" t="e">
        <f t="shared" si="60"/>
        <v>#N/A</v>
      </c>
      <c r="T236" s="74" t="e">
        <f t="shared" si="61"/>
        <v>#N/A</v>
      </c>
      <c r="U236" s="74" t="e">
        <f t="shared" si="62"/>
        <v>#N/A</v>
      </c>
      <c r="V236" s="74" t="e">
        <f t="shared" si="63"/>
        <v>#N/A</v>
      </c>
      <c r="W236" s="74" t="e">
        <f t="shared" si="64"/>
        <v>#N/A</v>
      </c>
      <c r="X236" s="74" t="e">
        <f t="shared" si="65"/>
        <v>#N/A</v>
      </c>
      <c r="Y236" s="74" t="e">
        <f t="shared" si="66"/>
        <v>#N/A</v>
      </c>
    </row>
    <row r="237" spans="1:25">
      <c r="A237" s="88">
        <f>'Batch input'!A236</f>
        <v>0</v>
      </c>
      <c r="B237">
        <f>'Batch input'!B236</f>
        <v>0</v>
      </c>
      <c r="C237" t="e">
        <f>VLOOKUP($A237,Data!$D$3:$CJ$128,30,FALSE)</f>
        <v>#N/A</v>
      </c>
      <c r="D237" s="74" t="e">
        <f>VLOOKUP($A237,Data!$D$3:$CJ$128,64,FALSE)</f>
        <v>#N/A</v>
      </c>
      <c r="E237" s="74" t="e">
        <f>VLOOKUP($A237,Data!$D$3:$CJ$128,66,FALSE)</f>
        <v>#N/A</v>
      </c>
      <c r="F237" s="74" t="e">
        <f>VLOOKUP($A237,Data!$D$3:$CJ$128,67,FALSE)</f>
        <v>#N/A</v>
      </c>
      <c r="G237" s="78" t="e">
        <f>VLOOKUP($A237,Data!$D$3:$CJ$128,68,FALSE)</f>
        <v>#N/A</v>
      </c>
      <c r="H237" s="78" t="e">
        <f>VLOOKUP($A237,Data!$D$3:$CJ$128,69,FALSE)</f>
        <v>#N/A</v>
      </c>
      <c r="I237" s="74" t="e">
        <f>VLOOKUP($A237,Data!$D$3:$CJ$128,70,FALSE)</f>
        <v>#N/A</v>
      </c>
      <c r="J237" s="74" t="e">
        <f>VLOOKUP($A237,Data!$D$3:$CJ$128,71,FALSE)</f>
        <v>#N/A</v>
      </c>
      <c r="K237" s="74" t="e">
        <f>VLOOKUP($A237,Data!$D$3:$CJ$128,72,FALSE)</f>
        <v>#N/A</v>
      </c>
      <c r="L237" s="74" t="e">
        <f>VLOOKUP($A237,Data!$D$3:$CJ$128,73,FALSE)</f>
        <v>#N/A</v>
      </c>
      <c r="M237" s="74" t="e">
        <f>VLOOKUP($A237,Data!$D$3:$CJ$128,74,FALSE)</f>
        <v>#N/A</v>
      </c>
      <c r="N237" s="78" t="e">
        <f t="shared" si="55"/>
        <v>#N/A</v>
      </c>
      <c r="O237" s="78" t="e">
        <f t="shared" si="56"/>
        <v>#N/A</v>
      </c>
      <c r="P237" s="78" t="e">
        <f t="shared" si="57"/>
        <v>#N/A</v>
      </c>
      <c r="Q237" s="78" t="e">
        <f t="shared" si="58"/>
        <v>#N/A</v>
      </c>
      <c r="R237" s="78" t="e">
        <f t="shared" si="59"/>
        <v>#N/A</v>
      </c>
      <c r="S237" s="78" t="e">
        <f t="shared" si="60"/>
        <v>#N/A</v>
      </c>
      <c r="T237" s="74" t="e">
        <f t="shared" si="61"/>
        <v>#N/A</v>
      </c>
      <c r="U237" s="74" t="e">
        <f t="shared" si="62"/>
        <v>#N/A</v>
      </c>
      <c r="V237" s="74" t="e">
        <f t="shared" si="63"/>
        <v>#N/A</v>
      </c>
      <c r="W237" s="74" t="e">
        <f t="shared" si="64"/>
        <v>#N/A</v>
      </c>
      <c r="X237" s="74" t="e">
        <f t="shared" si="65"/>
        <v>#N/A</v>
      </c>
      <c r="Y237" s="74" t="e">
        <f t="shared" si="66"/>
        <v>#N/A</v>
      </c>
    </row>
    <row r="238" spans="1:25">
      <c r="A238" s="88">
        <f>'Batch input'!A237</f>
        <v>0</v>
      </c>
      <c r="B238">
        <f>'Batch input'!B237</f>
        <v>0</v>
      </c>
      <c r="C238" t="e">
        <f>VLOOKUP($A238,Data!$D$3:$CJ$128,30,FALSE)</f>
        <v>#N/A</v>
      </c>
      <c r="D238" s="74" t="e">
        <f>VLOOKUP($A238,Data!$D$3:$CJ$128,64,FALSE)</f>
        <v>#N/A</v>
      </c>
      <c r="E238" s="74" t="e">
        <f>VLOOKUP($A238,Data!$D$3:$CJ$128,66,FALSE)</f>
        <v>#N/A</v>
      </c>
      <c r="F238" s="74" t="e">
        <f>VLOOKUP($A238,Data!$D$3:$CJ$128,67,FALSE)</f>
        <v>#N/A</v>
      </c>
      <c r="G238" s="78" t="e">
        <f>VLOOKUP($A238,Data!$D$3:$CJ$128,68,FALSE)</f>
        <v>#N/A</v>
      </c>
      <c r="H238" s="78" t="e">
        <f>VLOOKUP($A238,Data!$D$3:$CJ$128,69,FALSE)</f>
        <v>#N/A</v>
      </c>
      <c r="I238" s="74" t="e">
        <f>VLOOKUP($A238,Data!$D$3:$CJ$128,70,FALSE)</f>
        <v>#N/A</v>
      </c>
      <c r="J238" s="74" t="e">
        <f>VLOOKUP($A238,Data!$D$3:$CJ$128,71,FALSE)</f>
        <v>#N/A</v>
      </c>
      <c r="K238" s="74" t="e">
        <f>VLOOKUP($A238,Data!$D$3:$CJ$128,72,FALSE)</f>
        <v>#N/A</v>
      </c>
      <c r="L238" s="74" t="e">
        <f>VLOOKUP($A238,Data!$D$3:$CJ$128,73,FALSE)</f>
        <v>#N/A</v>
      </c>
      <c r="M238" s="74" t="e">
        <f>VLOOKUP($A238,Data!$D$3:$CJ$128,74,FALSE)</f>
        <v>#N/A</v>
      </c>
      <c r="N238" s="78" t="e">
        <f t="shared" si="55"/>
        <v>#N/A</v>
      </c>
      <c r="O238" s="78" t="e">
        <f t="shared" si="56"/>
        <v>#N/A</v>
      </c>
      <c r="P238" s="78" t="e">
        <f t="shared" si="57"/>
        <v>#N/A</v>
      </c>
      <c r="Q238" s="78" t="e">
        <f t="shared" si="58"/>
        <v>#N/A</v>
      </c>
      <c r="R238" s="78" t="e">
        <f t="shared" si="59"/>
        <v>#N/A</v>
      </c>
      <c r="S238" s="78" t="e">
        <f t="shared" si="60"/>
        <v>#N/A</v>
      </c>
      <c r="T238" s="74" t="e">
        <f t="shared" si="61"/>
        <v>#N/A</v>
      </c>
      <c r="U238" s="74" t="e">
        <f t="shared" si="62"/>
        <v>#N/A</v>
      </c>
      <c r="V238" s="74" t="e">
        <f t="shared" si="63"/>
        <v>#N/A</v>
      </c>
      <c r="W238" s="74" t="e">
        <f t="shared" si="64"/>
        <v>#N/A</v>
      </c>
      <c r="X238" s="74" t="e">
        <f t="shared" si="65"/>
        <v>#N/A</v>
      </c>
      <c r="Y238" s="74" t="e">
        <f t="shared" si="66"/>
        <v>#N/A</v>
      </c>
    </row>
    <row r="239" spans="1:25">
      <c r="A239" s="88">
        <f>'Batch input'!A238</f>
        <v>0</v>
      </c>
      <c r="B239">
        <f>'Batch input'!B238</f>
        <v>0</v>
      </c>
      <c r="C239" t="e">
        <f>VLOOKUP($A239,Data!$D$3:$CJ$128,30,FALSE)</f>
        <v>#N/A</v>
      </c>
      <c r="D239" s="74" t="e">
        <f>VLOOKUP($A239,Data!$D$3:$CJ$128,64,FALSE)</f>
        <v>#N/A</v>
      </c>
      <c r="E239" s="74" t="e">
        <f>VLOOKUP($A239,Data!$D$3:$CJ$128,66,FALSE)</f>
        <v>#N/A</v>
      </c>
      <c r="F239" s="74" t="e">
        <f>VLOOKUP($A239,Data!$D$3:$CJ$128,67,FALSE)</f>
        <v>#N/A</v>
      </c>
      <c r="G239" s="78" t="e">
        <f>VLOOKUP($A239,Data!$D$3:$CJ$128,68,FALSE)</f>
        <v>#N/A</v>
      </c>
      <c r="H239" s="78" t="e">
        <f>VLOOKUP($A239,Data!$D$3:$CJ$128,69,FALSE)</f>
        <v>#N/A</v>
      </c>
      <c r="I239" s="74" t="e">
        <f>VLOOKUP($A239,Data!$D$3:$CJ$128,70,FALSE)</f>
        <v>#N/A</v>
      </c>
      <c r="J239" s="74" t="e">
        <f>VLOOKUP($A239,Data!$D$3:$CJ$128,71,FALSE)</f>
        <v>#N/A</v>
      </c>
      <c r="K239" s="74" t="e">
        <f>VLOOKUP($A239,Data!$D$3:$CJ$128,72,FALSE)</f>
        <v>#N/A</v>
      </c>
      <c r="L239" s="74" t="e">
        <f>VLOOKUP($A239,Data!$D$3:$CJ$128,73,FALSE)</f>
        <v>#N/A</v>
      </c>
      <c r="M239" s="74" t="e">
        <f>VLOOKUP($A239,Data!$D$3:$CJ$128,74,FALSE)</f>
        <v>#N/A</v>
      </c>
      <c r="N239" s="78" t="e">
        <f t="shared" si="55"/>
        <v>#N/A</v>
      </c>
      <c r="O239" s="78" t="e">
        <f t="shared" si="56"/>
        <v>#N/A</v>
      </c>
      <c r="P239" s="78" t="e">
        <f t="shared" si="57"/>
        <v>#N/A</v>
      </c>
      <c r="Q239" s="78" t="e">
        <f t="shared" si="58"/>
        <v>#N/A</v>
      </c>
      <c r="R239" s="78" t="e">
        <f t="shared" si="59"/>
        <v>#N/A</v>
      </c>
      <c r="S239" s="78" t="e">
        <f t="shared" si="60"/>
        <v>#N/A</v>
      </c>
      <c r="T239" s="74" t="e">
        <f t="shared" si="61"/>
        <v>#N/A</v>
      </c>
      <c r="U239" s="74" t="e">
        <f t="shared" si="62"/>
        <v>#N/A</v>
      </c>
      <c r="V239" s="74" t="e">
        <f t="shared" si="63"/>
        <v>#N/A</v>
      </c>
      <c r="W239" s="74" t="e">
        <f t="shared" si="64"/>
        <v>#N/A</v>
      </c>
      <c r="X239" s="74" t="e">
        <f t="shared" si="65"/>
        <v>#N/A</v>
      </c>
      <c r="Y239" s="74" t="e">
        <f t="shared" si="66"/>
        <v>#N/A</v>
      </c>
    </row>
    <row r="240" spans="1:25">
      <c r="A240" s="88">
        <f>'Batch input'!A239</f>
        <v>0</v>
      </c>
      <c r="B240">
        <f>'Batch input'!B239</f>
        <v>0</v>
      </c>
      <c r="C240" t="e">
        <f>VLOOKUP($A240,Data!$D$3:$CJ$128,30,FALSE)</f>
        <v>#N/A</v>
      </c>
      <c r="D240" s="74" t="e">
        <f>VLOOKUP($A240,Data!$D$3:$CJ$128,64,FALSE)</f>
        <v>#N/A</v>
      </c>
      <c r="E240" s="74" t="e">
        <f>VLOOKUP($A240,Data!$D$3:$CJ$128,66,FALSE)</f>
        <v>#N/A</v>
      </c>
      <c r="F240" s="74" t="e">
        <f>VLOOKUP($A240,Data!$D$3:$CJ$128,67,FALSE)</f>
        <v>#N/A</v>
      </c>
      <c r="G240" s="78" t="e">
        <f>VLOOKUP($A240,Data!$D$3:$CJ$128,68,FALSE)</f>
        <v>#N/A</v>
      </c>
      <c r="H240" s="78" t="e">
        <f>VLOOKUP($A240,Data!$D$3:$CJ$128,69,FALSE)</f>
        <v>#N/A</v>
      </c>
      <c r="I240" s="74" t="e">
        <f>VLOOKUP($A240,Data!$D$3:$CJ$128,70,FALSE)</f>
        <v>#N/A</v>
      </c>
      <c r="J240" s="74" t="e">
        <f>VLOOKUP($A240,Data!$D$3:$CJ$128,71,FALSE)</f>
        <v>#N/A</v>
      </c>
      <c r="K240" s="74" t="e">
        <f>VLOOKUP($A240,Data!$D$3:$CJ$128,72,FALSE)</f>
        <v>#N/A</v>
      </c>
      <c r="L240" s="74" t="e">
        <f>VLOOKUP($A240,Data!$D$3:$CJ$128,73,FALSE)</f>
        <v>#N/A</v>
      </c>
      <c r="M240" s="74" t="e">
        <f>VLOOKUP($A240,Data!$D$3:$CJ$128,74,FALSE)</f>
        <v>#N/A</v>
      </c>
      <c r="N240" s="78" t="e">
        <f t="shared" si="55"/>
        <v>#N/A</v>
      </c>
      <c r="O240" s="78" t="e">
        <f t="shared" si="56"/>
        <v>#N/A</v>
      </c>
      <c r="P240" s="78" t="e">
        <f t="shared" si="57"/>
        <v>#N/A</v>
      </c>
      <c r="Q240" s="78" t="e">
        <f t="shared" si="58"/>
        <v>#N/A</v>
      </c>
      <c r="R240" s="78" t="e">
        <f t="shared" si="59"/>
        <v>#N/A</v>
      </c>
      <c r="S240" s="78" t="e">
        <f t="shared" si="60"/>
        <v>#N/A</v>
      </c>
      <c r="T240" s="74" t="e">
        <f t="shared" si="61"/>
        <v>#N/A</v>
      </c>
      <c r="U240" s="74" t="e">
        <f t="shared" si="62"/>
        <v>#N/A</v>
      </c>
      <c r="V240" s="74" t="e">
        <f t="shared" si="63"/>
        <v>#N/A</v>
      </c>
      <c r="W240" s="74" t="e">
        <f t="shared" si="64"/>
        <v>#N/A</v>
      </c>
      <c r="X240" s="74" t="e">
        <f t="shared" si="65"/>
        <v>#N/A</v>
      </c>
      <c r="Y240" s="74" t="e">
        <f t="shared" si="66"/>
        <v>#N/A</v>
      </c>
    </row>
    <row r="241" spans="1:25">
      <c r="A241" s="88">
        <f>'Batch input'!A240</f>
        <v>0</v>
      </c>
      <c r="B241">
        <f>'Batch input'!B240</f>
        <v>0</v>
      </c>
      <c r="C241" t="e">
        <f>VLOOKUP($A241,Data!$D$3:$CJ$128,30,FALSE)</f>
        <v>#N/A</v>
      </c>
      <c r="D241" s="74" t="e">
        <f>VLOOKUP($A241,Data!$D$3:$CJ$128,64,FALSE)</f>
        <v>#N/A</v>
      </c>
      <c r="E241" s="74" t="e">
        <f>VLOOKUP($A241,Data!$D$3:$CJ$128,66,FALSE)</f>
        <v>#N/A</v>
      </c>
      <c r="F241" s="74" t="e">
        <f>VLOOKUP($A241,Data!$D$3:$CJ$128,67,FALSE)</f>
        <v>#N/A</v>
      </c>
      <c r="G241" s="78" t="e">
        <f>VLOOKUP($A241,Data!$D$3:$CJ$128,68,FALSE)</f>
        <v>#N/A</v>
      </c>
      <c r="H241" s="78" t="e">
        <f>VLOOKUP($A241,Data!$D$3:$CJ$128,69,FALSE)</f>
        <v>#N/A</v>
      </c>
      <c r="I241" s="74" t="e">
        <f>VLOOKUP($A241,Data!$D$3:$CJ$128,70,FALSE)</f>
        <v>#N/A</v>
      </c>
      <c r="J241" s="74" t="e">
        <f>VLOOKUP($A241,Data!$D$3:$CJ$128,71,FALSE)</f>
        <v>#N/A</v>
      </c>
      <c r="K241" s="74" t="e">
        <f>VLOOKUP($A241,Data!$D$3:$CJ$128,72,FALSE)</f>
        <v>#N/A</v>
      </c>
      <c r="L241" s="74" t="e">
        <f>VLOOKUP($A241,Data!$D$3:$CJ$128,73,FALSE)</f>
        <v>#N/A</v>
      </c>
      <c r="M241" s="74" t="e">
        <f>VLOOKUP($A241,Data!$D$3:$CJ$128,74,FALSE)</f>
        <v>#N/A</v>
      </c>
      <c r="N241" s="78" t="e">
        <f t="shared" si="55"/>
        <v>#N/A</v>
      </c>
      <c r="O241" s="78" t="e">
        <f t="shared" si="56"/>
        <v>#N/A</v>
      </c>
      <c r="P241" s="78" t="e">
        <f t="shared" si="57"/>
        <v>#N/A</v>
      </c>
      <c r="Q241" s="78" t="e">
        <f t="shared" si="58"/>
        <v>#N/A</v>
      </c>
      <c r="R241" s="78" t="e">
        <f t="shared" si="59"/>
        <v>#N/A</v>
      </c>
      <c r="S241" s="78" t="e">
        <f t="shared" si="60"/>
        <v>#N/A</v>
      </c>
      <c r="T241" s="74" t="e">
        <f t="shared" si="61"/>
        <v>#N/A</v>
      </c>
      <c r="U241" s="74" t="e">
        <f t="shared" si="62"/>
        <v>#N/A</v>
      </c>
      <c r="V241" s="74" t="e">
        <f t="shared" si="63"/>
        <v>#N/A</v>
      </c>
      <c r="W241" s="74" t="e">
        <f t="shared" si="64"/>
        <v>#N/A</v>
      </c>
      <c r="X241" s="74" t="e">
        <f t="shared" si="65"/>
        <v>#N/A</v>
      </c>
      <c r="Y241" s="74" t="e">
        <f t="shared" si="66"/>
        <v>#N/A</v>
      </c>
    </row>
    <row r="242" spans="1:25">
      <c r="A242" s="88">
        <f>'Batch input'!A241</f>
        <v>0</v>
      </c>
      <c r="B242">
        <f>'Batch input'!B241</f>
        <v>0</v>
      </c>
      <c r="C242" t="e">
        <f>VLOOKUP($A242,Data!$D$3:$CJ$128,30,FALSE)</f>
        <v>#N/A</v>
      </c>
      <c r="D242" s="74" t="e">
        <f>VLOOKUP($A242,Data!$D$3:$CJ$128,64,FALSE)</f>
        <v>#N/A</v>
      </c>
      <c r="E242" s="74" t="e">
        <f>VLOOKUP($A242,Data!$D$3:$CJ$128,66,FALSE)</f>
        <v>#N/A</v>
      </c>
      <c r="F242" s="74" t="e">
        <f>VLOOKUP($A242,Data!$D$3:$CJ$128,67,FALSE)</f>
        <v>#N/A</v>
      </c>
      <c r="G242" s="78" t="e">
        <f>VLOOKUP($A242,Data!$D$3:$CJ$128,68,FALSE)</f>
        <v>#N/A</v>
      </c>
      <c r="H242" s="78" t="e">
        <f>VLOOKUP($A242,Data!$D$3:$CJ$128,69,FALSE)</f>
        <v>#N/A</v>
      </c>
      <c r="I242" s="74" t="e">
        <f>VLOOKUP($A242,Data!$D$3:$CJ$128,70,FALSE)</f>
        <v>#N/A</v>
      </c>
      <c r="J242" s="74" t="e">
        <f>VLOOKUP($A242,Data!$D$3:$CJ$128,71,FALSE)</f>
        <v>#N/A</v>
      </c>
      <c r="K242" s="74" t="e">
        <f>VLOOKUP($A242,Data!$D$3:$CJ$128,72,FALSE)</f>
        <v>#N/A</v>
      </c>
      <c r="L242" s="74" t="e">
        <f>VLOOKUP($A242,Data!$D$3:$CJ$128,73,FALSE)</f>
        <v>#N/A</v>
      </c>
      <c r="M242" s="74" t="e">
        <f>VLOOKUP($A242,Data!$D$3:$CJ$128,74,FALSE)</f>
        <v>#N/A</v>
      </c>
      <c r="N242" s="78" t="e">
        <f t="shared" si="55"/>
        <v>#N/A</v>
      </c>
      <c r="O242" s="78" t="e">
        <f t="shared" si="56"/>
        <v>#N/A</v>
      </c>
      <c r="P242" s="78" t="e">
        <f t="shared" si="57"/>
        <v>#N/A</v>
      </c>
      <c r="Q242" s="78" t="e">
        <f t="shared" si="58"/>
        <v>#N/A</v>
      </c>
      <c r="R242" s="78" t="e">
        <f t="shared" si="59"/>
        <v>#N/A</v>
      </c>
      <c r="S242" s="78" t="e">
        <f t="shared" si="60"/>
        <v>#N/A</v>
      </c>
      <c r="T242" s="74" t="e">
        <f t="shared" si="61"/>
        <v>#N/A</v>
      </c>
      <c r="U242" s="74" t="e">
        <f t="shared" si="62"/>
        <v>#N/A</v>
      </c>
      <c r="V242" s="74" t="e">
        <f t="shared" si="63"/>
        <v>#N/A</v>
      </c>
      <c r="W242" s="74" t="e">
        <f t="shared" si="64"/>
        <v>#N/A</v>
      </c>
      <c r="X242" s="74" t="e">
        <f t="shared" si="65"/>
        <v>#N/A</v>
      </c>
      <c r="Y242" s="74" t="e">
        <f t="shared" si="66"/>
        <v>#N/A</v>
      </c>
    </row>
    <row r="243" spans="1:25">
      <c r="A243" s="88">
        <f>'Batch input'!A242</f>
        <v>0</v>
      </c>
      <c r="B243">
        <f>'Batch input'!B242</f>
        <v>0</v>
      </c>
      <c r="C243" t="e">
        <f>VLOOKUP($A243,Data!$D$3:$CJ$128,30,FALSE)</f>
        <v>#N/A</v>
      </c>
      <c r="D243" s="74" t="e">
        <f>VLOOKUP($A243,Data!$D$3:$CJ$128,64,FALSE)</f>
        <v>#N/A</v>
      </c>
      <c r="E243" s="74" t="e">
        <f>VLOOKUP($A243,Data!$D$3:$CJ$128,66,FALSE)</f>
        <v>#N/A</v>
      </c>
      <c r="F243" s="74" t="e">
        <f>VLOOKUP($A243,Data!$D$3:$CJ$128,67,FALSE)</f>
        <v>#N/A</v>
      </c>
      <c r="G243" s="78" t="e">
        <f>VLOOKUP($A243,Data!$D$3:$CJ$128,68,FALSE)</f>
        <v>#N/A</v>
      </c>
      <c r="H243" s="78" t="e">
        <f>VLOOKUP($A243,Data!$D$3:$CJ$128,69,FALSE)</f>
        <v>#N/A</v>
      </c>
      <c r="I243" s="74" t="e">
        <f>VLOOKUP($A243,Data!$D$3:$CJ$128,70,FALSE)</f>
        <v>#N/A</v>
      </c>
      <c r="J243" s="74" t="e">
        <f>VLOOKUP($A243,Data!$D$3:$CJ$128,71,FALSE)</f>
        <v>#N/A</v>
      </c>
      <c r="K243" s="74" t="e">
        <f>VLOOKUP($A243,Data!$D$3:$CJ$128,72,FALSE)</f>
        <v>#N/A</v>
      </c>
      <c r="L243" s="74" t="e">
        <f>VLOOKUP($A243,Data!$D$3:$CJ$128,73,FALSE)</f>
        <v>#N/A</v>
      </c>
      <c r="M243" s="74" t="e">
        <f>VLOOKUP($A243,Data!$D$3:$CJ$128,74,FALSE)</f>
        <v>#N/A</v>
      </c>
      <c r="N243" s="78" t="e">
        <f t="shared" si="55"/>
        <v>#N/A</v>
      </c>
      <c r="O243" s="78" t="e">
        <f t="shared" si="56"/>
        <v>#N/A</v>
      </c>
      <c r="P243" s="78" t="e">
        <f t="shared" si="57"/>
        <v>#N/A</v>
      </c>
      <c r="Q243" s="78" t="e">
        <f t="shared" si="58"/>
        <v>#N/A</v>
      </c>
      <c r="R243" s="78" t="e">
        <f t="shared" si="59"/>
        <v>#N/A</v>
      </c>
      <c r="S243" s="78" t="e">
        <f t="shared" si="60"/>
        <v>#N/A</v>
      </c>
      <c r="T243" s="74" t="e">
        <f t="shared" si="61"/>
        <v>#N/A</v>
      </c>
      <c r="U243" s="74" t="e">
        <f t="shared" si="62"/>
        <v>#N/A</v>
      </c>
      <c r="V243" s="74" t="e">
        <f t="shared" si="63"/>
        <v>#N/A</v>
      </c>
      <c r="W243" s="74" t="e">
        <f t="shared" si="64"/>
        <v>#N/A</v>
      </c>
      <c r="X243" s="74" t="e">
        <f t="shared" si="65"/>
        <v>#N/A</v>
      </c>
      <c r="Y243" s="74" t="e">
        <f t="shared" si="66"/>
        <v>#N/A</v>
      </c>
    </row>
    <row r="244" spans="1:25">
      <c r="A244" s="88">
        <f>'Batch input'!A243</f>
        <v>0</v>
      </c>
      <c r="B244">
        <f>'Batch input'!B243</f>
        <v>0</v>
      </c>
      <c r="C244" t="e">
        <f>VLOOKUP($A244,Data!$D$3:$CJ$128,30,FALSE)</f>
        <v>#N/A</v>
      </c>
      <c r="D244" s="74" t="e">
        <f>VLOOKUP($A244,Data!$D$3:$CJ$128,64,FALSE)</f>
        <v>#N/A</v>
      </c>
      <c r="E244" s="74" t="e">
        <f>VLOOKUP($A244,Data!$D$3:$CJ$128,66,FALSE)</f>
        <v>#N/A</v>
      </c>
      <c r="F244" s="74" t="e">
        <f>VLOOKUP($A244,Data!$D$3:$CJ$128,67,FALSE)</f>
        <v>#N/A</v>
      </c>
      <c r="G244" s="78" t="e">
        <f>VLOOKUP($A244,Data!$D$3:$CJ$128,68,FALSE)</f>
        <v>#N/A</v>
      </c>
      <c r="H244" s="78" t="e">
        <f>VLOOKUP($A244,Data!$D$3:$CJ$128,69,FALSE)</f>
        <v>#N/A</v>
      </c>
      <c r="I244" s="74" t="e">
        <f>VLOOKUP($A244,Data!$D$3:$CJ$128,70,FALSE)</f>
        <v>#N/A</v>
      </c>
      <c r="J244" s="74" t="e">
        <f>VLOOKUP($A244,Data!$D$3:$CJ$128,71,FALSE)</f>
        <v>#N/A</v>
      </c>
      <c r="K244" s="74" t="e">
        <f>VLOOKUP($A244,Data!$D$3:$CJ$128,72,FALSE)</f>
        <v>#N/A</v>
      </c>
      <c r="L244" s="74" t="e">
        <f>VLOOKUP($A244,Data!$D$3:$CJ$128,73,FALSE)</f>
        <v>#N/A</v>
      </c>
      <c r="M244" s="74" t="e">
        <f>VLOOKUP($A244,Data!$D$3:$CJ$128,74,FALSE)</f>
        <v>#N/A</v>
      </c>
      <c r="N244" s="78" t="e">
        <f t="shared" si="55"/>
        <v>#N/A</v>
      </c>
      <c r="O244" s="78" t="e">
        <f t="shared" si="56"/>
        <v>#N/A</v>
      </c>
      <c r="P244" s="78" t="e">
        <f t="shared" si="57"/>
        <v>#N/A</v>
      </c>
      <c r="Q244" s="78" t="e">
        <f t="shared" si="58"/>
        <v>#N/A</v>
      </c>
      <c r="R244" s="78" t="e">
        <f t="shared" si="59"/>
        <v>#N/A</v>
      </c>
      <c r="S244" s="78" t="e">
        <f t="shared" si="60"/>
        <v>#N/A</v>
      </c>
      <c r="T244" s="74" t="e">
        <f t="shared" si="61"/>
        <v>#N/A</v>
      </c>
      <c r="U244" s="74" t="e">
        <f t="shared" si="62"/>
        <v>#N/A</v>
      </c>
      <c r="V244" s="74" t="e">
        <f t="shared" si="63"/>
        <v>#N/A</v>
      </c>
      <c r="W244" s="74" t="e">
        <f t="shared" si="64"/>
        <v>#N/A</v>
      </c>
      <c r="X244" s="74" t="e">
        <f t="shared" si="65"/>
        <v>#N/A</v>
      </c>
      <c r="Y244" s="74" t="e">
        <f t="shared" si="66"/>
        <v>#N/A</v>
      </c>
    </row>
    <row r="245" spans="1:25">
      <c r="A245" s="88">
        <f>'Batch input'!A244</f>
        <v>0</v>
      </c>
      <c r="B245">
        <f>'Batch input'!B244</f>
        <v>0</v>
      </c>
      <c r="C245" t="e">
        <f>VLOOKUP($A245,Data!$D$3:$CJ$128,30,FALSE)</f>
        <v>#N/A</v>
      </c>
      <c r="D245" s="74" t="e">
        <f>VLOOKUP($A245,Data!$D$3:$CJ$128,64,FALSE)</f>
        <v>#N/A</v>
      </c>
      <c r="E245" s="74" t="e">
        <f>VLOOKUP($A245,Data!$D$3:$CJ$128,66,FALSE)</f>
        <v>#N/A</v>
      </c>
      <c r="F245" s="74" t="e">
        <f>VLOOKUP($A245,Data!$D$3:$CJ$128,67,FALSE)</f>
        <v>#N/A</v>
      </c>
      <c r="G245" s="78" t="e">
        <f>VLOOKUP($A245,Data!$D$3:$CJ$128,68,FALSE)</f>
        <v>#N/A</v>
      </c>
      <c r="H245" s="78" t="e">
        <f>VLOOKUP($A245,Data!$D$3:$CJ$128,69,FALSE)</f>
        <v>#N/A</v>
      </c>
      <c r="I245" s="74" t="e">
        <f>VLOOKUP($A245,Data!$D$3:$CJ$128,70,FALSE)</f>
        <v>#N/A</v>
      </c>
      <c r="J245" s="74" t="e">
        <f>VLOOKUP($A245,Data!$D$3:$CJ$128,71,FALSE)</f>
        <v>#N/A</v>
      </c>
      <c r="K245" s="74" t="e">
        <f>VLOOKUP($A245,Data!$D$3:$CJ$128,72,FALSE)</f>
        <v>#N/A</v>
      </c>
      <c r="L245" s="74" t="e">
        <f>VLOOKUP($A245,Data!$D$3:$CJ$128,73,FALSE)</f>
        <v>#N/A</v>
      </c>
      <c r="M245" s="74" t="e">
        <f>VLOOKUP($A245,Data!$D$3:$CJ$128,74,FALSE)</f>
        <v>#N/A</v>
      </c>
      <c r="N245" s="78" t="e">
        <f t="shared" si="55"/>
        <v>#N/A</v>
      </c>
      <c r="O245" s="78" t="e">
        <f t="shared" si="56"/>
        <v>#N/A</v>
      </c>
      <c r="P245" s="78" t="e">
        <f t="shared" si="57"/>
        <v>#N/A</v>
      </c>
      <c r="Q245" s="78" t="e">
        <f t="shared" si="58"/>
        <v>#N/A</v>
      </c>
      <c r="R245" s="78" t="e">
        <f t="shared" si="59"/>
        <v>#N/A</v>
      </c>
      <c r="S245" s="78" t="e">
        <f t="shared" si="60"/>
        <v>#N/A</v>
      </c>
      <c r="T245" s="74" t="e">
        <f t="shared" si="61"/>
        <v>#N/A</v>
      </c>
      <c r="U245" s="74" t="e">
        <f t="shared" si="62"/>
        <v>#N/A</v>
      </c>
      <c r="V245" s="74" t="e">
        <f t="shared" si="63"/>
        <v>#N/A</v>
      </c>
      <c r="W245" s="74" t="e">
        <f t="shared" si="64"/>
        <v>#N/A</v>
      </c>
      <c r="X245" s="74" t="e">
        <f t="shared" si="65"/>
        <v>#N/A</v>
      </c>
      <c r="Y245" s="74" t="e">
        <f t="shared" si="66"/>
        <v>#N/A</v>
      </c>
    </row>
    <row r="246" spans="1:25">
      <c r="A246" s="88">
        <f>'Batch input'!A245</f>
        <v>0</v>
      </c>
      <c r="B246">
        <f>'Batch input'!B245</f>
        <v>0</v>
      </c>
      <c r="C246" t="e">
        <f>VLOOKUP($A246,Data!$D$3:$CJ$128,30,FALSE)</f>
        <v>#N/A</v>
      </c>
      <c r="D246" s="74" t="e">
        <f>VLOOKUP($A246,Data!$D$3:$CJ$128,64,FALSE)</f>
        <v>#N/A</v>
      </c>
      <c r="E246" s="74" t="e">
        <f>VLOOKUP($A246,Data!$D$3:$CJ$128,66,FALSE)</f>
        <v>#N/A</v>
      </c>
      <c r="F246" s="74" t="e">
        <f>VLOOKUP($A246,Data!$D$3:$CJ$128,67,FALSE)</f>
        <v>#N/A</v>
      </c>
      <c r="G246" s="78" t="e">
        <f>VLOOKUP($A246,Data!$D$3:$CJ$128,68,FALSE)</f>
        <v>#N/A</v>
      </c>
      <c r="H246" s="78" t="e">
        <f>VLOOKUP($A246,Data!$D$3:$CJ$128,69,FALSE)</f>
        <v>#N/A</v>
      </c>
      <c r="I246" s="74" t="e">
        <f>VLOOKUP($A246,Data!$D$3:$CJ$128,70,FALSE)</f>
        <v>#N/A</v>
      </c>
      <c r="J246" s="74" t="e">
        <f>VLOOKUP($A246,Data!$D$3:$CJ$128,71,FALSE)</f>
        <v>#N/A</v>
      </c>
      <c r="K246" s="74" t="e">
        <f>VLOOKUP($A246,Data!$D$3:$CJ$128,72,FALSE)</f>
        <v>#N/A</v>
      </c>
      <c r="L246" s="74" t="e">
        <f>VLOOKUP($A246,Data!$D$3:$CJ$128,73,FALSE)</f>
        <v>#N/A</v>
      </c>
      <c r="M246" s="74" t="e">
        <f>VLOOKUP($A246,Data!$D$3:$CJ$128,74,FALSE)</f>
        <v>#N/A</v>
      </c>
      <c r="N246" s="78" t="e">
        <f t="shared" si="55"/>
        <v>#N/A</v>
      </c>
      <c r="O246" s="78" t="e">
        <f t="shared" si="56"/>
        <v>#N/A</v>
      </c>
      <c r="P246" s="78" t="e">
        <f t="shared" si="57"/>
        <v>#N/A</v>
      </c>
      <c r="Q246" s="78" t="e">
        <f t="shared" si="58"/>
        <v>#N/A</v>
      </c>
      <c r="R246" s="78" t="e">
        <f t="shared" si="59"/>
        <v>#N/A</v>
      </c>
      <c r="S246" s="78" t="e">
        <f t="shared" si="60"/>
        <v>#N/A</v>
      </c>
      <c r="T246" s="74" t="e">
        <f t="shared" si="61"/>
        <v>#N/A</v>
      </c>
      <c r="U246" s="74" t="e">
        <f t="shared" si="62"/>
        <v>#N/A</v>
      </c>
      <c r="V246" s="74" t="e">
        <f t="shared" si="63"/>
        <v>#N/A</v>
      </c>
      <c r="W246" s="74" t="e">
        <f t="shared" si="64"/>
        <v>#N/A</v>
      </c>
      <c r="X246" s="74" t="e">
        <f t="shared" si="65"/>
        <v>#N/A</v>
      </c>
      <c r="Y246" s="74" t="e">
        <f t="shared" si="66"/>
        <v>#N/A</v>
      </c>
    </row>
    <row r="247" spans="1:25">
      <c r="A247" s="88">
        <f>'Batch input'!A246</f>
        <v>0</v>
      </c>
      <c r="B247">
        <f>'Batch input'!B246</f>
        <v>0</v>
      </c>
      <c r="C247" t="e">
        <f>VLOOKUP($A247,Data!$D$3:$CJ$128,30,FALSE)</f>
        <v>#N/A</v>
      </c>
      <c r="D247" s="74" t="e">
        <f>VLOOKUP($A247,Data!$D$3:$CJ$128,64,FALSE)</f>
        <v>#N/A</v>
      </c>
      <c r="E247" s="74" t="e">
        <f>VLOOKUP($A247,Data!$D$3:$CJ$128,66,FALSE)</f>
        <v>#N/A</v>
      </c>
      <c r="F247" s="74" t="e">
        <f>VLOOKUP($A247,Data!$D$3:$CJ$128,67,FALSE)</f>
        <v>#N/A</v>
      </c>
      <c r="G247" s="78" t="e">
        <f>VLOOKUP($A247,Data!$D$3:$CJ$128,68,FALSE)</f>
        <v>#N/A</v>
      </c>
      <c r="H247" s="78" t="e">
        <f>VLOOKUP($A247,Data!$D$3:$CJ$128,69,FALSE)</f>
        <v>#N/A</v>
      </c>
      <c r="I247" s="74" t="e">
        <f>VLOOKUP($A247,Data!$D$3:$CJ$128,70,FALSE)</f>
        <v>#N/A</v>
      </c>
      <c r="J247" s="74" t="e">
        <f>VLOOKUP($A247,Data!$D$3:$CJ$128,71,FALSE)</f>
        <v>#N/A</v>
      </c>
      <c r="K247" s="74" t="e">
        <f>VLOOKUP($A247,Data!$D$3:$CJ$128,72,FALSE)</f>
        <v>#N/A</v>
      </c>
      <c r="L247" s="74" t="e">
        <f>VLOOKUP($A247,Data!$D$3:$CJ$128,73,FALSE)</f>
        <v>#N/A</v>
      </c>
      <c r="M247" s="74" t="e">
        <f>VLOOKUP($A247,Data!$D$3:$CJ$128,74,FALSE)</f>
        <v>#N/A</v>
      </c>
      <c r="N247" s="78" t="e">
        <f t="shared" si="55"/>
        <v>#N/A</v>
      </c>
      <c r="O247" s="78" t="e">
        <f t="shared" si="56"/>
        <v>#N/A</v>
      </c>
      <c r="P247" s="78" t="e">
        <f t="shared" si="57"/>
        <v>#N/A</v>
      </c>
      <c r="Q247" s="78" t="e">
        <f t="shared" si="58"/>
        <v>#N/A</v>
      </c>
      <c r="R247" s="78" t="e">
        <f t="shared" si="59"/>
        <v>#N/A</v>
      </c>
      <c r="S247" s="78" t="e">
        <f t="shared" si="60"/>
        <v>#N/A</v>
      </c>
      <c r="T247" s="74" t="e">
        <f t="shared" si="61"/>
        <v>#N/A</v>
      </c>
      <c r="U247" s="74" t="e">
        <f t="shared" si="62"/>
        <v>#N/A</v>
      </c>
      <c r="V247" s="74" t="e">
        <f t="shared" si="63"/>
        <v>#N/A</v>
      </c>
      <c r="W247" s="74" t="e">
        <f t="shared" si="64"/>
        <v>#N/A</v>
      </c>
      <c r="X247" s="74" t="e">
        <f t="shared" si="65"/>
        <v>#N/A</v>
      </c>
      <c r="Y247" s="74" t="e">
        <f t="shared" si="66"/>
        <v>#N/A</v>
      </c>
    </row>
    <row r="248" spans="1:25">
      <c r="A248" s="88">
        <f>'Batch input'!A247</f>
        <v>0</v>
      </c>
      <c r="B248">
        <f>'Batch input'!B247</f>
        <v>0</v>
      </c>
      <c r="C248" t="e">
        <f>VLOOKUP($A248,Data!$D$3:$CJ$128,30,FALSE)</f>
        <v>#N/A</v>
      </c>
      <c r="D248" s="74" t="e">
        <f>VLOOKUP($A248,Data!$D$3:$CJ$128,64,FALSE)</f>
        <v>#N/A</v>
      </c>
      <c r="E248" s="74" t="e">
        <f>VLOOKUP($A248,Data!$D$3:$CJ$128,66,FALSE)</f>
        <v>#N/A</v>
      </c>
      <c r="F248" s="74" t="e">
        <f>VLOOKUP($A248,Data!$D$3:$CJ$128,67,FALSE)</f>
        <v>#N/A</v>
      </c>
      <c r="G248" s="78" t="e">
        <f>VLOOKUP($A248,Data!$D$3:$CJ$128,68,FALSE)</f>
        <v>#N/A</v>
      </c>
      <c r="H248" s="78" t="e">
        <f>VLOOKUP($A248,Data!$D$3:$CJ$128,69,FALSE)</f>
        <v>#N/A</v>
      </c>
      <c r="I248" s="74" t="e">
        <f>VLOOKUP($A248,Data!$D$3:$CJ$128,70,FALSE)</f>
        <v>#N/A</v>
      </c>
      <c r="J248" s="74" t="e">
        <f>VLOOKUP($A248,Data!$D$3:$CJ$128,71,FALSE)</f>
        <v>#N/A</v>
      </c>
      <c r="K248" s="74" t="e">
        <f>VLOOKUP($A248,Data!$D$3:$CJ$128,72,FALSE)</f>
        <v>#N/A</v>
      </c>
      <c r="L248" s="74" t="e">
        <f>VLOOKUP($A248,Data!$D$3:$CJ$128,73,FALSE)</f>
        <v>#N/A</v>
      </c>
      <c r="M248" s="74" t="e">
        <f>VLOOKUP($A248,Data!$D$3:$CJ$128,74,FALSE)</f>
        <v>#N/A</v>
      </c>
      <c r="N248" s="78" t="e">
        <f t="shared" si="55"/>
        <v>#N/A</v>
      </c>
      <c r="O248" s="78" t="e">
        <f t="shared" si="56"/>
        <v>#N/A</v>
      </c>
      <c r="P248" s="78" t="e">
        <f t="shared" si="57"/>
        <v>#N/A</v>
      </c>
      <c r="Q248" s="78" t="e">
        <f t="shared" si="58"/>
        <v>#N/A</v>
      </c>
      <c r="R248" s="78" t="e">
        <f t="shared" si="59"/>
        <v>#N/A</v>
      </c>
      <c r="S248" s="78" t="e">
        <f t="shared" si="60"/>
        <v>#N/A</v>
      </c>
      <c r="T248" s="74" t="e">
        <f t="shared" si="61"/>
        <v>#N/A</v>
      </c>
      <c r="U248" s="74" t="e">
        <f t="shared" si="62"/>
        <v>#N/A</v>
      </c>
      <c r="V248" s="74" t="e">
        <f t="shared" si="63"/>
        <v>#N/A</v>
      </c>
      <c r="W248" s="74" t="e">
        <f t="shared" si="64"/>
        <v>#N/A</v>
      </c>
      <c r="X248" s="74" t="e">
        <f t="shared" si="65"/>
        <v>#N/A</v>
      </c>
      <c r="Y248" s="74" t="e">
        <f t="shared" si="66"/>
        <v>#N/A</v>
      </c>
    </row>
    <row r="249" spans="1:25">
      <c r="A249" s="88">
        <f>'Batch input'!A248</f>
        <v>0</v>
      </c>
      <c r="B249">
        <f>'Batch input'!B248</f>
        <v>0</v>
      </c>
      <c r="C249" t="e">
        <f>VLOOKUP($A249,Data!$D$3:$CJ$128,30,FALSE)</f>
        <v>#N/A</v>
      </c>
      <c r="D249" s="74" t="e">
        <f>VLOOKUP($A249,Data!$D$3:$CJ$128,64,FALSE)</f>
        <v>#N/A</v>
      </c>
      <c r="E249" s="74" t="e">
        <f>VLOOKUP($A249,Data!$D$3:$CJ$128,66,FALSE)</f>
        <v>#N/A</v>
      </c>
      <c r="F249" s="74" t="e">
        <f>VLOOKUP($A249,Data!$D$3:$CJ$128,67,FALSE)</f>
        <v>#N/A</v>
      </c>
      <c r="G249" s="78" t="e">
        <f>VLOOKUP($A249,Data!$D$3:$CJ$128,68,FALSE)</f>
        <v>#N/A</v>
      </c>
      <c r="H249" s="78" t="e">
        <f>VLOOKUP($A249,Data!$D$3:$CJ$128,69,FALSE)</f>
        <v>#N/A</v>
      </c>
      <c r="I249" s="74" t="e">
        <f>VLOOKUP($A249,Data!$D$3:$CJ$128,70,FALSE)</f>
        <v>#N/A</v>
      </c>
      <c r="J249" s="74" t="e">
        <f>VLOOKUP($A249,Data!$D$3:$CJ$128,71,FALSE)</f>
        <v>#N/A</v>
      </c>
      <c r="K249" s="74" t="e">
        <f>VLOOKUP($A249,Data!$D$3:$CJ$128,72,FALSE)</f>
        <v>#N/A</v>
      </c>
      <c r="L249" s="74" t="e">
        <f>VLOOKUP($A249,Data!$D$3:$CJ$128,73,FALSE)</f>
        <v>#N/A</v>
      </c>
      <c r="M249" s="74" t="e">
        <f>VLOOKUP($A249,Data!$D$3:$CJ$128,74,FALSE)</f>
        <v>#N/A</v>
      </c>
      <c r="N249" s="78" t="e">
        <f t="shared" si="55"/>
        <v>#N/A</v>
      </c>
      <c r="O249" s="78" t="e">
        <f t="shared" si="56"/>
        <v>#N/A</v>
      </c>
      <c r="P249" s="78" t="e">
        <f t="shared" si="57"/>
        <v>#N/A</v>
      </c>
      <c r="Q249" s="78" t="e">
        <f t="shared" si="58"/>
        <v>#N/A</v>
      </c>
      <c r="R249" s="78" t="e">
        <f t="shared" si="59"/>
        <v>#N/A</v>
      </c>
      <c r="S249" s="78" t="e">
        <f t="shared" si="60"/>
        <v>#N/A</v>
      </c>
      <c r="T249" s="74" t="e">
        <f t="shared" si="61"/>
        <v>#N/A</v>
      </c>
      <c r="U249" s="74" t="e">
        <f t="shared" si="62"/>
        <v>#N/A</v>
      </c>
      <c r="V249" s="74" t="e">
        <f t="shared" si="63"/>
        <v>#N/A</v>
      </c>
      <c r="W249" s="74" t="e">
        <f t="shared" si="64"/>
        <v>#N/A</v>
      </c>
      <c r="X249" s="74" t="e">
        <f t="shared" si="65"/>
        <v>#N/A</v>
      </c>
      <c r="Y249" s="74" t="e">
        <f t="shared" si="66"/>
        <v>#N/A</v>
      </c>
    </row>
    <row r="250" spans="1:25">
      <c r="A250" s="88">
        <f>'Batch input'!A249</f>
        <v>0</v>
      </c>
      <c r="B250">
        <f>'Batch input'!B249</f>
        <v>0</v>
      </c>
      <c r="C250" t="e">
        <f>VLOOKUP($A250,Data!$D$3:$CJ$128,30,FALSE)</f>
        <v>#N/A</v>
      </c>
      <c r="D250" s="74" t="e">
        <f>VLOOKUP($A250,Data!$D$3:$CJ$128,64,FALSE)</f>
        <v>#N/A</v>
      </c>
      <c r="E250" s="74" t="e">
        <f>VLOOKUP($A250,Data!$D$3:$CJ$128,66,FALSE)</f>
        <v>#N/A</v>
      </c>
      <c r="F250" s="74" t="e">
        <f>VLOOKUP($A250,Data!$D$3:$CJ$128,67,FALSE)</f>
        <v>#N/A</v>
      </c>
      <c r="G250" s="78" t="e">
        <f>VLOOKUP($A250,Data!$D$3:$CJ$128,68,FALSE)</f>
        <v>#N/A</v>
      </c>
      <c r="H250" s="78" t="e">
        <f>VLOOKUP($A250,Data!$D$3:$CJ$128,69,FALSE)</f>
        <v>#N/A</v>
      </c>
      <c r="I250" s="74" t="e">
        <f>VLOOKUP($A250,Data!$D$3:$CJ$128,70,FALSE)</f>
        <v>#N/A</v>
      </c>
      <c r="J250" s="74" t="e">
        <f>VLOOKUP($A250,Data!$D$3:$CJ$128,71,FALSE)</f>
        <v>#N/A</v>
      </c>
      <c r="K250" s="74" t="e">
        <f>VLOOKUP($A250,Data!$D$3:$CJ$128,72,FALSE)</f>
        <v>#N/A</v>
      </c>
      <c r="L250" s="74" t="e">
        <f>VLOOKUP($A250,Data!$D$3:$CJ$128,73,FALSE)</f>
        <v>#N/A</v>
      </c>
      <c r="M250" s="74" t="e">
        <f>VLOOKUP($A250,Data!$D$3:$CJ$128,74,FALSE)</f>
        <v>#N/A</v>
      </c>
      <c r="N250" s="78" t="e">
        <f t="shared" si="55"/>
        <v>#N/A</v>
      </c>
      <c r="O250" s="78" t="e">
        <f t="shared" si="56"/>
        <v>#N/A</v>
      </c>
      <c r="P250" s="78" t="e">
        <f t="shared" si="57"/>
        <v>#N/A</v>
      </c>
      <c r="Q250" s="78" t="e">
        <f t="shared" si="58"/>
        <v>#N/A</v>
      </c>
      <c r="R250" s="78" t="e">
        <f t="shared" si="59"/>
        <v>#N/A</v>
      </c>
      <c r="S250" s="78" t="e">
        <f t="shared" si="60"/>
        <v>#N/A</v>
      </c>
      <c r="T250" s="74" t="e">
        <f t="shared" si="61"/>
        <v>#N/A</v>
      </c>
      <c r="U250" s="74" t="e">
        <f t="shared" si="62"/>
        <v>#N/A</v>
      </c>
      <c r="V250" s="74" t="e">
        <f t="shared" si="63"/>
        <v>#N/A</v>
      </c>
      <c r="W250" s="74" t="e">
        <f t="shared" si="64"/>
        <v>#N/A</v>
      </c>
      <c r="X250" s="74" t="e">
        <f t="shared" si="65"/>
        <v>#N/A</v>
      </c>
      <c r="Y250" s="74" t="e">
        <f t="shared" si="66"/>
        <v>#N/A</v>
      </c>
    </row>
    <row r="251" spans="1:25">
      <c r="A251" s="88">
        <f>'Batch input'!A250</f>
        <v>0</v>
      </c>
      <c r="B251">
        <f>'Batch input'!B250</f>
        <v>0</v>
      </c>
      <c r="C251" t="e">
        <f>VLOOKUP($A251,Data!$D$3:$CJ$128,30,FALSE)</f>
        <v>#N/A</v>
      </c>
      <c r="D251" s="74" t="e">
        <f>VLOOKUP($A251,Data!$D$3:$CJ$128,64,FALSE)</f>
        <v>#N/A</v>
      </c>
      <c r="E251" s="74" t="e">
        <f>VLOOKUP($A251,Data!$D$3:$CJ$128,66,FALSE)</f>
        <v>#N/A</v>
      </c>
      <c r="F251" s="74" t="e">
        <f>VLOOKUP($A251,Data!$D$3:$CJ$128,67,FALSE)</f>
        <v>#N/A</v>
      </c>
      <c r="G251" s="78" t="e">
        <f>VLOOKUP($A251,Data!$D$3:$CJ$128,68,FALSE)</f>
        <v>#N/A</v>
      </c>
      <c r="H251" s="78" t="e">
        <f>VLOOKUP($A251,Data!$D$3:$CJ$128,69,FALSE)</f>
        <v>#N/A</v>
      </c>
      <c r="I251" s="74" t="e">
        <f>VLOOKUP($A251,Data!$D$3:$CJ$128,70,FALSE)</f>
        <v>#N/A</v>
      </c>
      <c r="J251" s="74" t="e">
        <f>VLOOKUP($A251,Data!$D$3:$CJ$128,71,FALSE)</f>
        <v>#N/A</v>
      </c>
      <c r="K251" s="74" t="e">
        <f>VLOOKUP($A251,Data!$D$3:$CJ$128,72,FALSE)</f>
        <v>#N/A</v>
      </c>
      <c r="L251" s="74" t="e">
        <f>VLOOKUP($A251,Data!$D$3:$CJ$128,73,FALSE)</f>
        <v>#N/A</v>
      </c>
      <c r="M251" s="74" t="e">
        <f>VLOOKUP($A251,Data!$D$3:$CJ$128,74,FALSE)</f>
        <v>#N/A</v>
      </c>
      <c r="N251" s="78" t="e">
        <f t="shared" si="55"/>
        <v>#N/A</v>
      </c>
      <c r="O251" s="78" t="e">
        <f t="shared" si="56"/>
        <v>#N/A</v>
      </c>
      <c r="P251" s="78" t="e">
        <f t="shared" si="57"/>
        <v>#N/A</v>
      </c>
      <c r="Q251" s="78" t="e">
        <f t="shared" si="58"/>
        <v>#N/A</v>
      </c>
      <c r="R251" s="78" t="e">
        <f t="shared" si="59"/>
        <v>#N/A</v>
      </c>
      <c r="S251" s="78" t="e">
        <f t="shared" si="60"/>
        <v>#N/A</v>
      </c>
      <c r="T251" s="74" t="e">
        <f t="shared" si="61"/>
        <v>#N/A</v>
      </c>
      <c r="U251" s="74" t="e">
        <f t="shared" si="62"/>
        <v>#N/A</v>
      </c>
      <c r="V251" s="74" t="e">
        <f t="shared" si="63"/>
        <v>#N/A</v>
      </c>
      <c r="W251" s="74" t="e">
        <f t="shared" si="64"/>
        <v>#N/A</v>
      </c>
      <c r="X251" s="74" t="e">
        <f t="shared" si="65"/>
        <v>#N/A</v>
      </c>
      <c r="Y251" s="74" t="e">
        <f t="shared" si="66"/>
        <v>#N/A</v>
      </c>
    </row>
    <row r="252" spans="1:25">
      <c r="A252" s="88">
        <f>'Batch input'!A251</f>
        <v>0</v>
      </c>
      <c r="B252">
        <f>'Batch input'!B251</f>
        <v>0</v>
      </c>
      <c r="C252" t="e">
        <f>VLOOKUP($A252,Data!$D$3:$CJ$128,30,FALSE)</f>
        <v>#N/A</v>
      </c>
      <c r="D252" s="74" t="e">
        <f>VLOOKUP($A252,Data!$D$3:$CJ$128,64,FALSE)</f>
        <v>#N/A</v>
      </c>
      <c r="E252" s="74" t="e">
        <f>VLOOKUP($A252,Data!$D$3:$CJ$128,66,FALSE)</f>
        <v>#N/A</v>
      </c>
      <c r="F252" s="74" t="e">
        <f>VLOOKUP($A252,Data!$D$3:$CJ$128,67,FALSE)</f>
        <v>#N/A</v>
      </c>
      <c r="G252" s="78" t="e">
        <f>VLOOKUP($A252,Data!$D$3:$CJ$128,68,FALSE)</f>
        <v>#N/A</v>
      </c>
      <c r="H252" s="78" t="e">
        <f>VLOOKUP($A252,Data!$D$3:$CJ$128,69,FALSE)</f>
        <v>#N/A</v>
      </c>
      <c r="I252" s="74" t="e">
        <f>VLOOKUP($A252,Data!$D$3:$CJ$128,70,FALSE)</f>
        <v>#N/A</v>
      </c>
      <c r="J252" s="74" t="e">
        <f>VLOOKUP($A252,Data!$D$3:$CJ$128,71,FALSE)</f>
        <v>#N/A</v>
      </c>
      <c r="K252" s="74" t="e">
        <f>VLOOKUP($A252,Data!$D$3:$CJ$128,72,FALSE)</f>
        <v>#N/A</v>
      </c>
      <c r="L252" s="74" t="e">
        <f>VLOOKUP($A252,Data!$D$3:$CJ$128,73,FALSE)</f>
        <v>#N/A</v>
      </c>
      <c r="M252" s="74" t="e">
        <f>VLOOKUP($A252,Data!$D$3:$CJ$128,74,FALSE)</f>
        <v>#N/A</v>
      </c>
      <c r="N252" s="78" t="e">
        <f t="shared" si="55"/>
        <v>#N/A</v>
      </c>
      <c r="O252" s="78" t="e">
        <f t="shared" si="56"/>
        <v>#N/A</v>
      </c>
      <c r="P252" s="78" t="e">
        <f t="shared" si="57"/>
        <v>#N/A</v>
      </c>
      <c r="Q252" s="78" t="e">
        <f t="shared" si="58"/>
        <v>#N/A</v>
      </c>
      <c r="R252" s="78" t="e">
        <f t="shared" si="59"/>
        <v>#N/A</v>
      </c>
      <c r="S252" s="78" t="e">
        <f t="shared" si="60"/>
        <v>#N/A</v>
      </c>
      <c r="T252" s="74" t="e">
        <f t="shared" si="61"/>
        <v>#N/A</v>
      </c>
      <c r="U252" s="74" t="e">
        <f t="shared" si="62"/>
        <v>#N/A</v>
      </c>
      <c r="V252" s="74" t="e">
        <f t="shared" si="63"/>
        <v>#N/A</v>
      </c>
      <c r="W252" s="74" t="e">
        <f t="shared" si="64"/>
        <v>#N/A</v>
      </c>
      <c r="X252" s="74" t="e">
        <f t="shared" si="65"/>
        <v>#N/A</v>
      </c>
      <c r="Y252" s="74" t="e">
        <f t="shared" si="66"/>
        <v>#N/A</v>
      </c>
    </row>
    <row r="253" spans="1:25">
      <c r="A253" s="88">
        <f>'Batch input'!A252</f>
        <v>0</v>
      </c>
      <c r="B253">
        <f>'Batch input'!B252</f>
        <v>0</v>
      </c>
      <c r="C253" t="e">
        <f>VLOOKUP($A253,Data!$D$3:$CJ$128,30,FALSE)</f>
        <v>#N/A</v>
      </c>
      <c r="D253" s="74" t="e">
        <f>VLOOKUP($A253,Data!$D$3:$CJ$128,64,FALSE)</f>
        <v>#N/A</v>
      </c>
      <c r="E253" s="74" t="e">
        <f>VLOOKUP($A253,Data!$D$3:$CJ$128,66,FALSE)</f>
        <v>#N/A</v>
      </c>
      <c r="F253" s="74" t="e">
        <f>VLOOKUP($A253,Data!$D$3:$CJ$128,67,FALSE)</f>
        <v>#N/A</v>
      </c>
      <c r="G253" s="78" t="e">
        <f>VLOOKUP($A253,Data!$D$3:$CJ$128,68,FALSE)</f>
        <v>#N/A</v>
      </c>
      <c r="H253" s="78" t="e">
        <f>VLOOKUP($A253,Data!$D$3:$CJ$128,69,FALSE)</f>
        <v>#N/A</v>
      </c>
      <c r="I253" s="74" t="e">
        <f>VLOOKUP($A253,Data!$D$3:$CJ$128,70,FALSE)</f>
        <v>#N/A</v>
      </c>
      <c r="J253" s="74" t="e">
        <f>VLOOKUP($A253,Data!$D$3:$CJ$128,71,FALSE)</f>
        <v>#N/A</v>
      </c>
      <c r="K253" s="74" t="e">
        <f>VLOOKUP($A253,Data!$D$3:$CJ$128,72,FALSE)</f>
        <v>#N/A</v>
      </c>
      <c r="L253" s="74" t="e">
        <f>VLOOKUP($A253,Data!$D$3:$CJ$128,73,FALSE)</f>
        <v>#N/A</v>
      </c>
      <c r="M253" s="74" t="e">
        <f>VLOOKUP($A253,Data!$D$3:$CJ$128,74,FALSE)</f>
        <v>#N/A</v>
      </c>
      <c r="N253" s="78" t="e">
        <f t="shared" si="55"/>
        <v>#N/A</v>
      </c>
      <c r="O253" s="78" t="e">
        <f t="shared" si="56"/>
        <v>#N/A</v>
      </c>
      <c r="P253" s="78" t="e">
        <f t="shared" si="57"/>
        <v>#N/A</v>
      </c>
      <c r="Q253" s="78" t="e">
        <f t="shared" si="58"/>
        <v>#N/A</v>
      </c>
      <c r="R253" s="78" t="e">
        <f t="shared" si="59"/>
        <v>#N/A</v>
      </c>
      <c r="S253" s="78" t="e">
        <f t="shared" si="60"/>
        <v>#N/A</v>
      </c>
      <c r="T253" s="74" t="e">
        <f t="shared" si="61"/>
        <v>#N/A</v>
      </c>
      <c r="U253" s="74" t="e">
        <f t="shared" si="62"/>
        <v>#N/A</v>
      </c>
      <c r="V253" s="74" t="e">
        <f t="shared" si="63"/>
        <v>#N/A</v>
      </c>
      <c r="W253" s="74" t="e">
        <f t="shared" si="64"/>
        <v>#N/A</v>
      </c>
      <c r="X253" s="74" t="e">
        <f t="shared" si="65"/>
        <v>#N/A</v>
      </c>
      <c r="Y253" s="74" t="e">
        <f t="shared" si="66"/>
        <v>#N/A</v>
      </c>
    </row>
    <row r="254" spans="1:25">
      <c r="A254" s="88">
        <f>'Batch input'!A253</f>
        <v>0</v>
      </c>
      <c r="B254">
        <f>'Batch input'!B253</f>
        <v>0</v>
      </c>
      <c r="C254" t="e">
        <f>VLOOKUP($A254,Data!$D$3:$CJ$128,30,FALSE)</f>
        <v>#N/A</v>
      </c>
      <c r="D254" s="74" t="e">
        <f>VLOOKUP($A254,Data!$D$3:$CJ$128,64,FALSE)</f>
        <v>#N/A</v>
      </c>
      <c r="E254" s="74" t="e">
        <f>VLOOKUP($A254,Data!$D$3:$CJ$128,66,FALSE)</f>
        <v>#N/A</v>
      </c>
      <c r="F254" s="74" t="e">
        <f>VLOOKUP($A254,Data!$D$3:$CJ$128,67,FALSE)</f>
        <v>#N/A</v>
      </c>
      <c r="G254" s="78" t="e">
        <f>VLOOKUP($A254,Data!$D$3:$CJ$128,68,FALSE)</f>
        <v>#N/A</v>
      </c>
      <c r="H254" s="78" t="e">
        <f>VLOOKUP($A254,Data!$D$3:$CJ$128,69,FALSE)</f>
        <v>#N/A</v>
      </c>
      <c r="I254" s="74" t="e">
        <f>VLOOKUP($A254,Data!$D$3:$CJ$128,70,FALSE)</f>
        <v>#N/A</v>
      </c>
      <c r="J254" s="74" t="e">
        <f>VLOOKUP($A254,Data!$D$3:$CJ$128,71,FALSE)</f>
        <v>#N/A</v>
      </c>
      <c r="K254" s="74" t="e">
        <f>VLOOKUP($A254,Data!$D$3:$CJ$128,72,FALSE)</f>
        <v>#N/A</v>
      </c>
      <c r="L254" s="74" t="e">
        <f>VLOOKUP($A254,Data!$D$3:$CJ$128,73,FALSE)</f>
        <v>#N/A</v>
      </c>
      <c r="M254" s="74" t="e">
        <f>VLOOKUP($A254,Data!$D$3:$CJ$128,74,FALSE)</f>
        <v>#N/A</v>
      </c>
      <c r="N254" s="78" t="e">
        <f t="shared" si="55"/>
        <v>#N/A</v>
      </c>
      <c r="O254" s="78" t="e">
        <f t="shared" si="56"/>
        <v>#N/A</v>
      </c>
      <c r="P254" s="78" t="e">
        <f t="shared" si="57"/>
        <v>#N/A</v>
      </c>
      <c r="Q254" s="78" t="e">
        <f t="shared" si="58"/>
        <v>#N/A</v>
      </c>
      <c r="R254" s="78" t="e">
        <f t="shared" si="59"/>
        <v>#N/A</v>
      </c>
      <c r="S254" s="78" t="e">
        <f t="shared" si="60"/>
        <v>#N/A</v>
      </c>
      <c r="T254" s="74" t="e">
        <f t="shared" si="61"/>
        <v>#N/A</v>
      </c>
      <c r="U254" s="74" t="e">
        <f t="shared" si="62"/>
        <v>#N/A</v>
      </c>
      <c r="V254" s="74" t="e">
        <f t="shared" si="63"/>
        <v>#N/A</v>
      </c>
      <c r="W254" s="74" t="e">
        <f t="shared" si="64"/>
        <v>#N/A</v>
      </c>
      <c r="X254" s="74" t="e">
        <f t="shared" si="65"/>
        <v>#N/A</v>
      </c>
      <c r="Y254" s="74" t="e">
        <f t="shared" si="66"/>
        <v>#N/A</v>
      </c>
    </row>
    <row r="255" spans="1:25">
      <c r="A255" s="88">
        <f>'Batch input'!A254</f>
        <v>0</v>
      </c>
      <c r="B255">
        <f>'Batch input'!B254</f>
        <v>0</v>
      </c>
      <c r="C255" t="e">
        <f>VLOOKUP($A255,Data!$D$3:$CJ$128,30,FALSE)</f>
        <v>#N/A</v>
      </c>
      <c r="D255" s="74" t="e">
        <f>VLOOKUP($A255,Data!$D$3:$CJ$128,64,FALSE)</f>
        <v>#N/A</v>
      </c>
      <c r="E255" s="74" t="e">
        <f>VLOOKUP($A255,Data!$D$3:$CJ$128,66,FALSE)</f>
        <v>#N/A</v>
      </c>
      <c r="F255" s="74" t="e">
        <f>VLOOKUP($A255,Data!$D$3:$CJ$128,67,FALSE)</f>
        <v>#N/A</v>
      </c>
      <c r="G255" s="78" t="e">
        <f>VLOOKUP($A255,Data!$D$3:$CJ$128,68,FALSE)</f>
        <v>#N/A</v>
      </c>
      <c r="H255" s="78" t="e">
        <f>VLOOKUP($A255,Data!$D$3:$CJ$128,69,FALSE)</f>
        <v>#N/A</v>
      </c>
      <c r="I255" s="74" t="e">
        <f>VLOOKUP($A255,Data!$D$3:$CJ$128,70,FALSE)</f>
        <v>#N/A</v>
      </c>
      <c r="J255" s="74" t="e">
        <f>VLOOKUP($A255,Data!$D$3:$CJ$128,71,FALSE)</f>
        <v>#N/A</v>
      </c>
      <c r="K255" s="74" t="e">
        <f>VLOOKUP($A255,Data!$D$3:$CJ$128,72,FALSE)</f>
        <v>#N/A</v>
      </c>
      <c r="L255" s="74" t="e">
        <f>VLOOKUP($A255,Data!$D$3:$CJ$128,73,FALSE)</f>
        <v>#N/A</v>
      </c>
      <c r="M255" s="74" t="e">
        <f>VLOOKUP($A255,Data!$D$3:$CJ$128,74,FALSE)</f>
        <v>#N/A</v>
      </c>
      <c r="N255" s="78" t="e">
        <f t="shared" si="55"/>
        <v>#N/A</v>
      </c>
      <c r="O255" s="78" t="e">
        <f t="shared" si="56"/>
        <v>#N/A</v>
      </c>
      <c r="P255" s="78" t="e">
        <f t="shared" si="57"/>
        <v>#N/A</v>
      </c>
      <c r="Q255" s="78" t="e">
        <f t="shared" si="58"/>
        <v>#N/A</v>
      </c>
      <c r="R255" s="78" t="e">
        <f t="shared" si="59"/>
        <v>#N/A</v>
      </c>
      <c r="S255" s="78" t="e">
        <f t="shared" si="60"/>
        <v>#N/A</v>
      </c>
      <c r="T255" s="74" t="e">
        <f t="shared" si="61"/>
        <v>#N/A</v>
      </c>
      <c r="U255" s="74" t="e">
        <f t="shared" si="62"/>
        <v>#N/A</v>
      </c>
      <c r="V255" s="74" t="e">
        <f t="shared" si="63"/>
        <v>#N/A</v>
      </c>
      <c r="W255" s="74" t="e">
        <f t="shared" si="64"/>
        <v>#N/A</v>
      </c>
      <c r="X255" s="74" t="e">
        <f t="shared" si="65"/>
        <v>#N/A</v>
      </c>
      <c r="Y255" s="74" t="e">
        <f t="shared" si="66"/>
        <v>#N/A</v>
      </c>
    </row>
    <row r="256" spans="1:25">
      <c r="A256" s="88">
        <f>'Batch input'!A255</f>
        <v>0</v>
      </c>
      <c r="B256">
        <f>'Batch input'!B255</f>
        <v>0</v>
      </c>
      <c r="C256" t="e">
        <f>VLOOKUP($A256,Data!$D$3:$CJ$128,30,FALSE)</f>
        <v>#N/A</v>
      </c>
      <c r="D256" s="74" t="e">
        <f>VLOOKUP($A256,Data!$D$3:$CJ$128,64,FALSE)</f>
        <v>#N/A</v>
      </c>
      <c r="E256" s="74" t="e">
        <f>VLOOKUP($A256,Data!$D$3:$CJ$128,66,FALSE)</f>
        <v>#N/A</v>
      </c>
      <c r="F256" s="74" t="e">
        <f>VLOOKUP($A256,Data!$D$3:$CJ$128,67,FALSE)</f>
        <v>#N/A</v>
      </c>
      <c r="G256" s="78" t="e">
        <f>VLOOKUP($A256,Data!$D$3:$CJ$128,68,FALSE)</f>
        <v>#N/A</v>
      </c>
      <c r="H256" s="78" t="e">
        <f>VLOOKUP($A256,Data!$D$3:$CJ$128,69,FALSE)</f>
        <v>#N/A</v>
      </c>
      <c r="I256" s="74" t="e">
        <f>VLOOKUP($A256,Data!$D$3:$CJ$128,70,FALSE)</f>
        <v>#N/A</v>
      </c>
      <c r="J256" s="74" t="e">
        <f>VLOOKUP($A256,Data!$D$3:$CJ$128,71,FALSE)</f>
        <v>#N/A</v>
      </c>
      <c r="K256" s="74" t="e">
        <f>VLOOKUP($A256,Data!$D$3:$CJ$128,72,FALSE)</f>
        <v>#N/A</v>
      </c>
      <c r="L256" s="74" t="e">
        <f>VLOOKUP($A256,Data!$D$3:$CJ$128,73,FALSE)</f>
        <v>#N/A</v>
      </c>
      <c r="M256" s="74" t="e">
        <f>VLOOKUP($A256,Data!$D$3:$CJ$128,74,FALSE)</f>
        <v>#N/A</v>
      </c>
      <c r="N256" s="78" t="e">
        <f t="shared" si="55"/>
        <v>#N/A</v>
      </c>
      <c r="O256" s="78" t="e">
        <f t="shared" si="56"/>
        <v>#N/A</v>
      </c>
      <c r="P256" s="78" t="e">
        <f t="shared" si="57"/>
        <v>#N/A</v>
      </c>
      <c r="Q256" s="78" t="e">
        <f t="shared" si="58"/>
        <v>#N/A</v>
      </c>
      <c r="R256" s="78" t="e">
        <f t="shared" si="59"/>
        <v>#N/A</v>
      </c>
      <c r="S256" s="78" t="e">
        <f t="shared" si="60"/>
        <v>#N/A</v>
      </c>
      <c r="T256" s="74" t="e">
        <f t="shared" si="61"/>
        <v>#N/A</v>
      </c>
      <c r="U256" s="74" t="e">
        <f t="shared" si="62"/>
        <v>#N/A</v>
      </c>
      <c r="V256" s="74" t="e">
        <f t="shared" si="63"/>
        <v>#N/A</v>
      </c>
      <c r="W256" s="74" t="e">
        <f t="shared" si="64"/>
        <v>#N/A</v>
      </c>
      <c r="X256" s="74" t="e">
        <f t="shared" si="65"/>
        <v>#N/A</v>
      </c>
      <c r="Y256" s="74" t="e">
        <f t="shared" si="66"/>
        <v>#N/A</v>
      </c>
    </row>
    <row r="257" spans="1:25">
      <c r="A257" s="88">
        <f>'Batch input'!A256</f>
        <v>0</v>
      </c>
      <c r="B257">
        <f>'Batch input'!B256</f>
        <v>0</v>
      </c>
      <c r="C257" t="e">
        <f>VLOOKUP($A257,Data!$D$3:$CJ$128,30,FALSE)</f>
        <v>#N/A</v>
      </c>
      <c r="D257" s="74" t="e">
        <f>VLOOKUP($A257,Data!$D$3:$CJ$128,64,FALSE)</f>
        <v>#N/A</v>
      </c>
      <c r="E257" s="74" t="e">
        <f>VLOOKUP($A257,Data!$D$3:$CJ$128,66,FALSE)</f>
        <v>#N/A</v>
      </c>
      <c r="F257" s="74" t="e">
        <f>VLOOKUP($A257,Data!$D$3:$CJ$128,67,FALSE)</f>
        <v>#N/A</v>
      </c>
      <c r="G257" s="78" t="e">
        <f>VLOOKUP($A257,Data!$D$3:$CJ$128,68,FALSE)</f>
        <v>#N/A</v>
      </c>
      <c r="H257" s="78" t="e">
        <f>VLOOKUP($A257,Data!$D$3:$CJ$128,69,FALSE)</f>
        <v>#N/A</v>
      </c>
      <c r="I257" s="74" t="e">
        <f>VLOOKUP($A257,Data!$D$3:$CJ$128,70,FALSE)</f>
        <v>#N/A</v>
      </c>
      <c r="J257" s="74" t="e">
        <f>VLOOKUP($A257,Data!$D$3:$CJ$128,71,FALSE)</f>
        <v>#N/A</v>
      </c>
      <c r="K257" s="74" t="e">
        <f>VLOOKUP($A257,Data!$D$3:$CJ$128,72,FALSE)</f>
        <v>#N/A</v>
      </c>
      <c r="L257" s="74" t="e">
        <f>VLOOKUP($A257,Data!$D$3:$CJ$128,73,FALSE)</f>
        <v>#N/A</v>
      </c>
      <c r="M257" s="74" t="e">
        <f>VLOOKUP($A257,Data!$D$3:$CJ$128,74,FALSE)</f>
        <v>#N/A</v>
      </c>
      <c r="N257" s="78" t="e">
        <f t="shared" si="55"/>
        <v>#N/A</v>
      </c>
      <c r="O257" s="78" t="e">
        <f t="shared" si="56"/>
        <v>#N/A</v>
      </c>
      <c r="P257" s="78" t="e">
        <f t="shared" si="57"/>
        <v>#N/A</v>
      </c>
      <c r="Q257" s="78" t="e">
        <f t="shared" si="58"/>
        <v>#N/A</v>
      </c>
      <c r="R257" s="78" t="e">
        <f t="shared" si="59"/>
        <v>#N/A</v>
      </c>
      <c r="S257" s="78" t="e">
        <f t="shared" si="60"/>
        <v>#N/A</v>
      </c>
      <c r="T257" s="74" t="e">
        <f t="shared" si="61"/>
        <v>#N/A</v>
      </c>
      <c r="U257" s="74" t="e">
        <f t="shared" si="62"/>
        <v>#N/A</v>
      </c>
      <c r="V257" s="74" t="e">
        <f t="shared" si="63"/>
        <v>#N/A</v>
      </c>
      <c r="W257" s="74" t="e">
        <f t="shared" si="64"/>
        <v>#N/A</v>
      </c>
      <c r="X257" s="74" t="e">
        <f t="shared" si="65"/>
        <v>#N/A</v>
      </c>
      <c r="Y257" s="74" t="e">
        <f t="shared" si="66"/>
        <v>#N/A</v>
      </c>
    </row>
    <row r="258" spans="1:25">
      <c r="A258" s="88">
        <f>'Batch input'!A257</f>
        <v>0</v>
      </c>
      <c r="B258">
        <f>'Batch input'!B257</f>
        <v>0</v>
      </c>
      <c r="C258" t="e">
        <f>VLOOKUP($A258,Data!$D$3:$CJ$128,30,FALSE)</f>
        <v>#N/A</v>
      </c>
      <c r="D258" s="74" t="e">
        <f>VLOOKUP($A258,Data!$D$3:$CJ$128,64,FALSE)</f>
        <v>#N/A</v>
      </c>
      <c r="E258" s="74" t="e">
        <f>VLOOKUP($A258,Data!$D$3:$CJ$128,66,FALSE)</f>
        <v>#N/A</v>
      </c>
      <c r="F258" s="74" t="e">
        <f>VLOOKUP($A258,Data!$D$3:$CJ$128,67,FALSE)</f>
        <v>#N/A</v>
      </c>
      <c r="G258" s="78" t="e">
        <f>VLOOKUP($A258,Data!$D$3:$CJ$128,68,FALSE)</f>
        <v>#N/A</v>
      </c>
      <c r="H258" s="78" t="e">
        <f>VLOOKUP($A258,Data!$D$3:$CJ$128,69,FALSE)</f>
        <v>#N/A</v>
      </c>
      <c r="I258" s="74" t="e">
        <f>VLOOKUP($A258,Data!$D$3:$CJ$128,70,FALSE)</f>
        <v>#N/A</v>
      </c>
      <c r="J258" s="74" t="e">
        <f>VLOOKUP($A258,Data!$D$3:$CJ$128,71,FALSE)</f>
        <v>#N/A</v>
      </c>
      <c r="K258" s="74" t="e">
        <f>VLOOKUP($A258,Data!$D$3:$CJ$128,72,FALSE)</f>
        <v>#N/A</v>
      </c>
      <c r="L258" s="74" t="e">
        <f>VLOOKUP($A258,Data!$D$3:$CJ$128,73,FALSE)</f>
        <v>#N/A</v>
      </c>
      <c r="M258" s="74" t="e">
        <f>VLOOKUP($A258,Data!$D$3:$CJ$128,74,FALSE)</f>
        <v>#N/A</v>
      </c>
      <c r="N258" s="78" t="e">
        <f t="shared" si="55"/>
        <v>#N/A</v>
      </c>
      <c r="O258" s="78" t="e">
        <f t="shared" si="56"/>
        <v>#N/A</v>
      </c>
      <c r="P258" s="78" t="e">
        <f t="shared" si="57"/>
        <v>#N/A</v>
      </c>
      <c r="Q258" s="78" t="e">
        <f t="shared" si="58"/>
        <v>#N/A</v>
      </c>
      <c r="R258" s="78" t="e">
        <f t="shared" si="59"/>
        <v>#N/A</v>
      </c>
      <c r="S258" s="78" t="e">
        <f t="shared" si="60"/>
        <v>#N/A</v>
      </c>
      <c r="T258" s="74" t="e">
        <f t="shared" si="61"/>
        <v>#N/A</v>
      </c>
      <c r="U258" s="74" t="e">
        <f t="shared" si="62"/>
        <v>#N/A</v>
      </c>
      <c r="V258" s="74" t="e">
        <f t="shared" si="63"/>
        <v>#N/A</v>
      </c>
      <c r="W258" s="74" t="e">
        <f t="shared" si="64"/>
        <v>#N/A</v>
      </c>
      <c r="X258" s="74" t="e">
        <f t="shared" si="65"/>
        <v>#N/A</v>
      </c>
      <c r="Y258" s="74" t="e">
        <f t="shared" si="66"/>
        <v>#N/A</v>
      </c>
    </row>
    <row r="259" spans="1:25">
      <c r="A259" s="88">
        <f>'Batch input'!A258</f>
        <v>0</v>
      </c>
      <c r="B259">
        <f>'Batch input'!B258</f>
        <v>0</v>
      </c>
      <c r="C259" t="e">
        <f>VLOOKUP($A259,Data!$D$3:$CJ$128,30,FALSE)</f>
        <v>#N/A</v>
      </c>
      <c r="D259" s="74" t="e">
        <f>VLOOKUP($A259,Data!$D$3:$CJ$128,64,FALSE)</f>
        <v>#N/A</v>
      </c>
      <c r="E259" s="74" t="e">
        <f>VLOOKUP($A259,Data!$D$3:$CJ$128,66,FALSE)</f>
        <v>#N/A</v>
      </c>
      <c r="F259" s="74" t="e">
        <f>VLOOKUP($A259,Data!$D$3:$CJ$128,67,FALSE)</f>
        <v>#N/A</v>
      </c>
      <c r="G259" s="78" t="e">
        <f>VLOOKUP($A259,Data!$D$3:$CJ$128,68,FALSE)</f>
        <v>#N/A</v>
      </c>
      <c r="H259" s="78" t="e">
        <f>VLOOKUP($A259,Data!$D$3:$CJ$128,69,FALSE)</f>
        <v>#N/A</v>
      </c>
      <c r="I259" s="74" t="e">
        <f>VLOOKUP($A259,Data!$D$3:$CJ$128,70,FALSE)</f>
        <v>#N/A</v>
      </c>
      <c r="J259" s="74" t="e">
        <f>VLOOKUP($A259,Data!$D$3:$CJ$128,71,FALSE)</f>
        <v>#N/A</v>
      </c>
      <c r="K259" s="74" t="e">
        <f>VLOOKUP($A259,Data!$D$3:$CJ$128,72,FALSE)</f>
        <v>#N/A</v>
      </c>
      <c r="L259" s="74" t="e">
        <f>VLOOKUP($A259,Data!$D$3:$CJ$128,73,FALSE)</f>
        <v>#N/A</v>
      </c>
      <c r="M259" s="74" t="e">
        <f>VLOOKUP($A259,Data!$D$3:$CJ$128,74,FALSE)</f>
        <v>#N/A</v>
      </c>
      <c r="N259" s="78" t="e">
        <f t="shared" si="55"/>
        <v>#N/A</v>
      </c>
      <c r="O259" s="78" t="e">
        <f t="shared" si="56"/>
        <v>#N/A</v>
      </c>
      <c r="P259" s="78" t="e">
        <f t="shared" si="57"/>
        <v>#N/A</v>
      </c>
      <c r="Q259" s="78" t="e">
        <f t="shared" si="58"/>
        <v>#N/A</v>
      </c>
      <c r="R259" s="78" t="e">
        <f t="shared" si="59"/>
        <v>#N/A</v>
      </c>
      <c r="S259" s="78" t="e">
        <f t="shared" si="60"/>
        <v>#N/A</v>
      </c>
      <c r="T259" s="74" t="e">
        <f t="shared" si="61"/>
        <v>#N/A</v>
      </c>
      <c r="U259" s="74" t="e">
        <f t="shared" si="62"/>
        <v>#N/A</v>
      </c>
      <c r="V259" s="74" t="e">
        <f t="shared" si="63"/>
        <v>#N/A</v>
      </c>
      <c r="W259" s="74" t="e">
        <f t="shared" si="64"/>
        <v>#N/A</v>
      </c>
      <c r="X259" s="74" t="e">
        <f t="shared" si="65"/>
        <v>#N/A</v>
      </c>
      <c r="Y259" s="74" t="e">
        <f t="shared" si="66"/>
        <v>#N/A</v>
      </c>
    </row>
    <row r="260" spans="1:25">
      <c r="A260" s="88">
        <f>'Batch input'!A259</f>
        <v>0</v>
      </c>
      <c r="B260">
        <f>'Batch input'!B259</f>
        <v>0</v>
      </c>
      <c r="C260" t="e">
        <f>VLOOKUP($A260,Data!$D$3:$CJ$128,30,FALSE)</f>
        <v>#N/A</v>
      </c>
      <c r="D260" s="74" t="e">
        <f>VLOOKUP($A260,Data!$D$3:$CJ$128,64,FALSE)</f>
        <v>#N/A</v>
      </c>
      <c r="E260" s="74" t="e">
        <f>VLOOKUP($A260,Data!$D$3:$CJ$128,66,FALSE)</f>
        <v>#N/A</v>
      </c>
      <c r="F260" s="74" t="e">
        <f>VLOOKUP($A260,Data!$D$3:$CJ$128,67,FALSE)</f>
        <v>#N/A</v>
      </c>
      <c r="G260" s="78" t="e">
        <f>VLOOKUP($A260,Data!$D$3:$CJ$128,68,FALSE)</f>
        <v>#N/A</v>
      </c>
      <c r="H260" s="78" t="e">
        <f>VLOOKUP($A260,Data!$D$3:$CJ$128,69,FALSE)</f>
        <v>#N/A</v>
      </c>
      <c r="I260" s="74" t="e">
        <f>VLOOKUP($A260,Data!$D$3:$CJ$128,70,FALSE)</f>
        <v>#N/A</v>
      </c>
      <c r="J260" s="74" t="e">
        <f>VLOOKUP($A260,Data!$D$3:$CJ$128,71,FALSE)</f>
        <v>#N/A</v>
      </c>
      <c r="K260" s="74" t="e">
        <f>VLOOKUP($A260,Data!$D$3:$CJ$128,72,FALSE)</f>
        <v>#N/A</v>
      </c>
      <c r="L260" s="74" t="e">
        <f>VLOOKUP($A260,Data!$D$3:$CJ$128,73,FALSE)</f>
        <v>#N/A</v>
      </c>
      <c r="M260" s="74" t="e">
        <f>VLOOKUP($A260,Data!$D$3:$CJ$128,74,FALSE)</f>
        <v>#N/A</v>
      </c>
      <c r="N260" s="78" t="e">
        <f t="shared" si="55"/>
        <v>#N/A</v>
      </c>
      <c r="O260" s="78" t="e">
        <f t="shared" si="56"/>
        <v>#N/A</v>
      </c>
      <c r="P260" s="78" t="e">
        <f t="shared" si="57"/>
        <v>#N/A</v>
      </c>
      <c r="Q260" s="78" t="e">
        <f t="shared" si="58"/>
        <v>#N/A</v>
      </c>
      <c r="R260" s="78" t="e">
        <f t="shared" si="59"/>
        <v>#N/A</v>
      </c>
      <c r="S260" s="78" t="e">
        <f t="shared" si="60"/>
        <v>#N/A</v>
      </c>
      <c r="T260" s="74" t="e">
        <f t="shared" si="61"/>
        <v>#N/A</v>
      </c>
      <c r="U260" s="74" t="e">
        <f t="shared" si="62"/>
        <v>#N/A</v>
      </c>
      <c r="V260" s="74" t="e">
        <f t="shared" si="63"/>
        <v>#N/A</v>
      </c>
      <c r="W260" s="74" t="e">
        <f t="shared" si="64"/>
        <v>#N/A</v>
      </c>
      <c r="X260" s="74" t="e">
        <f t="shared" si="65"/>
        <v>#N/A</v>
      </c>
      <c r="Y260" s="74" t="e">
        <f t="shared" si="66"/>
        <v>#N/A</v>
      </c>
    </row>
    <row r="261" spans="1:25">
      <c r="A261" s="88">
        <f>'Batch input'!A260</f>
        <v>0</v>
      </c>
      <c r="B261">
        <f>'Batch input'!B260</f>
        <v>0</v>
      </c>
      <c r="C261" t="e">
        <f>VLOOKUP($A261,Data!$D$3:$CJ$128,30,FALSE)</f>
        <v>#N/A</v>
      </c>
      <c r="D261" s="74" t="e">
        <f>VLOOKUP($A261,Data!$D$3:$CJ$128,64,FALSE)</f>
        <v>#N/A</v>
      </c>
      <c r="E261" s="74" t="e">
        <f>VLOOKUP($A261,Data!$D$3:$CJ$128,66,FALSE)</f>
        <v>#N/A</v>
      </c>
      <c r="F261" s="74" t="e">
        <f>VLOOKUP($A261,Data!$D$3:$CJ$128,67,FALSE)</f>
        <v>#N/A</v>
      </c>
      <c r="G261" s="78" t="e">
        <f>VLOOKUP($A261,Data!$D$3:$CJ$128,68,FALSE)</f>
        <v>#N/A</v>
      </c>
      <c r="H261" s="78" t="e">
        <f>VLOOKUP($A261,Data!$D$3:$CJ$128,69,FALSE)</f>
        <v>#N/A</v>
      </c>
      <c r="I261" s="74" t="e">
        <f>VLOOKUP($A261,Data!$D$3:$CJ$128,70,FALSE)</f>
        <v>#N/A</v>
      </c>
      <c r="J261" s="74" t="e">
        <f>VLOOKUP($A261,Data!$D$3:$CJ$128,71,FALSE)</f>
        <v>#N/A</v>
      </c>
      <c r="K261" s="74" t="e">
        <f>VLOOKUP($A261,Data!$D$3:$CJ$128,72,FALSE)</f>
        <v>#N/A</v>
      </c>
      <c r="L261" s="74" t="e">
        <f>VLOOKUP($A261,Data!$D$3:$CJ$128,73,FALSE)</f>
        <v>#N/A</v>
      </c>
      <c r="M261" s="74" t="e">
        <f>VLOOKUP($A261,Data!$D$3:$CJ$128,74,FALSE)</f>
        <v>#N/A</v>
      </c>
      <c r="N261" s="78" t="e">
        <f t="shared" si="55"/>
        <v>#N/A</v>
      </c>
      <c r="O261" s="78" t="e">
        <f t="shared" si="56"/>
        <v>#N/A</v>
      </c>
      <c r="P261" s="78" t="e">
        <f t="shared" si="57"/>
        <v>#N/A</v>
      </c>
      <c r="Q261" s="78" t="e">
        <f t="shared" si="58"/>
        <v>#N/A</v>
      </c>
      <c r="R261" s="78" t="e">
        <f t="shared" si="59"/>
        <v>#N/A</v>
      </c>
      <c r="S261" s="78" t="e">
        <f t="shared" si="60"/>
        <v>#N/A</v>
      </c>
      <c r="T261" s="74" t="e">
        <f t="shared" si="61"/>
        <v>#N/A</v>
      </c>
      <c r="U261" s="74" t="e">
        <f t="shared" si="62"/>
        <v>#N/A</v>
      </c>
      <c r="V261" s="74" t="e">
        <f t="shared" si="63"/>
        <v>#N/A</v>
      </c>
      <c r="W261" s="74" t="e">
        <f t="shared" si="64"/>
        <v>#N/A</v>
      </c>
      <c r="X261" s="74" t="e">
        <f t="shared" si="65"/>
        <v>#N/A</v>
      </c>
      <c r="Y261" s="74" t="e">
        <f t="shared" si="66"/>
        <v>#N/A</v>
      </c>
    </row>
    <row r="262" spans="1:25">
      <c r="A262" s="88">
        <f>'Batch input'!A261</f>
        <v>0</v>
      </c>
      <c r="B262">
        <f>'Batch input'!B261</f>
        <v>0</v>
      </c>
      <c r="C262" t="e">
        <f>VLOOKUP($A262,Data!$D$3:$CJ$128,30,FALSE)</f>
        <v>#N/A</v>
      </c>
      <c r="D262" s="74" t="e">
        <f>VLOOKUP($A262,Data!$D$3:$CJ$128,64,FALSE)</f>
        <v>#N/A</v>
      </c>
      <c r="E262" s="74" t="e">
        <f>VLOOKUP($A262,Data!$D$3:$CJ$128,66,FALSE)</f>
        <v>#N/A</v>
      </c>
      <c r="F262" s="74" t="e">
        <f>VLOOKUP($A262,Data!$D$3:$CJ$128,67,FALSE)</f>
        <v>#N/A</v>
      </c>
      <c r="G262" s="78" t="e">
        <f>VLOOKUP($A262,Data!$D$3:$CJ$128,68,FALSE)</f>
        <v>#N/A</v>
      </c>
      <c r="H262" s="78" t="e">
        <f>VLOOKUP($A262,Data!$D$3:$CJ$128,69,FALSE)</f>
        <v>#N/A</v>
      </c>
      <c r="I262" s="74" t="e">
        <f>VLOOKUP($A262,Data!$D$3:$CJ$128,70,FALSE)</f>
        <v>#N/A</v>
      </c>
      <c r="J262" s="74" t="e">
        <f>VLOOKUP($A262,Data!$D$3:$CJ$128,71,FALSE)</f>
        <v>#N/A</v>
      </c>
      <c r="K262" s="74" t="e">
        <f>VLOOKUP($A262,Data!$D$3:$CJ$128,72,FALSE)</f>
        <v>#N/A</v>
      </c>
      <c r="L262" s="74" t="e">
        <f>VLOOKUP($A262,Data!$D$3:$CJ$128,73,FALSE)</f>
        <v>#N/A</v>
      </c>
      <c r="M262" s="74" t="e">
        <f>VLOOKUP($A262,Data!$D$3:$CJ$128,74,FALSE)</f>
        <v>#N/A</v>
      </c>
      <c r="N262" s="78" t="e">
        <f t="shared" si="55"/>
        <v>#N/A</v>
      </c>
      <c r="O262" s="78" t="e">
        <f t="shared" si="56"/>
        <v>#N/A</v>
      </c>
      <c r="P262" s="78" t="e">
        <f t="shared" si="57"/>
        <v>#N/A</v>
      </c>
      <c r="Q262" s="78" t="e">
        <f t="shared" si="58"/>
        <v>#N/A</v>
      </c>
      <c r="R262" s="78" t="e">
        <f t="shared" si="59"/>
        <v>#N/A</v>
      </c>
      <c r="S262" s="78" t="e">
        <f t="shared" si="60"/>
        <v>#N/A</v>
      </c>
      <c r="T262" s="74" t="e">
        <f t="shared" si="61"/>
        <v>#N/A</v>
      </c>
      <c r="U262" s="74" t="e">
        <f t="shared" si="62"/>
        <v>#N/A</v>
      </c>
      <c r="V262" s="74" t="e">
        <f t="shared" si="63"/>
        <v>#N/A</v>
      </c>
      <c r="W262" s="74" t="e">
        <f t="shared" si="64"/>
        <v>#N/A</v>
      </c>
      <c r="X262" s="74" t="e">
        <f t="shared" si="65"/>
        <v>#N/A</v>
      </c>
      <c r="Y262" s="74" t="e">
        <f t="shared" si="66"/>
        <v>#N/A</v>
      </c>
    </row>
    <row r="263" spans="1:25">
      <c r="A263" s="88">
        <f>'Batch input'!A262</f>
        <v>0</v>
      </c>
      <c r="B263">
        <f>'Batch input'!B262</f>
        <v>0</v>
      </c>
      <c r="C263" t="e">
        <f>VLOOKUP($A263,Data!$D$3:$CJ$128,30,FALSE)</f>
        <v>#N/A</v>
      </c>
      <c r="D263" s="74" t="e">
        <f>VLOOKUP($A263,Data!$D$3:$CJ$128,64,FALSE)</f>
        <v>#N/A</v>
      </c>
      <c r="E263" s="74" t="e">
        <f>VLOOKUP($A263,Data!$D$3:$CJ$128,66,FALSE)</f>
        <v>#N/A</v>
      </c>
      <c r="F263" s="74" t="e">
        <f>VLOOKUP($A263,Data!$D$3:$CJ$128,67,FALSE)</f>
        <v>#N/A</v>
      </c>
      <c r="G263" s="78" t="e">
        <f>VLOOKUP($A263,Data!$D$3:$CJ$128,68,FALSE)</f>
        <v>#N/A</v>
      </c>
      <c r="H263" s="78" t="e">
        <f>VLOOKUP($A263,Data!$D$3:$CJ$128,69,FALSE)</f>
        <v>#N/A</v>
      </c>
      <c r="I263" s="74" t="e">
        <f>VLOOKUP($A263,Data!$D$3:$CJ$128,70,FALSE)</f>
        <v>#N/A</v>
      </c>
      <c r="J263" s="74" t="e">
        <f>VLOOKUP($A263,Data!$D$3:$CJ$128,71,FALSE)</f>
        <v>#N/A</v>
      </c>
      <c r="K263" s="74" t="e">
        <f>VLOOKUP($A263,Data!$D$3:$CJ$128,72,FALSE)</f>
        <v>#N/A</v>
      </c>
      <c r="L263" s="74" t="e">
        <f>VLOOKUP($A263,Data!$D$3:$CJ$128,73,FALSE)</f>
        <v>#N/A</v>
      </c>
      <c r="M263" s="74" t="e">
        <f>VLOOKUP($A263,Data!$D$3:$CJ$128,74,FALSE)</f>
        <v>#N/A</v>
      </c>
      <c r="N263" s="78" t="e">
        <f t="shared" si="55"/>
        <v>#N/A</v>
      </c>
      <c r="O263" s="78" t="e">
        <f t="shared" si="56"/>
        <v>#N/A</v>
      </c>
      <c r="P263" s="78" t="e">
        <f t="shared" si="57"/>
        <v>#N/A</v>
      </c>
      <c r="Q263" s="78" t="e">
        <f t="shared" si="58"/>
        <v>#N/A</v>
      </c>
      <c r="R263" s="78" t="e">
        <f t="shared" si="59"/>
        <v>#N/A</v>
      </c>
      <c r="S263" s="78" t="e">
        <f t="shared" si="60"/>
        <v>#N/A</v>
      </c>
      <c r="T263" s="74" t="e">
        <f t="shared" si="61"/>
        <v>#N/A</v>
      </c>
      <c r="U263" s="74" t="e">
        <f t="shared" si="62"/>
        <v>#N/A</v>
      </c>
      <c r="V263" s="74" t="e">
        <f t="shared" si="63"/>
        <v>#N/A</v>
      </c>
      <c r="W263" s="74" t="e">
        <f t="shared" si="64"/>
        <v>#N/A</v>
      </c>
      <c r="X263" s="74" t="e">
        <f t="shared" si="65"/>
        <v>#N/A</v>
      </c>
      <c r="Y263" s="74" t="e">
        <f t="shared" si="66"/>
        <v>#N/A</v>
      </c>
    </row>
    <row r="264" spans="1:25">
      <c r="A264" s="88">
        <f>'Batch input'!A263</f>
        <v>0</v>
      </c>
      <c r="B264">
        <f>'Batch input'!B263</f>
        <v>0</v>
      </c>
      <c r="C264" t="e">
        <f>VLOOKUP($A264,Data!$D$3:$CJ$128,30,FALSE)</f>
        <v>#N/A</v>
      </c>
      <c r="D264" s="74" t="e">
        <f>VLOOKUP($A264,Data!$D$3:$CJ$128,64,FALSE)</f>
        <v>#N/A</v>
      </c>
      <c r="E264" s="74" t="e">
        <f>VLOOKUP($A264,Data!$D$3:$CJ$128,66,FALSE)</f>
        <v>#N/A</v>
      </c>
      <c r="F264" s="74" t="e">
        <f>VLOOKUP($A264,Data!$D$3:$CJ$128,67,FALSE)</f>
        <v>#N/A</v>
      </c>
      <c r="G264" s="78" t="e">
        <f>VLOOKUP($A264,Data!$D$3:$CJ$128,68,FALSE)</f>
        <v>#N/A</v>
      </c>
      <c r="H264" s="78" t="e">
        <f>VLOOKUP($A264,Data!$D$3:$CJ$128,69,FALSE)</f>
        <v>#N/A</v>
      </c>
      <c r="I264" s="74" t="e">
        <f>VLOOKUP($A264,Data!$D$3:$CJ$128,70,FALSE)</f>
        <v>#N/A</v>
      </c>
      <c r="J264" s="74" t="e">
        <f>VLOOKUP($A264,Data!$D$3:$CJ$128,71,FALSE)</f>
        <v>#N/A</v>
      </c>
      <c r="K264" s="74" t="e">
        <f>VLOOKUP($A264,Data!$D$3:$CJ$128,72,FALSE)</f>
        <v>#N/A</v>
      </c>
      <c r="L264" s="74" t="e">
        <f>VLOOKUP($A264,Data!$D$3:$CJ$128,73,FALSE)</f>
        <v>#N/A</v>
      </c>
      <c r="M264" s="74" t="e">
        <f>VLOOKUP($A264,Data!$D$3:$CJ$128,74,FALSE)</f>
        <v>#N/A</v>
      </c>
      <c r="N264" s="78" t="e">
        <f t="shared" si="55"/>
        <v>#N/A</v>
      </c>
      <c r="O264" s="78" t="e">
        <f t="shared" si="56"/>
        <v>#N/A</v>
      </c>
      <c r="P264" s="78" t="e">
        <f t="shared" si="57"/>
        <v>#N/A</v>
      </c>
      <c r="Q264" s="78" t="e">
        <f t="shared" si="58"/>
        <v>#N/A</v>
      </c>
      <c r="R264" s="78" t="e">
        <f t="shared" si="59"/>
        <v>#N/A</v>
      </c>
      <c r="S264" s="78" t="e">
        <f t="shared" si="60"/>
        <v>#N/A</v>
      </c>
      <c r="T264" s="74" t="e">
        <f t="shared" si="61"/>
        <v>#N/A</v>
      </c>
      <c r="U264" s="74" t="e">
        <f t="shared" si="62"/>
        <v>#N/A</v>
      </c>
      <c r="V264" s="74" t="e">
        <f t="shared" si="63"/>
        <v>#N/A</v>
      </c>
      <c r="W264" s="74" t="e">
        <f t="shared" si="64"/>
        <v>#N/A</v>
      </c>
      <c r="X264" s="74" t="e">
        <f t="shared" si="65"/>
        <v>#N/A</v>
      </c>
      <c r="Y264" s="74" t="e">
        <f t="shared" si="66"/>
        <v>#N/A</v>
      </c>
    </row>
    <row r="265" spans="1:25">
      <c r="A265" s="88">
        <f>'Batch input'!A264</f>
        <v>0</v>
      </c>
      <c r="B265">
        <f>'Batch input'!B264</f>
        <v>0</v>
      </c>
      <c r="C265" t="e">
        <f>VLOOKUP($A265,Data!$D$3:$CJ$128,30,FALSE)</f>
        <v>#N/A</v>
      </c>
      <c r="D265" s="74" t="e">
        <f>VLOOKUP($A265,Data!$D$3:$CJ$128,64,FALSE)</f>
        <v>#N/A</v>
      </c>
      <c r="E265" s="74" t="e">
        <f>VLOOKUP($A265,Data!$D$3:$CJ$128,66,FALSE)</f>
        <v>#N/A</v>
      </c>
      <c r="F265" s="74" t="e">
        <f>VLOOKUP($A265,Data!$D$3:$CJ$128,67,FALSE)</f>
        <v>#N/A</v>
      </c>
      <c r="G265" s="78" t="e">
        <f>VLOOKUP($A265,Data!$D$3:$CJ$128,68,FALSE)</f>
        <v>#N/A</v>
      </c>
      <c r="H265" s="78" t="e">
        <f>VLOOKUP($A265,Data!$D$3:$CJ$128,69,FALSE)</f>
        <v>#N/A</v>
      </c>
      <c r="I265" s="74" t="e">
        <f>VLOOKUP($A265,Data!$D$3:$CJ$128,70,FALSE)</f>
        <v>#N/A</v>
      </c>
      <c r="J265" s="74" t="e">
        <f>VLOOKUP($A265,Data!$D$3:$CJ$128,71,FALSE)</f>
        <v>#N/A</v>
      </c>
      <c r="K265" s="74" t="e">
        <f>VLOOKUP($A265,Data!$D$3:$CJ$128,72,FALSE)</f>
        <v>#N/A</v>
      </c>
      <c r="L265" s="74" t="e">
        <f>VLOOKUP($A265,Data!$D$3:$CJ$128,73,FALSE)</f>
        <v>#N/A</v>
      </c>
      <c r="M265" s="74" t="e">
        <f>VLOOKUP($A265,Data!$D$3:$CJ$128,74,FALSE)</f>
        <v>#N/A</v>
      </c>
      <c r="N265" s="78" t="e">
        <f t="shared" si="55"/>
        <v>#N/A</v>
      </c>
      <c r="O265" s="78" t="e">
        <f t="shared" si="56"/>
        <v>#N/A</v>
      </c>
      <c r="P265" s="78" t="e">
        <f t="shared" si="57"/>
        <v>#N/A</v>
      </c>
      <c r="Q265" s="78" t="e">
        <f t="shared" si="58"/>
        <v>#N/A</v>
      </c>
      <c r="R265" s="78" t="e">
        <f t="shared" si="59"/>
        <v>#N/A</v>
      </c>
      <c r="S265" s="78" t="e">
        <f t="shared" si="60"/>
        <v>#N/A</v>
      </c>
      <c r="T265" s="74" t="e">
        <f t="shared" si="61"/>
        <v>#N/A</v>
      </c>
      <c r="U265" s="74" t="e">
        <f t="shared" si="62"/>
        <v>#N/A</v>
      </c>
      <c r="V265" s="74" t="e">
        <f t="shared" si="63"/>
        <v>#N/A</v>
      </c>
      <c r="W265" s="74" t="e">
        <f t="shared" si="64"/>
        <v>#N/A</v>
      </c>
      <c r="X265" s="74" t="e">
        <f t="shared" si="65"/>
        <v>#N/A</v>
      </c>
      <c r="Y265" s="74" t="e">
        <f t="shared" si="66"/>
        <v>#N/A</v>
      </c>
    </row>
    <row r="266" spans="1:25">
      <c r="A266" s="88">
        <f>'Batch input'!A265</f>
        <v>0</v>
      </c>
      <c r="B266">
        <f>'Batch input'!B265</f>
        <v>0</v>
      </c>
      <c r="C266" t="e">
        <f>VLOOKUP($A266,Data!$D$3:$CJ$128,30,FALSE)</f>
        <v>#N/A</v>
      </c>
      <c r="D266" s="74" t="e">
        <f>VLOOKUP($A266,Data!$D$3:$CJ$128,64,FALSE)</f>
        <v>#N/A</v>
      </c>
      <c r="E266" s="74" t="e">
        <f>VLOOKUP($A266,Data!$D$3:$CJ$128,66,FALSE)</f>
        <v>#N/A</v>
      </c>
      <c r="F266" s="74" t="e">
        <f>VLOOKUP($A266,Data!$D$3:$CJ$128,67,FALSE)</f>
        <v>#N/A</v>
      </c>
      <c r="G266" s="78" t="e">
        <f>VLOOKUP($A266,Data!$D$3:$CJ$128,68,FALSE)</f>
        <v>#N/A</v>
      </c>
      <c r="H266" s="78" t="e">
        <f>VLOOKUP($A266,Data!$D$3:$CJ$128,69,FALSE)</f>
        <v>#N/A</v>
      </c>
      <c r="I266" s="74" t="e">
        <f>VLOOKUP($A266,Data!$D$3:$CJ$128,70,FALSE)</f>
        <v>#N/A</v>
      </c>
      <c r="J266" s="74" t="e">
        <f>VLOOKUP($A266,Data!$D$3:$CJ$128,71,FALSE)</f>
        <v>#N/A</v>
      </c>
      <c r="K266" s="74" t="e">
        <f>VLOOKUP($A266,Data!$D$3:$CJ$128,72,FALSE)</f>
        <v>#N/A</v>
      </c>
      <c r="L266" s="74" t="e">
        <f>VLOOKUP($A266,Data!$D$3:$CJ$128,73,FALSE)</f>
        <v>#N/A</v>
      </c>
      <c r="M266" s="74" t="e">
        <f>VLOOKUP($A266,Data!$D$3:$CJ$128,74,FALSE)</f>
        <v>#N/A</v>
      </c>
      <c r="N266" s="78" t="e">
        <f t="shared" si="55"/>
        <v>#N/A</v>
      </c>
      <c r="O266" s="78" t="e">
        <f t="shared" si="56"/>
        <v>#N/A</v>
      </c>
      <c r="P266" s="78" t="e">
        <f t="shared" si="57"/>
        <v>#N/A</v>
      </c>
      <c r="Q266" s="78" t="e">
        <f t="shared" si="58"/>
        <v>#N/A</v>
      </c>
      <c r="R266" s="78" t="e">
        <f t="shared" si="59"/>
        <v>#N/A</v>
      </c>
      <c r="S266" s="78" t="e">
        <f t="shared" si="60"/>
        <v>#N/A</v>
      </c>
      <c r="T266" s="74" t="e">
        <f t="shared" si="61"/>
        <v>#N/A</v>
      </c>
      <c r="U266" s="74" t="e">
        <f t="shared" si="62"/>
        <v>#N/A</v>
      </c>
      <c r="V266" s="74" t="e">
        <f t="shared" si="63"/>
        <v>#N/A</v>
      </c>
      <c r="W266" s="74" t="e">
        <f t="shared" si="64"/>
        <v>#N/A</v>
      </c>
      <c r="X266" s="74" t="e">
        <f t="shared" si="65"/>
        <v>#N/A</v>
      </c>
      <c r="Y266" s="74" t="e">
        <f t="shared" si="66"/>
        <v>#N/A</v>
      </c>
    </row>
    <row r="267" spans="1:25">
      <c r="A267" s="88">
        <f>'Batch input'!A266</f>
        <v>0</v>
      </c>
      <c r="B267">
        <f>'Batch input'!B266</f>
        <v>0</v>
      </c>
      <c r="C267" t="e">
        <f>VLOOKUP($A267,Data!$D$3:$CJ$128,30,FALSE)</f>
        <v>#N/A</v>
      </c>
      <c r="D267" s="74" t="e">
        <f>VLOOKUP($A267,Data!$D$3:$CJ$128,64,FALSE)</f>
        <v>#N/A</v>
      </c>
      <c r="E267" s="74" t="e">
        <f>VLOOKUP($A267,Data!$D$3:$CJ$128,66,FALSE)</f>
        <v>#N/A</v>
      </c>
      <c r="F267" s="74" t="e">
        <f>VLOOKUP($A267,Data!$D$3:$CJ$128,67,FALSE)</f>
        <v>#N/A</v>
      </c>
      <c r="G267" s="78" t="e">
        <f>VLOOKUP($A267,Data!$D$3:$CJ$128,68,FALSE)</f>
        <v>#N/A</v>
      </c>
      <c r="H267" s="78" t="e">
        <f>VLOOKUP($A267,Data!$D$3:$CJ$128,69,FALSE)</f>
        <v>#N/A</v>
      </c>
      <c r="I267" s="74" t="e">
        <f>VLOOKUP($A267,Data!$D$3:$CJ$128,70,FALSE)</f>
        <v>#N/A</v>
      </c>
      <c r="J267" s="74" t="e">
        <f>VLOOKUP($A267,Data!$D$3:$CJ$128,71,FALSE)</f>
        <v>#N/A</v>
      </c>
      <c r="K267" s="74" t="e">
        <f>VLOOKUP($A267,Data!$D$3:$CJ$128,72,FALSE)</f>
        <v>#N/A</v>
      </c>
      <c r="L267" s="74" t="e">
        <f>VLOOKUP($A267,Data!$D$3:$CJ$128,73,FALSE)</f>
        <v>#N/A</v>
      </c>
      <c r="M267" s="74" t="e">
        <f>VLOOKUP($A267,Data!$D$3:$CJ$128,74,FALSE)</f>
        <v>#N/A</v>
      </c>
      <c r="N267" s="78" t="e">
        <f t="shared" si="55"/>
        <v>#N/A</v>
      </c>
      <c r="O267" s="78" t="e">
        <f t="shared" si="56"/>
        <v>#N/A</v>
      </c>
      <c r="P267" s="78" t="e">
        <f t="shared" si="57"/>
        <v>#N/A</v>
      </c>
      <c r="Q267" s="78" t="e">
        <f t="shared" si="58"/>
        <v>#N/A</v>
      </c>
      <c r="R267" s="78" t="e">
        <f t="shared" si="59"/>
        <v>#N/A</v>
      </c>
      <c r="S267" s="78" t="e">
        <f t="shared" si="60"/>
        <v>#N/A</v>
      </c>
      <c r="T267" s="74" t="e">
        <f t="shared" si="61"/>
        <v>#N/A</v>
      </c>
      <c r="U267" s="74" t="e">
        <f t="shared" si="62"/>
        <v>#N/A</v>
      </c>
      <c r="V267" s="74" t="e">
        <f t="shared" si="63"/>
        <v>#N/A</v>
      </c>
      <c r="W267" s="74" t="e">
        <f t="shared" si="64"/>
        <v>#N/A</v>
      </c>
      <c r="X267" s="74" t="e">
        <f t="shared" si="65"/>
        <v>#N/A</v>
      </c>
      <c r="Y267" s="74" t="e">
        <f t="shared" si="66"/>
        <v>#N/A</v>
      </c>
    </row>
    <row r="268" spans="1:25">
      <c r="A268" s="88">
        <f>'Batch input'!A267</f>
        <v>0</v>
      </c>
      <c r="B268">
        <f>'Batch input'!B267</f>
        <v>0</v>
      </c>
      <c r="C268" t="e">
        <f>VLOOKUP($A268,Data!$D$3:$CJ$128,30,FALSE)</f>
        <v>#N/A</v>
      </c>
      <c r="D268" s="74" t="e">
        <f>VLOOKUP($A268,Data!$D$3:$CJ$128,64,FALSE)</f>
        <v>#N/A</v>
      </c>
      <c r="E268" s="74" t="e">
        <f>VLOOKUP($A268,Data!$D$3:$CJ$128,66,FALSE)</f>
        <v>#N/A</v>
      </c>
      <c r="F268" s="74" t="e">
        <f>VLOOKUP($A268,Data!$D$3:$CJ$128,67,FALSE)</f>
        <v>#N/A</v>
      </c>
      <c r="G268" s="78" t="e">
        <f>VLOOKUP($A268,Data!$D$3:$CJ$128,68,FALSE)</f>
        <v>#N/A</v>
      </c>
      <c r="H268" s="78" t="e">
        <f>VLOOKUP($A268,Data!$D$3:$CJ$128,69,FALSE)</f>
        <v>#N/A</v>
      </c>
      <c r="I268" s="74" t="e">
        <f>VLOOKUP($A268,Data!$D$3:$CJ$128,70,FALSE)</f>
        <v>#N/A</v>
      </c>
      <c r="J268" s="74" t="e">
        <f>VLOOKUP($A268,Data!$D$3:$CJ$128,71,FALSE)</f>
        <v>#N/A</v>
      </c>
      <c r="K268" s="74" t="e">
        <f>VLOOKUP($A268,Data!$D$3:$CJ$128,72,FALSE)</f>
        <v>#N/A</v>
      </c>
      <c r="L268" s="74" t="e">
        <f>VLOOKUP($A268,Data!$D$3:$CJ$128,73,FALSE)</f>
        <v>#N/A</v>
      </c>
      <c r="M268" s="74" t="e">
        <f>VLOOKUP($A268,Data!$D$3:$CJ$128,74,FALSE)</f>
        <v>#N/A</v>
      </c>
      <c r="N268" s="78" t="e">
        <f t="shared" si="55"/>
        <v>#N/A</v>
      </c>
      <c r="O268" s="78" t="e">
        <f t="shared" si="56"/>
        <v>#N/A</v>
      </c>
      <c r="P268" s="78" t="e">
        <f t="shared" si="57"/>
        <v>#N/A</v>
      </c>
      <c r="Q268" s="78" t="e">
        <f t="shared" si="58"/>
        <v>#N/A</v>
      </c>
      <c r="R268" s="78" t="e">
        <f t="shared" si="59"/>
        <v>#N/A</v>
      </c>
      <c r="S268" s="78" t="e">
        <f t="shared" si="60"/>
        <v>#N/A</v>
      </c>
      <c r="T268" s="74" t="e">
        <f t="shared" si="61"/>
        <v>#N/A</v>
      </c>
      <c r="U268" s="74" t="e">
        <f t="shared" si="62"/>
        <v>#N/A</v>
      </c>
      <c r="V268" s="74" t="e">
        <f t="shared" si="63"/>
        <v>#N/A</v>
      </c>
      <c r="W268" s="74" t="e">
        <f t="shared" si="64"/>
        <v>#N/A</v>
      </c>
      <c r="X268" s="74" t="e">
        <f t="shared" si="65"/>
        <v>#N/A</v>
      </c>
      <c r="Y268" s="74" t="e">
        <f t="shared" si="66"/>
        <v>#N/A</v>
      </c>
    </row>
    <row r="269" spans="1:25">
      <c r="A269" s="88">
        <f>'Batch input'!A268</f>
        <v>0</v>
      </c>
      <c r="B269">
        <f>'Batch input'!B268</f>
        <v>0</v>
      </c>
      <c r="C269" t="e">
        <f>VLOOKUP($A269,Data!$D$3:$CJ$128,30,FALSE)</f>
        <v>#N/A</v>
      </c>
      <c r="D269" s="74" t="e">
        <f>VLOOKUP($A269,Data!$D$3:$CJ$128,64,FALSE)</f>
        <v>#N/A</v>
      </c>
      <c r="E269" s="74" t="e">
        <f>VLOOKUP($A269,Data!$D$3:$CJ$128,66,FALSE)</f>
        <v>#N/A</v>
      </c>
      <c r="F269" s="74" t="e">
        <f>VLOOKUP($A269,Data!$D$3:$CJ$128,67,FALSE)</f>
        <v>#N/A</v>
      </c>
      <c r="G269" s="78" t="e">
        <f>VLOOKUP($A269,Data!$D$3:$CJ$128,68,FALSE)</f>
        <v>#N/A</v>
      </c>
      <c r="H269" s="78" t="e">
        <f>VLOOKUP($A269,Data!$D$3:$CJ$128,69,FALSE)</f>
        <v>#N/A</v>
      </c>
      <c r="I269" s="74" t="e">
        <f>VLOOKUP($A269,Data!$D$3:$CJ$128,70,FALSE)</f>
        <v>#N/A</v>
      </c>
      <c r="J269" s="74" t="e">
        <f>VLOOKUP($A269,Data!$D$3:$CJ$128,71,FALSE)</f>
        <v>#N/A</v>
      </c>
      <c r="K269" s="74" t="e">
        <f>VLOOKUP($A269,Data!$D$3:$CJ$128,72,FALSE)</f>
        <v>#N/A</v>
      </c>
      <c r="L269" s="74" t="e">
        <f>VLOOKUP($A269,Data!$D$3:$CJ$128,73,FALSE)</f>
        <v>#N/A</v>
      </c>
      <c r="M269" s="74" t="e">
        <f>VLOOKUP($A269,Data!$D$3:$CJ$128,74,FALSE)</f>
        <v>#N/A</v>
      </c>
      <c r="N269" s="78" t="e">
        <f t="shared" si="55"/>
        <v>#N/A</v>
      </c>
      <c r="O269" s="78" t="e">
        <f t="shared" si="56"/>
        <v>#N/A</v>
      </c>
      <c r="P269" s="78" t="e">
        <f t="shared" si="57"/>
        <v>#N/A</v>
      </c>
      <c r="Q269" s="78" t="e">
        <f t="shared" si="58"/>
        <v>#N/A</v>
      </c>
      <c r="R269" s="78" t="e">
        <f t="shared" si="59"/>
        <v>#N/A</v>
      </c>
      <c r="S269" s="78" t="e">
        <f t="shared" si="60"/>
        <v>#N/A</v>
      </c>
      <c r="T269" s="74" t="e">
        <f t="shared" si="61"/>
        <v>#N/A</v>
      </c>
      <c r="U269" s="74" t="e">
        <f t="shared" si="62"/>
        <v>#N/A</v>
      </c>
      <c r="V269" s="74" t="e">
        <f t="shared" si="63"/>
        <v>#N/A</v>
      </c>
      <c r="W269" s="74" t="e">
        <f t="shared" si="64"/>
        <v>#N/A</v>
      </c>
      <c r="X269" s="74" t="e">
        <f t="shared" si="65"/>
        <v>#N/A</v>
      </c>
      <c r="Y269" s="74" t="e">
        <f t="shared" si="66"/>
        <v>#N/A</v>
      </c>
    </row>
    <row r="270" spans="1:25">
      <c r="A270" s="88">
        <f>'Batch input'!A269</f>
        <v>0</v>
      </c>
      <c r="B270">
        <f>'Batch input'!B269</f>
        <v>0</v>
      </c>
      <c r="C270" t="e">
        <f>VLOOKUP($A270,Data!$D$3:$CJ$128,30,FALSE)</f>
        <v>#N/A</v>
      </c>
      <c r="D270" s="74" t="e">
        <f>VLOOKUP($A270,Data!$D$3:$CJ$128,64,FALSE)</f>
        <v>#N/A</v>
      </c>
      <c r="E270" s="74" t="e">
        <f>VLOOKUP($A270,Data!$D$3:$CJ$128,66,FALSE)</f>
        <v>#N/A</v>
      </c>
      <c r="F270" s="74" t="e">
        <f>VLOOKUP($A270,Data!$D$3:$CJ$128,67,FALSE)</f>
        <v>#N/A</v>
      </c>
      <c r="G270" s="78" t="e">
        <f>VLOOKUP($A270,Data!$D$3:$CJ$128,68,FALSE)</f>
        <v>#N/A</v>
      </c>
      <c r="H270" s="78" t="e">
        <f>VLOOKUP($A270,Data!$D$3:$CJ$128,69,FALSE)</f>
        <v>#N/A</v>
      </c>
      <c r="I270" s="74" t="e">
        <f>VLOOKUP($A270,Data!$D$3:$CJ$128,70,FALSE)</f>
        <v>#N/A</v>
      </c>
      <c r="J270" s="74" t="e">
        <f>VLOOKUP($A270,Data!$D$3:$CJ$128,71,FALSE)</f>
        <v>#N/A</v>
      </c>
      <c r="K270" s="74" t="e">
        <f>VLOOKUP($A270,Data!$D$3:$CJ$128,72,FALSE)</f>
        <v>#N/A</v>
      </c>
      <c r="L270" s="74" t="e">
        <f>VLOOKUP($A270,Data!$D$3:$CJ$128,73,FALSE)</f>
        <v>#N/A</v>
      </c>
      <c r="M270" s="74" t="e">
        <f>VLOOKUP($A270,Data!$D$3:$CJ$128,74,FALSE)</f>
        <v>#N/A</v>
      </c>
      <c r="N270" s="78" t="e">
        <f t="shared" si="55"/>
        <v>#N/A</v>
      </c>
      <c r="O270" s="78" t="e">
        <f t="shared" si="56"/>
        <v>#N/A</v>
      </c>
      <c r="P270" s="78" t="e">
        <f t="shared" si="57"/>
        <v>#N/A</v>
      </c>
      <c r="Q270" s="78" t="e">
        <f t="shared" si="58"/>
        <v>#N/A</v>
      </c>
      <c r="R270" s="78" t="e">
        <f t="shared" si="59"/>
        <v>#N/A</v>
      </c>
      <c r="S270" s="78" t="e">
        <f t="shared" si="60"/>
        <v>#N/A</v>
      </c>
      <c r="T270" s="74" t="e">
        <f t="shared" si="61"/>
        <v>#N/A</v>
      </c>
      <c r="U270" s="74" t="e">
        <f t="shared" si="62"/>
        <v>#N/A</v>
      </c>
      <c r="V270" s="74" t="e">
        <f t="shared" si="63"/>
        <v>#N/A</v>
      </c>
      <c r="W270" s="74" t="e">
        <f t="shared" si="64"/>
        <v>#N/A</v>
      </c>
      <c r="X270" s="74" t="e">
        <f t="shared" si="65"/>
        <v>#N/A</v>
      </c>
      <c r="Y270" s="74" t="e">
        <f t="shared" si="66"/>
        <v>#N/A</v>
      </c>
    </row>
    <row r="271" spans="1:25">
      <c r="A271" s="88">
        <f>'Batch input'!A270</f>
        <v>0</v>
      </c>
      <c r="B271">
        <f>'Batch input'!B270</f>
        <v>0</v>
      </c>
      <c r="C271" t="e">
        <f>VLOOKUP($A271,Data!$D$3:$CJ$128,30,FALSE)</f>
        <v>#N/A</v>
      </c>
      <c r="D271" s="74" t="e">
        <f>VLOOKUP($A271,Data!$D$3:$CJ$128,64,FALSE)</f>
        <v>#N/A</v>
      </c>
      <c r="E271" s="74" t="e">
        <f>VLOOKUP($A271,Data!$D$3:$CJ$128,66,FALSE)</f>
        <v>#N/A</v>
      </c>
      <c r="F271" s="74" t="e">
        <f>VLOOKUP($A271,Data!$D$3:$CJ$128,67,FALSE)</f>
        <v>#N/A</v>
      </c>
      <c r="G271" s="78" t="e">
        <f>VLOOKUP($A271,Data!$D$3:$CJ$128,68,FALSE)</f>
        <v>#N/A</v>
      </c>
      <c r="H271" s="78" t="e">
        <f>VLOOKUP($A271,Data!$D$3:$CJ$128,69,FALSE)</f>
        <v>#N/A</v>
      </c>
      <c r="I271" s="74" t="e">
        <f>VLOOKUP($A271,Data!$D$3:$CJ$128,70,FALSE)</f>
        <v>#N/A</v>
      </c>
      <c r="J271" s="74" t="e">
        <f>VLOOKUP($A271,Data!$D$3:$CJ$128,71,FALSE)</f>
        <v>#N/A</v>
      </c>
      <c r="K271" s="74" t="e">
        <f>VLOOKUP($A271,Data!$D$3:$CJ$128,72,FALSE)</f>
        <v>#N/A</v>
      </c>
      <c r="L271" s="74" t="e">
        <f>VLOOKUP($A271,Data!$D$3:$CJ$128,73,FALSE)</f>
        <v>#N/A</v>
      </c>
      <c r="M271" s="74" t="e">
        <f>VLOOKUP($A271,Data!$D$3:$CJ$128,74,FALSE)</f>
        <v>#N/A</v>
      </c>
      <c r="N271" s="78" t="e">
        <f t="shared" si="55"/>
        <v>#N/A</v>
      </c>
      <c r="O271" s="78" t="e">
        <f t="shared" si="56"/>
        <v>#N/A</v>
      </c>
      <c r="P271" s="78" t="e">
        <f t="shared" si="57"/>
        <v>#N/A</v>
      </c>
      <c r="Q271" s="78" t="e">
        <f t="shared" si="58"/>
        <v>#N/A</v>
      </c>
      <c r="R271" s="78" t="e">
        <f t="shared" si="59"/>
        <v>#N/A</v>
      </c>
      <c r="S271" s="78" t="e">
        <f t="shared" si="60"/>
        <v>#N/A</v>
      </c>
      <c r="T271" s="74" t="e">
        <f t="shared" si="61"/>
        <v>#N/A</v>
      </c>
      <c r="U271" s="74" t="e">
        <f t="shared" si="62"/>
        <v>#N/A</v>
      </c>
      <c r="V271" s="74" t="e">
        <f t="shared" si="63"/>
        <v>#N/A</v>
      </c>
      <c r="W271" s="74" t="e">
        <f t="shared" si="64"/>
        <v>#N/A</v>
      </c>
      <c r="X271" s="74" t="e">
        <f t="shared" si="65"/>
        <v>#N/A</v>
      </c>
      <c r="Y271" s="74" t="e">
        <f t="shared" si="66"/>
        <v>#N/A</v>
      </c>
    </row>
    <row r="272" spans="1:25">
      <c r="A272" s="88">
        <f>'Batch input'!A271</f>
        <v>0</v>
      </c>
      <c r="B272">
        <f>'Batch input'!B271</f>
        <v>0</v>
      </c>
      <c r="C272" t="e">
        <f>VLOOKUP($A272,Data!$D$3:$CJ$128,30,FALSE)</f>
        <v>#N/A</v>
      </c>
      <c r="D272" s="74" t="e">
        <f>VLOOKUP($A272,Data!$D$3:$CJ$128,64,FALSE)</f>
        <v>#N/A</v>
      </c>
      <c r="E272" s="74" t="e">
        <f>VLOOKUP($A272,Data!$D$3:$CJ$128,66,FALSE)</f>
        <v>#N/A</v>
      </c>
      <c r="F272" s="74" t="e">
        <f>VLOOKUP($A272,Data!$D$3:$CJ$128,67,FALSE)</f>
        <v>#N/A</v>
      </c>
      <c r="G272" s="78" t="e">
        <f>VLOOKUP($A272,Data!$D$3:$CJ$128,68,FALSE)</f>
        <v>#N/A</v>
      </c>
      <c r="H272" s="78" t="e">
        <f>VLOOKUP($A272,Data!$D$3:$CJ$128,69,FALSE)</f>
        <v>#N/A</v>
      </c>
      <c r="I272" s="74" t="e">
        <f>VLOOKUP($A272,Data!$D$3:$CJ$128,70,FALSE)</f>
        <v>#N/A</v>
      </c>
      <c r="J272" s="74" t="e">
        <f>VLOOKUP($A272,Data!$D$3:$CJ$128,71,FALSE)</f>
        <v>#N/A</v>
      </c>
      <c r="K272" s="74" t="e">
        <f>VLOOKUP($A272,Data!$D$3:$CJ$128,72,FALSE)</f>
        <v>#N/A</v>
      </c>
      <c r="L272" s="74" t="e">
        <f>VLOOKUP($A272,Data!$D$3:$CJ$128,73,FALSE)</f>
        <v>#N/A</v>
      </c>
      <c r="M272" s="74" t="e">
        <f>VLOOKUP($A272,Data!$D$3:$CJ$128,74,FALSE)</f>
        <v>#N/A</v>
      </c>
      <c r="N272" s="78" t="e">
        <f t="shared" si="55"/>
        <v>#N/A</v>
      </c>
      <c r="O272" s="78" t="e">
        <f t="shared" si="56"/>
        <v>#N/A</v>
      </c>
      <c r="P272" s="78" t="e">
        <f t="shared" si="57"/>
        <v>#N/A</v>
      </c>
      <c r="Q272" s="78" t="e">
        <f t="shared" si="58"/>
        <v>#N/A</v>
      </c>
      <c r="R272" s="78" t="e">
        <f t="shared" si="59"/>
        <v>#N/A</v>
      </c>
      <c r="S272" s="78" t="e">
        <f t="shared" si="60"/>
        <v>#N/A</v>
      </c>
      <c r="T272" s="74" t="e">
        <f t="shared" si="61"/>
        <v>#N/A</v>
      </c>
      <c r="U272" s="74" t="e">
        <f t="shared" si="62"/>
        <v>#N/A</v>
      </c>
      <c r="V272" s="74" t="e">
        <f t="shared" si="63"/>
        <v>#N/A</v>
      </c>
      <c r="W272" s="74" t="e">
        <f t="shared" si="64"/>
        <v>#N/A</v>
      </c>
      <c r="X272" s="74" t="e">
        <f t="shared" si="65"/>
        <v>#N/A</v>
      </c>
      <c r="Y272" s="74" t="e">
        <f t="shared" si="66"/>
        <v>#N/A</v>
      </c>
    </row>
    <row r="273" spans="1:25">
      <c r="A273" s="88">
        <f>'Batch input'!A272</f>
        <v>0</v>
      </c>
      <c r="B273">
        <f>'Batch input'!B272</f>
        <v>0</v>
      </c>
      <c r="C273" t="e">
        <f>VLOOKUP($A273,Data!$D$3:$CJ$128,30,FALSE)</f>
        <v>#N/A</v>
      </c>
      <c r="D273" s="74" t="e">
        <f>VLOOKUP($A273,Data!$D$3:$CJ$128,64,FALSE)</f>
        <v>#N/A</v>
      </c>
      <c r="E273" s="74" t="e">
        <f>VLOOKUP($A273,Data!$D$3:$CJ$128,66,FALSE)</f>
        <v>#N/A</v>
      </c>
      <c r="F273" s="74" t="e">
        <f>VLOOKUP($A273,Data!$D$3:$CJ$128,67,FALSE)</f>
        <v>#N/A</v>
      </c>
      <c r="G273" s="78" t="e">
        <f>VLOOKUP($A273,Data!$D$3:$CJ$128,68,FALSE)</f>
        <v>#N/A</v>
      </c>
      <c r="H273" s="78" t="e">
        <f>VLOOKUP($A273,Data!$D$3:$CJ$128,69,FALSE)</f>
        <v>#N/A</v>
      </c>
      <c r="I273" s="74" t="e">
        <f>VLOOKUP($A273,Data!$D$3:$CJ$128,70,FALSE)</f>
        <v>#N/A</v>
      </c>
      <c r="J273" s="74" t="e">
        <f>VLOOKUP($A273,Data!$D$3:$CJ$128,71,FALSE)</f>
        <v>#N/A</v>
      </c>
      <c r="K273" s="74" t="e">
        <f>VLOOKUP($A273,Data!$D$3:$CJ$128,72,FALSE)</f>
        <v>#N/A</v>
      </c>
      <c r="L273" s="74" t="e">
        <f>VLOOKUP($A273,Data!$D$3:$CJ$128,73,FALSE)</f>
        <v>#N/A</v>
      </c>
      <c r="M273" s="74" t="e">
        <f>VLOOKUP($A273,Data!$D$3:$CJ$128,74,FALSE)</f>
        <v>#N/A</v>
      </c>
      <c r="N273" s="78" t="e">
        <f t="shared" si="55"/>
        <v>#N/A</v>
      </c>
      <c r="O273" s="78" t="e">
        <f t="shared" si="56"/>
        <v>#N/A</v>
      </c>
      <c r="P273" s="78" t="e">
        <f t="shared" si="57"/>
        <v>#N/A</v>
      </c>
      <c r="Q273" s="78" t="e">
        <f t="shared" si="58"/>
        <v>#N/A</v>
      </c>
      <c r="R273" s="78" t="e">
        <f t="shared" si="59"/>
        <v>#N/A</v>
      </c>
      <c r="S273" s="78" t="e">
        <f t="shared" si="60"/>
        <v>#N/A</v>
      </c>
      <c r="T273" s="74" t="e">
        <f t="shared" si="61"/>
        <v>#N/A</v>
      </c>
      <c r="U273" s="74" t="e">
        <f t="shared" si="62"/>
        <v>#N/A</v>
      </c>
      <c r="V273" s="74" t="e">
        <f t="shared" si="63"/>
        <v>#N/A</v>
      </c>
      <c r="W273" s="74" t="e">
        <f t="shared" si="64"/>
        <v>#N/A</v>
      </c>
      <c r="X273" s="74" t="e">
        <f t="shared" si="65"/>
        <v>#N/A</v>
      </c>
      <c r="Y273" s="74" t="e">
        <f t="shared" si="66"/>
        <v>#N/A</v>
      </c>
    </row>
    <row r="274" spans="1:25">
      <c r="A274" s="88">
        <f>'Batch input'!A273</f>
        <v>0</v>
      </c>
      <c r="B274">
        <f>'Batch input'!B273</f>
        <v>0</v>
      </c>
      <c r="C274" t="e">
        <f>VLOOKUP($A274,Data!$D$3:$CJ$128,30,FALSE)</f>
        <v>#N/A</v>
      </c>
      <c r="D274" s="74" t="e">
        <f>VLOOKUP($A274,Data!$D$3:$CJ$128,64,FALSE)</f>
        <v>#N/A</v>
      </c>
      <c r="E274" s="74" t="e">
        <f>VLOOKUP($A274,Data!$D$3:$CJ$128,66,FALSE)</f>
        <v>#N/A</v>
      </c>
      <c r="F274" s="74" t="e">
        <f>VLOOKUP($A274,Data!$D$3:$CJ$128,67,FALSE)</f>
        <v>#N/A</v>
      </c>
      <c r="G274" s="78" t="e">
        <f>VLOOKUP($A274,Data!$D$3:$CJ$128,68,FALSE)</f>
        <v>#N/A</v>
      </c>
      <c r="H274" s="78" t="e">
        <f>VLOOKUP($A274,Data!$D$3:$CJ$128,69,FALSE)</f>
        <v>#N/A</v>
      </c>
      <c r="I274" s="74" t="e">
        <f>VLOOKUP($A274,Data!$D$3:$CJ$128,70,FALSE)</f>
        <v>#N/A</v>
      </c>
      <c r="J274" s="74" t="e">
        <f>VLOOKUP($A274,Data!$D$3:$CJ$128,71,FALSE)</f>
        <v>#N/A</v>
      </c>
      <c r="K274" s="74" t="e">
        <f>VLOOKUP($A274,Data!$D$3:$CJ$128,72,FALSE)</f>
        <v>#N/A</v>
      </c>
      <c r="L274" s="74" t="e">
        <f>VLOOKUP($A274,Data!$D$3:$CJ$128,73,FALSE)</f>
        <v>#N/A</v>
      </c>
      <c r="M274" s="74" t="e">
        <f>VLOOKUP($A274,Data!$D$3:$CJ$128,74,FALSE)</f>
        <v>#N/A</v>
      </c>
      <c r="N274" s="78" t="e">
        <f t="shared" si="55"/>
        <v>#N/A</v>
      </c>
      <c r="O274" s="78" t="e">
        <f t="shared" si="56"/>
        <v>#N/A</v>
      </c>
      <c r="P274" s="78" t="e">
        <f t="shared" si="57"/>
        <v>#N/A</v>
      </c>
      <c r="Q274" s="78" t="e">
        <f t="shared" si="58"/>
        <v>#N/A</v>
      </c>
      <c r="R274" s="78" t="e">
        <f t="shared" si="59"/>
        <v>#N/A</v>
      </c>
      <c r="S274" s="78" t="e">
        <f t="shared" si="60"/>
        <v>#N/A</v>
      </c>
      <c r="T274" s="74" t="e">
        <f t="shared" si="61"/>
        <v>#N/A</v>
      </c>
      <c r="U274" s="74" t="e">
        <f t="shared" si="62"/>
        <v>#N/A</v>
      </c>
      <c r="V274" s="74" t="e">
        <f t="shared" si="63"/>
        <v>#N/A</v>
      </c>
      <c r="W274" s="74" t="e">
        <f t="shared" si="64"/>
        <v>#N/A</v>
      </c>
      <c r="X274" s="74" t="e">
        <f t="shared" si="65"/>
        <v>#N/A</v>
      </c>
      <c r="Y274" s="74" t="e">
        <f t="shared" si="66"/>
        <v>#N/A</v>
      </c>
    </row>
    <row r="275" spans="1:25">
      <c r="A275" s="88">
        <f>'Batch input'!A274</f>
        <v>0</v>
      </c>
      <c r="B275">
        <f>'Batch input'!B274</f>
        <v>0</v>
      </c>
      <c r="C275" t="e">
        <f>VLOOKUP($A275,Data!$D$3:$CJ$128,30,FALSE)</f>
        <v>#N/A</v>
      </c>
      <c r="D275" s="74" t="e">
        <f>VLOOKUP($A275,Data!$D$3:$CJ$128,64,FALSE)</f>
        <v>#N/A</v>
      </c>
      <c r="E275" s="74" t="e">
        <f>VLOOKUP($A275,Data!$D$3:$CJ$128,66,FALSE)</f>
        <v>#N/A</v>
      </c>
      <c r="F275" s="74" t="e">
        <f>VLOOKUP($A275,Data!$D$3:$CJ$128,67,FALSE)</f>
        <v>#N/A</v>
      </c>
      <c r="G275" s="78" t="e">
        <f>VLOOKUP($A275,Data!$D$3:$CJ$128,68,FALSE)</f>
        <v>#N/A</v>
      </c>
      <c r="H275" s="78" t="e">
        <f>VLOOKUP($A275,Data!$D$3:$CJ$128,69,FALSE)</f>
        <v>#N/A</v>
      </c>
      <c r="I275" s="74" t="e">
        <f>VLOOKUP($A275,Data!$D$3:$CJ$128,70,FALSE)</f>
        <v>#N/A</v>
      </c>
      <c r="J275" s="74" t="e">
        <f>VLOOKUP($A275,Data!$D$3:$CJ$128,71,FALSE)</f>
        <v>#N/A</v>
      </c>
      <c r="K275" s="74" t="e">
        <f>VLOOKUP($A275,Data!$D$3:$CJ$128,72,FALSE)</f>
        <v>#N/A</v>
      </c>
      <c r="L275" s="74" t="e">
        <f>VLOOKUP($A275,Data!$D$3:$CJ$128,73,FALSE)</f>
        <v>#N/A</v>
      </c>
      <c r="M275" s="74" t="e">
        <f>VLOOKUP($A275,Data!$D$3:$CJ$128,74,FALSE)</f>
        <v>#N/A</v>
      </c>
      <c r="N275" s="78" t="e">
        <f t="shared" si="55"/>
        <v>#N/A</v>
      </c>
      <c r="O275" s="78" t="e">
        <f t="shared" si="56"/>
        <v>#N/A</v>
      </c>
      <c r="P275" s="78" t="e">
        <f t="shared" si="57"/>
        <v>#N/A</v>
      </c>
      <c r="Q275" s="78" t="e">
        <f t="shared" si="58"/>
        <v>#N/A</v>
      </c>
      <c r="R275" s="78" t="e">
        <f t="shared" si="59"/>
        <v>#N/A</v>
      </c>
      <c r="S275" s="78" t="e">
        <f t="shared" si="60"/>
        <v>#N/A</v>
      </c>
      <c r="T275" s="74" t="e">
        <f t="shared" si="61"/>
        <v>#N/A</v>
      </c>
      <c r="U275" s="74" t="e">
        <f t="shared" si="62"/>
        <v>#N/A</v>
      </c>
      <c r="V275" s="74" t="e">
        <f t="shared" si="63"/>
        <v>#N/A</v>
      </c>
      <c r="W275" s="74" t="e">
        <f t="shared" si="64"/>
        <v>#N/A</v>
      </c>
      <c r="X275" s="74" t="e">
        <f t="shared" si="65"/>
        <v>#N/A</v>
      </c>
      <c r="Y275" s="74" t="e">
        <f t="shared" si="66"/>
        <v>#N/A</v>
      </c>
    </row>
    <row r="276" spans="1:25">
      <c r="A276" s="88">
        <f>'Batch input'!A275</f>
        <v>0</v>
      </c>
      <c r="B276">
        <f>'Batch input'!B275</f>
        <v>0</v>
      </c>
      <c r="C276" t="e">
        <f>VLOOKUP($A276,Data!$D$3:$CJ$128,30,FALSE)</f>
        <v>#N/A</v>
      </c>
      <c r="D276" s="74" t="e">
        <f>VLOOKUP($A276,Data!$D$3:$CJ$128,64,FALSE)</f>
        <v>#N/A</v>
      </c>
      <c r="E276" s="74" t="e">
        <f>VLOOKUP($A276,Data!$D$3:$CJ$128,66,FALSE)</f>
        <v>#N/A</v>
      </c>
      <c r="F276" s="74" t="e">
        <f>VLOOKUP($A276,Data!$D$3:$CJ$128,67,FALSE)</f>
        <v>#N/A</v>
      </c>
      <c r="G276" s="78" t="e">
        <f>VLOOKUP($A276,Data!$D$3:$CJ$128,68,FALSE)</f>
        <v>#N/A</v>
      </c>
      <c r="H276" s="78" t="e">
        <f>VLOOKUP($A276,Data!$D$3:$CJ$128,69,FALSE)</f>
        <v>#N/A</v>
      </c>
      <c r="I276" s="74" t="e">
        <f>VLOOKUP($A276,Data!$D$3:$CJ$128,70,FALSE)</f>
        <v>#N/A</v>
      </c>
      <c r="J276" s="74" t="e">
        <f>VLOOKUP($A276,Data!$D$3:$CJ$128,71,FALSE)</f>
        <v>#N/A</v>
      </c>
      <c r="K276" s="74" t="e">
        <f>VLOOKUP($A276,Data!$D$3:$CJ$128,72,FALSE)</f>
        <v>#N/A</v>
      </c>
      <c r="L276" s="74" t="e">
        <f>VLOOKUP($A276,Data!$D$3:$CJ$128,73,FALSE)</f>
        <v>#N/A</v>
      </c>
      <c r="M276" s="74" t="e">
        <f>VLOOKUP($A276,Data!$D$3:$CJ$128,74,FALSE)</f>
        <v>#N/A</v>
      </c>
      <c r="N276" s="78" t="e">
        <f t="shared" si="55"/>
        <v>#N/A</v>
      </c>
      <c r="O276" s="78" t="e">
        <f t="shared" si="56"/>
        <v>#N/A</v>
      </c>
      <c r="P276" s="78" t="e">
        <f t="shared" si="57"/>
        <v>#N/A</v>
      </c>
      <c r="Q276" s="78" t="e">
        <f t="shared" si="58"/>
        <v>#N/A</v>
      </c>
      <c r="R276" s="78" t="e">
        <f t="shared" si="59"/>
        <v>#N/A</v>
      </c>
      <c r="S276" s="78" t="e">
        <f t="shared" si="60"/>
        <v>#N/A</v>
      </c>
      <c r="T276" s="74" t="e">
        <f t="shared" si="61"/>
        <v>#N/A</v>
      </c>
      <c r="U276" s="74" t="e">
        <f t="shared" si="62"/>
        <v>#N/A</v>
      </c>
      <c r="V276" s="74" t="e">
        <f t="shared" si="63"/>
        <v>#N/A</v>
      </c>
      <c r="W276" s="74" t="e">
        <f t="shared" si="64"/>
        <v>#N/A</v>
      </c>
      <c r="X276" s="74" t="e">
        <f t="shared" si="65"/>
        <v>#N/A</v>
      </c>
      <c r="Y276" s="74" t="e">
        <f t="shared" si="66"/>
        <v>#N/A</v>
      </c>
    </row>
    <row r="277" spans="1:25">
      <c r="A277" s="88">
        <f>'Batch input'!A276</f>
        <v>0</v>
      </c>
      <c r="B277">
        <f>'Batch input'!B276</f>
        <v>0</v>
      </c>
      <c r="C277" t="e">
        <f>VLOOKUP($A277,Data!$D$3:$CJ$128,30,FALSE)</f>
        <v>#N/A</v>
      </c>
      <c r="D277" s="74" t="e">
        <f>VLOOKUP($A277,Data!$D$3:$CJ$128,64,FALSE)</f>
        <v>#N/A</v>
      </c>
      <c r="E277" s="74" t="e">
        <f>VLOOKUP($A277,Data!$D$3:$CJ$128,66,FALSE)</f>
        <v>#N/A</v>
      </c>
      <c r="F277" s="74" t="e">
        <f>VLOOKUP($A277,Data!$D$3:$CJ$128,67,FALSE)</f>
        <v>#N/A</v>
      </c>
      <c r="G277" s="78" t="e">
        <f>VLOOKUP($A277,Data!$D$3:$CJ$128,68,FALSE)</f>
        <v>#N/A</v>
      </c>
      <c r="H277" s="78" t="e">
        <f>VLOOKUP($A277,Data!$D$3:$CJ$128,69,FALSE)</f>
        <v>#N/A</v>
      </c>
      <c r="I277" s="74" t="e">
        <f>VLOOKUP($A277,Data!$D$3:$CJ$128,70,FALSE)</f>
        <v>#N/A</v>
      </c>
      <c r="J277" s="74" t="e">
        <f>VLOOKUP($A277,Data!$D$3:$CJ$128,71,FALSE)</f>
        <v>#N/A</v>
      </c>
      <c r="K277" s="74" t="e">
        <f>VLOOKUP($A277,Data!$D$3:$CJ$128,72,FALSE)</f>
        <v>#N/A</v>
      </c>
      <c r="L277" s="74" t="e">
        <f>VLOOKUP($A277,Data!$D$3:$CJ$128,73,FALSE)</f>
        <v>#N/A</v>
      </c>
      <c r="M277" s="74" t="e">
        <f>VLOOKUP($A277,Data!$D$3:$CJ$128,74,FALSE)</f>
        <v>#N/A</v>
      </c>
      <c r="N277" s="78" t="e">
        <f t="shared" si="55"/>
        <v>#N/A</v>
      </c>
      <c r="O277" s="78" t="e">
        <f t="shared" si="56"/>
        <v>#N/A</v>
      </c>
      <c r="P277" s="78" t="e">
        <f t="shared" si="57"/>
        <v>#N/A</v>
      </c>
      <c r="Q277" s="78" t="e">
        <f t="shared" si="58"/>
        <v>#N/A</v>
      </c>
      <c r="R277" s="78" t="e">
        <f t="shared" si="59"/>
        <v>#N/A</v>
      </c>
      <c r="S277" s="78" t="e">
        <f t="shared" si="60"/>
        <v>#N/A</v>
      </c>
      <c r="T277" s="74" t="e">
        <f t="shared" si="61"/>
        <v>#N/A</v>
      </c>
      <c r="U277" s="74" t="e">
        <f t="shared" si="62"/>
        <v>#N/A</v>
      </c>
      <c r="V277" s="74" t="e">
        <f t="shared" si="63"/>
        <v>#N/A</v>
      </c>
      <c r="W277" s="74" t="e">
        <f t="shared" si="64"/>
        <v>#N/A</v>
      </c>
      <c r="X277" s="74" t="e">
        <f t="shared" si="65"/>
        <v>#N/A</v>
      </c>
      <c r="Y277" s="74" t="e">
        <f t="shared" si="66"/>
        <v>#N/A</v>
      </c>
    </row>
    <row r="278" spans="1:25">
      <c r="A278" s="88">
        <f>'Batch input'!A277</f>
        <v>0</v>
      </c>
      <c r="B278">
        <f>'Batch input'!B277</f>
        <v>0</v>
      </c>
      <c r="C278" t="e">
        <f>VLOOKUP($A278,Data!$D$3:$CJ$128,30,FALSE)</f>
        <v>#N/A</v>
      </c>
      <c r="D278" s="74" t="e">
        <f>VLOOKUP($A278,Data!$D$3:$CJ$128,64,FALSE)</f>
        <v>#N/A</v>
      </c>
      <c r="E278" s="74" t="e">
        <f>VLOOKUP($A278,Data!$D$3:$CJ$128,66,FALSE)</f>
        <v>#N/A</v>
      </c>
      <c r="F278" s="74" t="e">
        <f>VLOOKUP($A278,Data!$D$3:$CJ$128,67,FALSE)</f>
        <v>#N/A</v>
      </c>
      <c r="G278" s="78" t="e">
        <f>VLOOKUP($A278,Data!$D$3:$CJ$128,68,FALSE)</f>
        <v>#N/A</v>
      </c>
      <c r="H278" s="78" t="e">
        <f>VLOOKUP($A278,Data!$D$3:$CJ$128,69,FALSE)</f>
        <v>#N/A</v>
      </c>
      <c r="I278" s="74" t="e">
        <f>VLOOKUP($A278,Data!$D$3:$CJ$128,70,FALSE)</f>
        <v>#N/A</v>
      </c>
      <c r="J278" s="74" t="e">
        <f>VLOOKUP($A278,Data!$D$3:$CJ$128,71,FALSE)</f>
        <v>#N/A</v>
      </c>
      <c r="K278" s="74" t="e">
        <f>VLOOKUP($A278,Data!$D$3:$CJ$128,72,FALSE)</f>
        <v>#N/A</v>
      </c>
      <c r="L278" s="74" t="e">
        <f>VLOOKUP($A278,Data!$D$3:$CJ$128,73,FALSE)</f>
        <v>#N/A</v>
      </c>
      <c r="M278" s="74" t="e">
        <f>VLOOKUP($A278,Data!$D$3:$CJ$128,74,FALSE)</f>
        <v>#N/A</v>
      </c>
      <c r="N278" s="78" t="e">
        <f t="shared" si="55"/>
        <v>#N/A</v>
      </c>
      <c r="O278" s="78" t="e">
        <f t="shared" si="56"/>
        <v>#N/A</v>
      </c>
      <c r="P278" s="78" t="e">
        <f t="shared" si="57"/>
        <v>#N/A</v>
      </c>
      <c r="Q278" s="78" t="e">
        <f t="shared" si="58"/>
        <v>#N/A</v>
      </c>
      <c r="R278" s="78" t="e">
        <f t="shared" si="59"/>
        <v>#N/A</v>
      </c>
      <c r="S278" s="78" t="e">
        <f t="shared" si="60"/>
        <v>#N/A</v>
      </c>
      <c r="T278" s="74" t="e">
        <f t="shared" si="61"/>
        <v>#N/A</v>
      </c>
      <c r="U278" s="74" t="e">
        <f t="shared" si="62"/>
        <v>#N/A</v>
      </c>
      <c r="V278" s="74" t="e">
        <f t="shared" si="63"/>
        <v>#N/A</v>
      </c>
      <c r="W278" s="74" t="e">
        <f t="shared" si="64"/>
        <v>#N/A</v>
      </c>
      <c r="X278" s="74" t="e">
        <f t="shared" si="65"/>
        <v>#N/A</v>
      </c>
      <c r="Y278" s="74" t="e">
        <f t="shared" si="66"/>
        <v>#N/A</v>
      </c>
    </row>
    <row r="279" spans="1:25">
      <c r="A279" s="88">
        <f>'Batch input'!A278</f>
        <v>0</v>
      </c>
      <c r="B279">
        <f>'Batch input'!B278</f>
        <v>0</v>
      </c>
      <c r="C279" t="e">
        <f>VLOOKUP($A279,Data!$D$3:$CJ$128,30,FALSE)</f>
        <v>#N/A</v>
      </c>
      <c r="D279" s="74" t="e">
        <f>VLOOKUP($A279,Data!$D$3:$CJ$128,64,FALSE)</f>
        <v>#N/A</v>
      </c>
      <c r="E279" s="74" t="e">
        <f>VLOOKUP($A279,Data!$D$3:$CJ$128,66,FALSE)</f>
        <v>#N/A</v>
      </c>
      <c r="F279" s="74" t="e">
        <f>VLOOKUP($A279,Data!$D$3:$CJ$128,67,FALSE)</f>
        <v>#N/A</v>
      </c>
      <c r="G279" s="78" t="e">
        <f>VLOOKUP($A279,Data!$D$3:$CJ$128,68,FALSE)</f>
        <v>#N/A</v>
      </c>
      <c r="H279" s="78" t="e">
        <f>VLOOKUP($A279,Data!$D$3:$CJ$128,69,FALSE)</f>
        <v>#N/A</v>
      </c>
      <c r="I279" s="74" t="e">
        <f>VLOOKUP($A279,Data!$D$3:$CJ$128,70,FALSE)</f>
        <v>#N/A</v>
      </c>
      <c r="J279" s="74" t="e">
        <f>VLOOKUP($A279,Data!$D$3:$CJ$128,71,FALSE)</f>
        <v>#N/A</v>
      </c>
      <c r="K279" s="74" t="e">
        <f>VLOOKUP($A279,Data!$D$3:$CJ$128,72,FALSE)</f>
        <v>#N/A</v>
      </c>
      <c r="L279" s="74" t="e">
        <f>VLOOKUP($A279,Data!$D$3:$CJ$128,73,FALSE)</f>
        <v>#N/A</v>
      </c>
      <c r="M279" s="74" t="e">
        <f>VLOOKUP($A279,Data!$D$3:$CJ$128,74,FALSE)</f>
        <v>#N/A</v>
      </c>
      <c r="N279" s="78" t="e">
        <f t="shared" si="55"/>
        <v>#N/A</v>
      </c>
      <c r="O279" s="78" t="e">
        <f t="shared" si="56"/>
        <v>#N/A</v>
      </c>
      <c r="P279" s="78" t="e">
        <f t="shared" si="57"/>
        <v>#N/A</v>
      </c>
      <c r="Q279" s="78" t="e">
        <f t="shared" si="58"/>
        <v>#N/A</v>
      </c>
      <c r="R279" s="78" t="e">
        <f t="shared" si="59"/>
        <v>#N/A</v>
      </c>
      <c r="S279" s="78" t="e">
        <f t="shared" si="60"/>
        <v>#N/A</v>
      </c>
      <c r="T279" s="74" t="e">
        <f t="shared" si="61"/>
        <v>#N/A</v>
      </c>
      <c r="U279" s="74" t="e">
        <f t="shared" si="62"/>
        <v>#N/A</v>
      </c>
      <c r="V279" s="74" t="e">
        <f t="shared" si="63"/>
        <v>#N/A</v>
      </c>
      <c r="W279" s="74" t="e">
        <f t="shared" si="64"/>
        <v>#N/A</v>
      </c>
      <c r="X279" s="74" t="e">
        <f t="shared" si="65"/>
        <v>#N/A</v>
      </c>
      <c r="Y279" s="74" t="e">
        <f t="shared" si="66"/>
        <v>#N/A</v>
      </c>
    </row>
    <row r="280" spans="1:25">
      <c r="A280" s="88">
        <f>'Batch input'!A279</f>
        <v>0</v>
      </c>
      <c r="B280">
        <f>'Batch input'!B279</f>
        <v>0</v>
      </c>
      <c r="C280" t="e">
        <f>VLOOKUP($A280,Data!$D$3:$CJ$128,30,FALSE)</f>
        <v>#N/A</v>
      </c>
      <c r="D280" s="74" t="e">
        <f>VLOOKUP($A280,Data!$D$3:$CJ$128,64,FALSE)</f>
        <v>#N/A</v>
      </c>
      <c r="E280" s="74" t="e">
        <f>VLOOKUP($A280,Data!$D$3:$CJ$128,66,FALSE)</f>
        <v>#N/A</v>
      </c>
      <c r="F280" s="74" t="e">
        <f>VLOOKUP($A280,Data!$D$3:$CJ$128,67,FALSE)</f>
        <v>#N/A</v>
      </c>
      <c r="G280" s="78" t="e">
        <f>VLOOKUP($A280,Data!$D$3:$CJ$128,68,FALSE)</f>
        <v>#N/A</v>
      </c>
      <c r="H280" s="78" t="e">
        <f>VLOOKUP($A280,Data!$D$3:$CJ$128,69,FALSE)</f>
        <v>#N/A</v>
      </c>
      <c r="I280" s="74" t="e">
        <f>VLOOKUP($A280,Data!$D$3:$CJ$128,70,FALSE)</f>
        <v>#N/A</v>
      </c>
      <c r="J280" s="74" t="e">
        <f>VLOOKUP($A280,Data!$D$3:$CJ$128,71,FALSE)</f>
        <v>#N/A</v>
      </c>
      <c r="K280" s="74" t="e">
        <f>VLOOKUP($A280,Data!$D$3:$CJ$128,72,FALSE)</f>
        <v>#N/A</v>
      </c>
      <c r="L280" s="74" t="e">
        <f>VLOOKUP($A280,Data!$D$3:$CJ$128,73,FALSE)</f>
        <v>#N/A</v>
      </c>
      <c r="M280" s="74" t="e">
        <f>VLOOKUP($A280,Data!$D$3:$CJ$128,74,FALSE)</f>
        <v>#N/A</v>
      </c>
      <c r="N280" s="78" t="e">
        <f t="shared" si="55"/>
        <v>#N/A</v>
      </c>
      <c r="O280" s="78" t="e">
        <f t="shared" si="56"/>
        <v>#N/A</v>
      </c>
      <c r="P280" s="78" t="e">
        <f t="shared" si="57"/>
        <v>#N/A</v>
      </c>
      <c r="Q280" s="78" t="e">
        <f t="shared" si="58"/>
        <v>#N/A</v>
      </c>
      <c r="R280" s="78" t="e">
        <f t="shared" si="59"/>
        <v>#N/A</v>
      </c>
      <c r="S280" s="78" t="e">
        <f t="shared" si="60"/>
        <v>#N/A</v>
      </c>
      <c r="T280" s="74" t="e">
        <f t="shared" si="61"/>
        <v>#N/A</v>
      </c>
      <c r="U280" s="74" t="e">
        <f t="shared" si="62"/>
        <v>#N/A</v>
      </c>
      <c r="V280" s="74" t="e">
        <f t="shared" si="63"/>
        <v>#N/A</v>
      </c>
      <c r="W280" s="74" t="e">
        <f t="shared" si="64"/>
        <v>#N/A</v>
      </c>
      <c r="X280" s="74" t="e">
        <f t="shared" si="65"/>
        <v>#N/A</v>
      </c>
      <c r="Y280" s="74" t="e">
        <f t="shared" si="66"/>
        <v>#N/A</v>
      </c>
    </row>
    <row r="281" spans="1:25">
      <c r="A281" s="88">
        <f>'Batch input'!A280</f>
        <v>0</v>
      </c>
      <c r="B281">
        <f>'Batch input'!B280</f>
        <v>0</v>
      </c>
      <c r="C281" t="e">
        <f>VLOOKUP($A281,Data!$D$3:$CJ$128,30,FALSE)</f>
        <v>#N/A</v>
      </c>
      <c r="D281" s="74" t="e">
        <f>VLOOKUP($A281,Data!$D$3:$CJ$128,64,FALSE)</f>
        <v>#N/A</v>
      </c>
      <c r="E281" s="74" t="e">
        <f>VLOOKUP($A281,Data!$D$3:$CJ$128,66,FALSE)</f>
        <v>#N/A</v>
      </c>
      <c r="F281" s="74" t="e">
        <f>VLOOKUP($A281,Data!$D$3:$CJ$128,67,FALSE)</f>
        <v>#N/A</v>
      </c>
      <c r="G281" s="78" t="e">
        <f>VLOOKUP($A281,Data!$D$3:$CJ$128,68,FALSE)</f>
        <v>#N/A</v>
      </c>
      <c r="H281" s="78" t="e">
        <f>VLOOKUP($A281,Data!$D$3:$CJ$128,69,FALSE)</f>
        <v>#N/A</v>
      </c>
      <c r="I281" s="74" t="e">
        <f>VLOOKUP($A281,Data!$D$3:$CJ$128,70,FALSE)</f>
        <v>#N/A</v>
      </c>
      <c r="J281" s="74" t="e">
        <f>VLOOKUP($A281,Data!$D$3:$CJ$128,71,FALSE)</f>
        <v>#N/A</v>
      </c>
      <c r="K281" s="74" t="e">
        <f>VLOOKUP($A281,Data!$D$3:$CJ$128,72,FALSE)</f>
        <v>#N/A</v>
      </c>
      <c r="L281" s="74" t="e">
        <f>VLOOKUP($A281,Data!$D$3:$CJ$128,73,FALSE)</f>
        <v>#N/A</v>
      </c>
      <c r="M281" s="74" t="e">
        <f>VLOOKUP($A281,Data!$D$3:$CJ$128,74,FALSE)</f>
        <v>#N/A</v>
      </c>
      <c r="N281" s="78" t="e">
        <f t="shared" si="55"/>
        <v>#N/A</v>
      </c>
      <c r="O281" s="78" t="e">
        <f t="shared" si="56"/>
        <v>#N/A</v>
      </c>
      <c r="P281" s="78" t="e">
        <f t="shared" si="57"/>
        <v>#N/A</v>
      </c>
      <c r="Q281" s="78" t="e">
        <f t="shared" si="58"/>
        <v>#N/A</v>
      </c>
      <c r="R281" s="78" t="e">
        <f t="shared" si="59"/>
        <v>#N/A</v>
      </c>
      <c r="S281" s="78" t="e">
        <f t="shared" si="60"/>
        <v>#N/A</v>
      </c>
      <c r="T281" s="74" t="e">
        <f t="shared" si="61"/>
        <v>#N/A</v>
      </c>
      <c r="U281" s="74" t="e">
        <f t="shared" si="62"/>
        <v>#N/A</v>
      </c>
      <c r="V281" s="74" t="e">
        <f t="shared" si="63"/>
        <v>#N/A</v>
      </c>
      <c r="W281" s="74" t="e">
        <f t="shared" si="64"/>
        <v>#N/A</v>
      </c>
      <c r="X281" s="74" t="e">
        <f t="shared" si="65"/>
        <v>#N/A</v>
      </c>
      <c r="Y281" s="74" t="e">
        <f t="shared" si="66"/>
        <v>#N/A</v>
      </c>
    </row>
    <row r="282" spans="1:25">
      <c r="A282" s="88">
        <f>'Batch input'!A281</f>
        <v>0</v>
      </c>
      <c r="B282">
        <f>'Batch input'!B281</f>
        <v>0</v>
      </c>
      <c r="C282" t="e">
        <f>VLOOKUP($A282,Data!$D$3:$CJ$128,30,FALSE)</f>
        <v>#N/A</v>
      </c>
      <c r="D282" s="74" t="e">
        <f>VLOOKUP($A282,Data!$D$3:$CJ$128,64,FALSE)</f>
        <v>#N/A</v>
      </c>
      <c r="E282" s="74" t="e">
        <f>VLOOKUP($A282,Data!$D$3:$CJ$128,66,FALSE)</f>
        <v>#N/A</v>
      </c>
      <c r="F282" s="74" t="e">
        <f>VLOOKUP($A282,Data!$D$3:$CJ$128,67,FALSE)</f>
        <v>#N/A</v>
      </c>
      <c r="G282" s="78" t="e">
        <f>VLOOKUP($A282,Data!$D$3:$CJ$128,68,FALSE)</f>
        <v>#N/A</v>
      </c>
      <c r="H282" s="78" t="e">
        <f>VLOOKUP($A282,Data!$D$3:$CJ$128,69,FALSE)</f>
        <v>#N/A</v>
      </c>
      <c r="I282" s="74" t="e">
        <f>VLOOKUP($A282,Data!$D$3:$CJ$128,70,FALSE)</f>
        <v>#N/A</v>
      </c>
      <c r="J282" s="74" t="e">
        <f>VLOOKUP($A282,Data!$D$3:$CJ$128,71,FALSE)</f>
        <v>#N/A</v>
      </c>
      <c r="K282" s="74" t="e">
        <f>VLOOKUP($A282,Data!$D$3:$CJ$128,72,FALSE)</f>
        <v>#N/A</v>
      </c>
      <c r="L282" s="74" t="e">
        <f>VLOOKUP($A282,Data!$D$3:$CJ$128,73,FALSE)</f>
        <v>#N/A</v>
      </c>
      <c r="M282" s="74" t="e">
        <f>VLOOKUP($A282,Data!$D$3:$CJ$128,74,FALSE)</f>
        <v>#N/A</v>
      </c>
      <c r="N282" s="78" t="e">
        <f t="shared" si="55"/>
        <v>#N/A</v>
      </c>
      <c r="O282" s="78" t="e">
        <f t="shared" si="56"/>
        <v>#N/A</v>
      </c>
      <c r="P282" s="78" t="e">
        <f t="shared" si="57"/>
        <v>#N/A</v>
      </c>
      <c r="Q282" s="78" t="e">
        <f t="shared" si="58"/>
        <v>#N/A</v>
      </c>
      <c r="R282" s="78" t="e">
        <f t="shared" si="59"/>
        <v>#N/A</v>
      </c>
      <c r="S282" s="78" t="e">
        <f t="shared" si="60"/>
        <v>#N/A</v>
      </c>
      <c r="T282" s="74" t="e">
        <f t="shared" si="61"/>
        <v>#N/A</v>
      </c>
      <c r="U282" s="74" t="e">
        <f t="shared" si="62"/>
        <v>#N/A</v>
      </c>
      <c r="V282" s="74" t="e">
        <f t="shared" si="63"/>
        <v>#N/A</v>
      </c>
      <c r="W282" s="74" t="e">
        <f t="shared" si="64"/>
        <v>#N/A</v>
      </c>
      <c r="X282" s="74" t="e">
        <f t="shared" si="65"/>
        <v>#N/A</v>
      </c>
      <c r="Y282" s="74" t="e">
        <f t="shared" si="66"/>
        <v>#N/A</v>
      </c>
    </row>
    <row r="283" spans="1:25">
      <c r="A283" s="88">
        <f>'Batch input'!A282</f>
        <v>0</v>
      </c>
      <c r="B283">
        <f>'Batch input'!B282</f>
        <v>0</v>
      </c>
      <c r="C283" t="e">
        <f>VLOOKUP($A283,Data!$D$3:$CJ$128,30,FALSE)</f>
        <v>#N/A</v>
      </c>
      <c r="D283" s="74" t="e">
        <f>VLOOKUP($A283,Data!$D$3:$CJ$128,64,FALSE)</f>
        <v>#N/A</v>
      </c>
      <c r="E283" s="74" t="e">
        <f>VLOOKUP($A283,Data!$D$3:$CJ$128,66,FALSE)</f>
        <v>#N/A</v>
      </c>
      <c r="F283" s="74" t="e">
        <f>VLOOKUP($A283,Data!$D$3:$CJ$128,67,FALSE)</f>
        <v>#N/A</v>
      </c>
      <c r="G283" s="78" t="e">
        <f>VLOOKUP($A283,Data!$D$3:$CJ$128,68,FALSE)</f>
        <v>#N/A</v>
      </c>
      <c r="H283" s="78" t="e">
        <f>VLOOKUP($A283,Data!$D$3:$CJ$128,69,FALSE)</f>
        <v>#N/A</v>
      </c>
      <c r="I283" s="74" t="e">
        <f>VLOOKUP($A283,Data!$D$3:$CJ$128,70,FALSE)</f>
        <v>#N/A</v>
      </c>
      <c r="J283" s="74" t="e">
        <f>VLOOKUP($A283,Data!$D$3:$CJ$128,71,FALSE)</f>
        <v>#N/A</v>
      </c>
      <c r="K283" s="74" t="e">
        <f>VLOOKUP($A283,Data!$D$3:$CJ$128,72,FALSE)</f>
        <v>#N/A</v>
      </c>
      <c r="L283" s="74" t="e">
        <f>VLOOKUP($A283,Data!$D$3:$CJ$128,73,FALSE)</f>
        <v>#N/A</v>
      </c>
      <c r="M283" s="74" t="e">
        <f>VLOOKUP($A283,Data!$D$3:$CJ$128,74,FALSE)</f>
        <v>#N/A</v>
      </c>
      <c r="N283" s="78" t="e">
        <f t="shared" si="55"/>
        <v>#N/A</v>
      </c>
      <c r="O283" s="78" t="e">
        <f t="shared" si="56"/>
        <v>#N/A</v>
      </c>
      <c r="P283" s="78" t="e">
        <f t="shared" si="57"/>
        <v>#N/A</v>
      </c>
      <c r="Q283" s="78" t="e">
        <f t="shared" si="58"/>
        <v>#N/A</v>
      </c>
      <c r="R283" s="78" t="e">
        <f t="shared" si="59"/>
        <v>#N/A</v>
      </c>
      <c r="S283" s="78" t="e">
        <f t="shared" si="60"/>
        <v>#N/A</v>
      </c>
      <c r="T283" s="74" t="e">
        <f t="shared" si="61"/>
        <v>#N/A</v>
      </c>
      <c r="U283" s="74" t="e">
        <f t="shared" si="62"/>
        <v>#N/A</v>
      </c>
      <c r="V283" s="74" t="e">
        <f t="shared" si="63"/>
        <v>#N/A</v>
      </c>
      <c r="W283" s="74" t="e">
        <f t="shared" si="64"/>
        <v>#N/A</v>
      </c>
      <c r="X283" s="74" t="e">
        <f t="shared" si="65"/>
        <v>#N/A</v>
      </c>
      <c r="Y283" s="74" t="e">
        <f t="shared" si="66"/>
        <v>#N/A</v>
      </c>
    </row>
    <row r="284" spans="1:25">
      <c r="A284" s="88">
        <f>'Batch input'!A283</f>
        <v>0</v>
      </c>
      <c r="B284">
        <f>'Batch input'!B283</f>
        <v>0</v>
      </c>
      <c r="C284" t="e">
        <f>VLOOKUP($A284,Data!$D$3:$CJ$128,30,FALSE)</f>
        <v>#N/A</v>
      </c>
      <c r="D284" s="74" t="e">
        <f>VLOOKUP($A284,Data!$D$3:$CJ$128,64,FALSE)</f>
        <v>#N/A</v>
      </c>
      <c r="E284" s="74" t="e">
        <f>VLOOKUP($A284,Data!$D$3:$CJ$128,66,FALSE)</f>
        <v>#N/A</v>
      </c>
      <c r="F284" s="74" t="e">
        <f>VLOOKUP($A284,Data!$D$3:$CJ$128,67,FALSE)</f>
        <v>#N/A</v>
      </c>
      <c r="G284" s="78" t="e">
        <f>VLOOKUP($A284,Data!$D$3:$CJ$128,68,FALSE)</f>
        <v>#N/A</v>
      </c>
      <c r="H284" s="78" t="e">
        <f>VLOOKUP($A284,Data!$D$3:$CJ$128,69,FALSE)</f>
        <v>#N/A</v>
      </c>
      <c r="I284" s="74" t="e">
        <f>VLOOKUP($A284,Data!$D$3:$CJ$128,70,FALSE)</f>
        <v>#N/A</v>
      </c>
      <c r="J284" s="74" t="e">
        <f>VLOOKUP($A284,Data!$D$3:$CJ$128,71,FALSE)</f>
        <v>#N/A</v>
      </c>
      <c r="K284" s="74" t="e">
        <f>VLOOKUP($A284,Data!$D$3:$CJ$128,72,FALSE)</f>
        <v>#N/A</v>
      </c>
      <c r="L284" s="74" t="e">
        <f>VLOOKUP($A284,Data!$D$3:$CJ$128,73,FALSE)</f>
        <v>#N/A</v>
      </c>
      <c r="M284" s="74" t="e">
        <f>VLOOKUP($A284,Data!$D$3:$CJ$128,74,FALSE)</f>
        <v>#N/A</v>
      </c>
      <c r="N284" s="78" t="e">
        <f t="shared" si="55"/>
        <v>#N/A</v>
      </c>
      <c r="O284" s="78" t="e">
        <f t="shared" si="56"/>
        <v>#N/A</v>
      </c>
      <c r="P284" s="78" t="e">
        <f t="shared" si="57"/>
        <v>#N/A</v>
      </c>
      <c r="Q284" s="78" t="e">
        <f t="shared" si="58"/>
        <v>#N/A</v>
      </c>
      <c r="R284" s="78" t="e">
        <f t="shared" si="59"/>
        <v>#N/A</v>
      </c>
      <c r="S284" s="78" t="e">
        <f t="shared" si="60"/>
        <v>#N/A</v>
      </c>
      <c r="T284" s="74" t="e">
        <f t="shared" si="61"/>
        <v>#N/A</v>
      </c>
      <c r="U284" s="74" t="e">
        <f t="shared" si="62"/>
        <v>#N/A</v>
      </c>
      <c r="V284" s="74" t="e">
        <f t="shared" si="63"/>
        <v>#N/A</v>
      </c>
      <c r="W284" s="74" t="e">
        <f t="shared" si="64"/>
        <v>#N/A</v>
      </c>
      <c r="X284" s="74" t="e">
        <f t="shared" si="65"/>
        <v>#N/A</v>
      </c>
      <c r="Y284" s="74" t="e">
        <f t="shared" si="66"/>
        <v>#N/A</v>
      </c>
    </row>
    <row r="285" spans="1:25">
      <c r="A285" s="88">
        <f>'Batch input'!A284</f>
        <v>0</v>
      </c>
      <c r="B285">
        <f>'Batch input'!B284</f>
        <v>0</v>
      </c>
      <c r="C285" t="e">
        <f>VLOOKUP($A285,Data!$D$3:$CJ$128,30,FALSE)</f>
        <v>#N/A</v>
      </c>
      <c r="D285" s="74" t="e">
        <f>VLOOKUP($A285,Data!$D$3:$CJ$128,64,FALSE)</f>
        <v>#N/A</v>
      </c>
      <c r="E285" s="74" t="e">
        <f>VLOOKUP($A285,Data!$D$3:$CJ$128,66,FALSE)</f>
        <v>#N/A</v>
      </c>
      <c r="F285" s="74" t="e">
        <f>VLOOKUP($A285,Data!$D$3:$CJ$128,67,FALSE)</f>
        <v>#N/A</v>
      </c>
      <c r="G285" s="78" t="e">
        <f>VLOOKUP($A285,Data!$D$3:$CJ$128,68,FALSE)</f>
        <v>#N/A</v>
      </c>
      <c r="H285" s="78" t="e">
        <f>VLOOKUP($A285,Data!$D$3:$CJ$128,69,FALSE)</f>
        <v>#N/A</v>
      </c>
      <c r="I285" s="74" t="e">
        <f>VLOOKUP($A285,Data!$D$3:$CJ$128,70,FALSE)</f>
        <v>#N/A</v>
      </c>
      <c r="J285" s="74" t="e">
        <f>VLOOKUP($A285,Data!$D$3:$CJ$128,71,FALSE)</f>
        <v>#N/A</v>
      </c>
      <c r="K285" s="74" t="e">
        <f>VLOOKUP($A285,Data!$D$3:$CJ$128,72,FALSE)</f>
        <v>#N/A</v>
      </c>
      <c r="L285" s="74" t="e">
        <f>VLOOKUP($A285,Data!$D$3:$CJ$128,73,FALSE)</f>
        <v>#N/A</v>
      </c>
      <c r="M285" s="74" t="e">
        <f>VLOOKUP($A285,Data!$D$3:$CJ$128,74,FALSE)</f>
        <v>#N/A</v>
      </c>
      <c r="N285" s="78" t="e">
        <f t="shared" ref="N285:N348" si="67">I285</f>
        <v>#N/A</v>
      </c>
      <c r="O285" s="78" t="e">
        <f t="shared" ref="O285:O348" si="68">(((D285/1000)*H285)+((G285/1000)*M285)+(J285/1000))</f>
        <v>#N/A</v>
      </c>
      <c r="P285" s="78" t="e">
        <f t="shared" ref="P285:P348" si="69">(F285/1000)*H285</f>
        <v>#N/A</v>
      </c>
      <c r="Q285" s="78" t="e">
        <f t="shared" ref="Q285:Q348" si="70">K285/1000</f>
        <v>#N/A</v>
      </c>
      <c r="R285" s="78" t="e">
        <f t="shared" ref="R285:R348" si="71">L285/1000</f>
        <v>#N/A</v>
      </c>
      <c r="S285" s="78" t="e">
        <f t="shared" ref="S285:S348" si="72">(E285/1000)*H285</f>
        <v>#N/A</v>
      </c>
      <c r="T285" s="74" t="e">
        <f t="shared" ref="T285:T348" si="73">$B285*N285</f>
        <v>#N/A</v>
      </c>
      <c r="U285" s="74" t="e">
        <f t="shared" ref="U285:U348" si="74">$B285*O285</f>
        <v>#N/A</v>
      </c>
      <c r="V285" s="74" t="e">
        <f t="shared" ref="V285:V348" si="75">$B285*P285</f>
        <v>#N/A</v>
      </c>
      <c r="W285" s="74" t="e">
        <f t="shared" ref="W285:W348" si="76">$B285*Q285</f>
        <v>#N/A</v>
      </c>
      <c r="X285" s="74" t="e">
        <f t="shared" ref="X285:X348" si="77">$B285*R285</f>
        <v>#N/A</v>
      </c>
      <c r="Y285" s="74" t="e">
        <f t="shared" ref="Y285:Y348" si="78">$B285*S285</f>
        <v>#N/A</v>
      </c>
    </row>
    <row r="286" spans="1:25">
      <c r="A286" s="88">
        <f>'Batch input'!A285</f>
        <v>0</v>
      </c>
      <c r="B286">
        <f>'Batch input'!B285</f>
        <v>0</v>
      </c>
      <c r="C286" t="e">
        <f>VLOOKUP($A286,Data!$D$3:$CJ$128,30,FALSE)</f>
        <v>#N/A</v>
      </c>
      <c r="D286" s="74" t="e">
        <f>VLOOKUP($A286,Data!$D$3:$CJ$128,64,FALSE)</f>
        <v>#N/A</v>
      </c>
      <c r="E286" s="74" t="e">
        <f>VLOOKUP($A286,Data!$D$3:$CJ$128,66,FALSE)</f>
        <v>#N/A</v>
      </c>
      <c r="F286" s="74" t="e">
        <f>VLOOKUP($A286,Data!$D$3:$CJ$128,67,FALSE)</f>
        <v>#N/A</v>
      </c>
      <c r="G286" s="78" t="e">
        <f>VLOOKUP($A286,Data!$D$3:$CJ$128,68,FALSE)</f>
        <v>#N/A</v>
      </c>
      <c r="H286" s="78" t="e">
        <f>VLOOKUP($A286,Data!$D$3:$CJ$128,69,FALSE)</f>
        <v>#N/A</v>
      </c>
      <c r="I286" s="74" t="e">
        <f>VLOOKUP($A286,Data!$D$3:$CJ$128,70,FALSE)</f>
        <v>#N/A</v>
      </c>
      <c r="J286" s="74" t="e">
        <f>VLOOKUP($A286,Data!$D$3:$CJ$128,71,FALSE)</f>
        <v>#N/A</v>
      </c>
      <c r="K286" s="74" t="e">
        <f>VLOOKUP($A286,Data!$D$3:$CJ$128,72,FALSE)</f>
        <v>#N/A</v>
      </c>
      <c r="L286" s="74" t="e">
        <f>VLOOKUP($A286,Data!$D$3:$CJ$128,73,FALSE)</f>
        <v>#N/A</v>
      </c>
      <c r="M286" s="74" t="e">
        <f>VLOOKUP($A286,Data!$D$3:$CJ$128,74,FALSE)</f>
        <v>#N/A</v>
      </c>
      <c r="N286" s="78" t="e">
        <f t="shared" si="67"/>
        <v>#N/A</v>
      </c>
      <c r="O286" s="78" t="e">
        <f t="shared" si="68"/>
        <v>#N/A</v>
      </c>
      <c r="P286" s="78" t="e">
        <f t="shared" si="69"/>
        <v>#N/A</v>
      </c>
      <c r="Q286" s="78" t="e">
        <f t="shared" si="70"/>
        <v>#N/A</v>
      </c>
      <c r="R286" s="78" t="e">
        <f t="shared" si="71"/>
        <v>#N/A</v>
      </c>
      <c r="S286" s="78" t="e">
        <f t="shared" si="72"/>
        <v>#N/A</v>
      </c>
      <c r="T286" s="74" t="e">
        <f t="shared" si="73"/>
        <v>#N/A</v>
      </c>
      <c r="U286" s="74" t="e">
        <f t="shared" si="74"/>
        <v>#N/A</v>
      </c>
      <c r="V286" s="74" t="e">
        <f t="shared" si="75"/>
        <v>#N/A</v>
      </c>
      <c r="W286" s="74" t="e">
        <f t="shared" si="76"/>
        <v>#N/A</v>
      </c>
      <c r="X286" s="74" t="e">
        <f t="shared" si="77"/>
        <v>#N/A</v>
      </c>
      <c r="Y286" s="74" t="e">
        <f t="shared" si="78"/>
        <v>#N/A</v>
      </c>
    </row>
    <row r="287" spans="1:25">
      <c r="A287" s="88">
        <f>'Batch input'!A286</f>
        <v>0</v>
      </c>
      <c r="B287">
        <f>'Batch input'!B286</f>
        <v>0</v>
      </c>
      <c r="C287" t="e">
        <f>VLOOKUP($A287,Data!$D$3:$CJ$128,30,FALSE)</f>
        <v>#N/A</v>
      </c>
      <c r="D287" s="74" t="e">
        <f>VLOOKUP($A287,Data!$D$3:$CJ$128,64,FALSE)</f>
        <v>#N/A</v>
      </c>
      <c r="E287" s="74" t="e">
        <f>VLOOKUP($A287,Data!$D$3:$CJ$128,66,FALSE)</f>
        <v>#N/A</v>
      </c>
      <c r="F287" s="74" t="e">
        <f>VLOOKUP($A287,Data!$D$3:$CJ$128,67,FALSE)</f>
        <v>#N/A</v>
      </c>
      <c r="G287" s="78" t="e">
        <f>VLOOKUP($A287,Data!$D$3:$CJ$128,68,FALSE)</f>
        <v>#N/A</v>
      </c>
      <c r="H287" s="78" t="e">
        <f>VLOOKUP($A287,Data!$D$3:$CJ$128,69,FALSE)</f>
        <v>#N/A</v>
      </c>
      <c r="I287" s="74" t="e">
        <f>VLOOKUP($A287,Data!$D$3:$CJ$128,70,FALSE)</f>
        <v>#N/A</v>
      </c>
      <c r="J287" s="74" t="e">
        <f>VLOOKUP($A287,Data!$D$3:$CJ$128,71,FALSE)</f>
        <v>#N/A</v>
      </c>
      <c r="K287" s="74" t="e">
        <f>VLOOKUP($A287,Data!$D$3:$CJ$128,72,FALSE)</f>
        <v>#N/A</v>
      </c>
      <c r="L287" s="74" t="e">
        <f>VLOOKUP($A287,Data!$D$3:$CJ$128,73,FALSE)</f>
        <v>#N/A</v>
      </c>
      <c r="M287" s="74" t="e">
        <f>VLOOKUP($A287,Data!$D$3:$CJ$128,74,FALSE)</f>
        <v>#N/A</v>
      </c>
      <c r="N287" s="78" t="e">
        <f t="shared" si="67"/>
        <v>#N/A</v>
      </c>
      <c r="O287" s="78" t="e">
        <f t="shared" si="68"/>
        <v>#N/A</v>
      </c>
      <c r="P287" s="78" t="e">
        <f t="shared" si="69"/>
        <v>#N/A</v>
      </c>
      <c r="Q287" s="78" t="e">
        <f t="shared" si="70"/>
        <v>#N/A</v>
      </c>
      <c r="R287" s="78" t="e">
        <f t="shared" si="71"/>
        <v>#N/A</v>
      </c>
      <c r="S287" s="78" t="e">
        <f t="shared" si="72"/>
        <v>#N/A</v>
      </c>
      <c r="T287" s="74" t="e">
        <f t="shared" si="73"/>
        <v>#N/A</v>
      </c>
      <c r="U287" s="74" t="e">
        <f t="shared" si="74"/>
        <v>#N/A</v>
      </c>
      <c r="V287" s="74" t="e">
        <f t="shared" si="75"/>
        <v>#N/A</v>
      </c>
      <c r="W287" s="74" t="e">
        <f t="shared" si="76"/>
        <v>#N/A</v>
      </c>
      <c r="X287" s="74" t="e">
        <f t="shared" si="77"/>
        <v>#N/A</v>
      </c>
      <c r="Y287" s="74" t="e">
        <f t="shared" si="78"/>
        <v>#N/A</v>
      </c>
    </row>
    <row r="288" spans="1:25">
      <c r="A288" s="88">
        <f>'Batch input'!A287</f>
        <v>0</v>
      </c>
      <c r="B288">
        <f>'Batch input'!B287</f>
        <v>0</v>
      </c>
      <c r="C288" t="e">
        <f>VLOOKUP($A288,Data!$D$3:$CJ$128,30,FALSE)</f>
        <v>#N/A</v>
      </c>
      <c r="D288" s="74" t="e">
        <f>VLOOKUP($A288,Data!$D$3:$CJ$128,64,FALSE)</f>
        <v>#N/A</v>
      </c>
      <c r="E288" s="74" t="e">
        <f>VLOOKUP($A288,Data!$D$3:$CJ$128,66,FALSE)</f>
        <v>#N/A</v>
      </c>
      <c r="F288" s="74" t="e">
        <f>VLOOKUP($A288,Data!$D$3:$CJ$128,67,FALSE)</f>
        <v>#N/A</v>
      </c>
      <c r="G288" s="78" t="e">
        <f>VLOOKUP($A288,Data!$D$3:$CJ$128,68,FALSE)</f>
        <v>#N/A</v>
      </c>
      <c r="H288" s="78" t="e">
        <f>VLOOKUP($A288,Data!$D$3:$CJ$128,69,FALSE)</f>
        <v>#N/A</v>
      </c>
      <c r="I288" s="74" t="e">
        <f>VLOOKUP($A288,Data!$D$3:$CJ$128,70,FALSE)</f>
        <v>#N/A</v>
      </c>
      <c r="J288" s="74" t="e">
        <f>VLOOKUP($A288,Data!$D$3:$CJ$128,71,FALSE)</f>
        <v>#N/A</v>
      </c>
      <c r="K288" s="74" t="e">
        <f>VLOOKUP($A288,Data!$D$3:$CJ$128,72,FALSE)</f>
        <v>#N/A</v>
      </c>
      <c r="L288" s="74" t="e">
        <f>VLOOKUP($A288,Data!$D$3:$CJ$128,73,FALSE)</f>
        <v>#N/A</v>
      </c>
      <c r="M288" s="74" t="e">
        <f>VLOOKUP($A288,Data!$D$3:$CJ$128,74,FALSE)</f>
        <v>#N/A</v>
      </c>
      <c r="N288" s="78" t="e">
        <f t="shared" si="67"/>
        <v>#N/A</v>
      </c>
      <c r="O288" s="78" t="e">
        <f t="shared" si="68"/>
        <v>#N/A</v>
      </c>
      <c r="P288" s="78" t="e">
        <f t="shared" si="69"/>
        <v>#N/A</v>
      </c>
      <c r="Q288" s="78" t="e">
        <f t="shared" si="70"/>
        <v>#N/A</v>
      </c>
      <c r="R288" s="78" t="e">
        <f t="shared" si="71"/>
        <v>#N/A</v>
      </c>
      <c r="S288" s="78" t="e">
        <f t="shared" si="72"/>
        <v>#N/A</v>
      </c>
      <c r="T288" s="74" t="e">
        <f t="shared" si="73"/>
        <v>#N/A</v>
      </c>
      <c r="U288" s="74" t="e">
        <f t="shared" si="74"/>
        <v>#N/A</v>
      </c>
      <c r="V288" s="74" t="e">
        <f t="shared" si="75"/>
        <v>#N/A</v>
      </c>
      <c r="W288" s="74" t="e">
        <f t="shared" si="76"/>
        <v>#N/A</v>
      </c>
      <c r="X288" s="74" t="e">
        <f t="shared" si="77"/>
        <v>#N/A</v>
      </c>
      <c r="Y288" s="74" t="e">
        <f t="shared" si="78"/>
        <v>#N/A</v>
      </c>
    </row>
    <row r="289" spans="1:25">
      <c r="A289" s="88">
        <f>'Batch input'!A288</f>
        <v>0</v>
      </c>
      <c r="B289">
        <f>'Batch input'!B288</f>
        <v>0</v>
      </c>
      <c r="C289" t="e">
        <f>VLOOKUP($A289,Data!$D$3:$CJ$128,30,FALSE)</f>
        <v>#N/A</v>
      </c>
      <c r="D289" s="74" t="e">
        <f>VLOOKUP($A289,Data!$D$3:$CJ$128,64,FALSE)</f>
        <v>#N/A</v>
      </c>
      <c r="E289" s="74" t="e">
        <f>VLOOKUP($A289,Data!$D$3:$CJ$128,66,FALSE)</f>
        <v>#N/A</v>
      </c>
      <c r="F289" s="74" t="e">
        <f>VLOOKUP($A289,Data!$D$3:$CJ$128,67,FALSE)</f>
        <v>#N/A</v>
      </c>
      <c r="G289" s="78" t="e">
        <f>VLOOKUP($A289,Data!$D$3:$CJ$128,68,FALSE)</f>
        <v>#N/A</v>
      </c>
      <c r="H289" s="78" t="e">
        <f>VLOOKUP($A289,Data!$D$3:$CJ$128,69,FALSE)</f>
        <v>#N/A</v>
      </c>
      <c r="I289" s="74" t="e">
        <f>VLOOKUP($A289,Data!$D$3:$CJ$128,70,FALSE)</f>
        <v>#N/A</v>
      </c>
      <c r="J289" s="74" t="e">
        <f>VLOOKUP($A289,Data!$D$3:$CJ$128,71,FALSE)</f>
        <v>#N/A</v>
      </c>
      <c r="K289" s="74" t="e">
        <f>VLOOKUP($A289,Data!$D$3:$CJ$128,72,FALSE)</f>
        <v>#N/A</v>
      </c>
      <c r="L289" s="74" t="e">
        <f>VLOOKUP($A289,Data!$D$3:$CJ$128,73,FALSE)</f>
        <v>#N/A</v>
      </c>
      <c r="M289" s="74" t="e">
        <f>VLOOKUP($A289,Data!$D$3:$CJ$128,74,FALSE)</f>
        <v>#N/A</v>
      </c>
      <c r="N289" s="78" t="e">
        <f t="shared" si="67"/>
        <v>#N/A</v>
      </c>
      <c r="O289" s="78" t="e">
        <f t="shared" si="68"/>
        <v>#N/A</v>
      </c>
      <c r="P289" s="78" t="e">
        <f t="shared" si="69"/>
        <v>#N/A</v>
      </c>
      <c r="Q289" s="78" t="e">
        <f t="shared" si="70"/>
        <v>#N/A</v>
      </c>
      <c r="R289" s="78" t="e">
        <f t="shared" si="71"/>
        <v>#N/A</v>
      </c>
      <c r="S289" s="78" t="e">
        <f t="shared" si="72"/>
        <v>#N/A</v>
      </c>
      <c r="T289" s="74" t="e">
        <f t="shared" si="73"/>
        <v>#N/A</v>
      </c>
      <c r="U289" s="74" t="e">
        <f t="shared" si="74"/>
        <v>#N/A</v>
      </c>
      <c r="V289" s="74" t="e">
        <f t="shared" si="75"/>
        <v>#N/A</v>
      </c>
      <c r="W289" s="74" t="e">
        <f t="shared" si="76"/>
        <v>#N/A</v>
      </c>
      <c r="X289" s="74" t="e">
        <f t="shared" si="77"/>
        <v>#N/A</v>
      </c>
      <c r="Y289" s="74" t="e">
        <f t="shared" si="78"/>
        <v>#N/A</v>
      </c>
    </row>
    <row r="290" spans="1:25">
      <c r="A290" s="88">
        <f>'Batch input'!A289</f>
        <v>0</v>
      </c>
      <c r="B290">
        <f>'Batch input'!B289</f>
        <v>0</v>
      </c>
      <c r="C290" t="e">
        <f>VLOOKUP($A290,Data!$D$3:$CJ$128,30,FALSE)</f>
        <v>#N/A</v>
      </c>
      <c r="D290" s="74" t="e">
        <f>VLOOKUP($A290,Data!$D$3:$CJ$128,64,FALSE)</f>
        <v>#N/A</v>
      </c>
      <c r="E290" s="74" t="e">
        <f>VLOOKUP($A290,Data!$D$3:$CJ$128,66,FALSE)</f>
        <v>#N/A</v>
      </c>
      <c r="F290" s="74" t="e">
        <f>VLOOKUP($A290,Data!$D$3:$CJ$128,67,FALSE)</f>
        <v>#N/A</v>
      </c>
      <c r="G290" s="78" t="e">
        <f>VLOOKUP($A290,Data!$D$3:$CJ$128,68,FALSE)</f>
        <v>#N/A</v>
      </c>
      <c r="H290" s="78" t="e">
        <f>VLOOKUP($A290,Data!$D$3:$CJ$128,69,FALSE)</f>
        <v>#N/A</v>
      </c>
      <c r="I290" s="74" t="e">
        <f>VLOOKUP($A290,Data!$D$3:$CJ$128,70,FALSE)</f>
        <v>#N/A</v>
      </c>
      <c r="J290" s="74" t="e">
        <f>VLOOKUP($A290,Data!$D$3:$CJ$128,71,FALSE)</f>
        <v>#N/A</v>
      </c>
      <c r="K290" s="74" t="e">
        <f>VLOOKUP($A290,Data!$D$3:$CJ$128,72,FALSE)</f>
        <v>#N/A</v>
      </c>
      <c r="L290" s="74" t="e">
        <f>VLOOKUP($A290,Data!$D$3:$CJ$128,73,FALSE)</f>
        <v>#N/A</v>
      </c>
      <c r="M290" s="74" t="e">
        <f>VLOOKUP($A290,Data!$D$3:$CJ$128,74,FALSE)</f>
        <v>#N/A</v>
      </c>
      <c r="N290" s="78" t="e">
        <f t="shared" si="67"/>
        <v>#N/A</v>
      </c>
      <c r="O290" s="78" t="e">
        <f t="shared" si="68"/>
        <v>#N/A</v>
      </c>
      <c r="P290" s="78" t="e">
        <f t="shared" si="69"/>
        <v>#N/A</v>
      </c>
      <c r="Q290" s="78" t="e">
        <f t="shared" si="70"/>
        <v>#N/A</v>
      </c>
      <c r="R290" s="78" t="e">
        <f t="shared" si="71"/>
        <v>#N/A</v>
      </c>
      <c r="S290" s="78" t="e">
        <f t="shared" si="72"/>
        <v>#N/A</v>
      </c>
      <c r="T290" s="74" t="e">
        <f t="shared" si="73"/>
        <v>#N/A</v>
      </c>
      <c r="U290" s="74" t="e">
        <f t="shared" si="74"/>
        <v>#N/A</v>
      </c>
      <c r="V290" s="74" t="e">
        <f t="shared" si="75"/>
        <v>#N/A</v>
      </c>
      <c r="W290" s="74" t="e">
        <f t="shared" si="76"/>
        <v>#N/A</v>
      </c>
      <c r="X290" s="74" t="e">
        <f t="shared" si="77"/>
        <v>#N/A</v>
      </c>
      <c r="Y290" s="74" t="e">
        <f t="shared" si="78"/>
        <v>#N/A</v>
      </c>
    </row>
    <row r="291" spans="1:25">
      <c r="A291" s="88">
        <f>'Batch input'!A290</f>
        <v>0</v>
      </c>
      <c r="B291">
        <f>'Batch input'!B290</f>
        <v>0</v>
      </c>
      <c r="C291" t="e">
        <f>VLOOKUP($A291,Data!$D$3:$CJ$128,30,FALSE)</f>
        <v>#N/A</v>
      </c>
      <c r="D291" s="74" t="e">
        <f>VLOOKUP($A291,Data!$D$3:$CJ$128,64,FALSE)</f>
        <v>#N/A</v>
      </c>
      <c r="E291" s="74" t="e">
        <f>VLOOKUP($A291,Data!$D$3:$CJ$128,66,FALSE)</f>
        <v>#N/A</v>
      </c>
      <c r="F291" s="74" t="e">
        <f>VLOOKUP($A291,Data!$D$3:$CJ$128,67,FALSE)</f>
        <v>#N/A</v>
      </c>
      <c r="G291" s="78" t="e">
        <f>VLOOKUP($A291,Data!$D$3:$CJ$128,68,FALSE)</f>
        <v>#N/A</v>
      </c>
      <c r="H291" s="78" t="e">
        <f>VLOOKUP($A291,Data!$D$3:$CJ$128,69,FALSE)</f>
        <v>#N/A</v>
      </c>
      <c r="I291" s="74" t="e">
        <f>VLOOKUP($A291,Data!$D$3:$CJ$128,70,FALSE)</f>
        <v>#N/A</v>
      </c>
      <c r="J291" s="74" t="e">
        <f>VLOOKUP($A291,Data!$D$3:$CJ$128,71,FALSE)</f>
        <v>#N/A</v>
      </c>
      <c r="K291" s="74" t="e">
        <f>VLOOKUP($A291,Data!$D$3:$CJ$128,72,FALSE)</f>
        <v>#N/A</v>
      </c>
      <c r="L291" s="74" t="e">
        <f>VLOOKUP($A291,Data!$D$3:$CJ$128,73,FALSE)</f>
        <v>#N/A</v>
      </c>
      <c r="M291" s="74" t="e">
        <f>VLOOKUP($A291,Data!$D$3:$CJ$128,74,FALSE)</f>
        <v>#N/A</v>
      </c>
      <c r="N291" s="78" t="e">
        <f t="shared" si="67"/>
        <v>#N/A</v>
      </c>
      <c r="O291" s="78" t="e">
        <f t="shared" si="68"/>
        <v>#N/A</v>
      </c>
      <c r="P291" s="78" t="e">
        <f t="shared" si="69"/>
        <v>#N/A</v>
      </c>
      <c r="Q291" s="78" t="e">
        <f t="shared" si="70"/>
        <v>#N/A</v>
      </c>
      <c r="R291" s="78" t="e">
        <f t="shared" si="71"/>
        <v>#N/A</v>
      </c>
      <c r="S291" s="78" t="e">
        <f t="shared" si="72"/>
        <v>#N/A</v>
      </c>
      <c r="T291" s="74" t="e">
        <f t="shared" si="73"/>
        <v>#N/A</v>
      </c>
      <c r="U291" s="74" t="e">
        <f t="shared" si="74"/>
        <v>#N/A</v>
      </c>
      <c r="V291" s="74" t="e">
        <f t="shared" si="75"/>
        <v>#N/A</v>
      </c>
      <c r="W291" s="74" t="e">
        <f t="shared" si="76"/>
        <v>#N/A</v>
      </c>
      <c r="X291" s="74" t="e">
        <f t="shared" si="77"/>
        <v>#N/A</v>
      </c>
      <c r="Y291" s="74" t="e">
        <f t="shared" si="78"/>
        <v>#N/A</v>
      </c>
    </row>
    <row r="292" spans="1:25">
      <c r="A292" s="88">
        <f>'Batch input'!A291</f>
        <v>0</v>
      </c>
      <c r="B292">
        <f>'Batch input'!B291</f>
        <v>0</v>
      </c>
      <c r="C292" t="e">
        <f>VLOOKUP($A292,Data!$D$3:$CJ$128,30,FALSE)</f>
        <v>#N/A</v>
      </c>
      <c r="D292" s="74" t="e">
        <f>VLOOKUP($A292,Data!$D$3:$CJ$128,64,FALSE)</f>
        <v>#N/A</v>
      </c>
      <c r="E292" s="74" t="e">
        <f>VLOOKUP($A292,Data!$D$3:$CJ$128,66,FALSE)</f>
        <v>#N/A</v>
      </c>
      <c r="F292" s="74" t="e">
        <f>VLOOKUP($A292,Data!$D$3:$CJ$128,67,FALSE)</f>
        <v>#N/A</v>
      </c>
      <c r="G292" s="78" t="e">
        <f>VLOOKUP($A292,Data!$D$3:$CJ$128,68,FALSE)</f>
        <v>#N/A</v>
      </c>
      <c r="H292" s="78" t="e">
        <f>VLOOKUP($A292,Data!$D$3:$CJ$128,69,FALSE)</f>
        <v>#N/A</v>
      </c>
      <c r="I292" s="74" t="e">
        <f>VLOOKUP($A292,Data!$D$3:$CJ$128,70,FALSE)</f>
        <v>#N/A</v>
      </c>
      <c r="J292" s="74" t="e">
        <f>VLOOKUP($A292,Data!$D$3:$CJ$128,71,FALSE)</f>
        <v>#N/A</v>
      </c>
      <c r="K292" s="74" t="e">
        <f>VLOOKUP($A292,Data!$D$3:$CJ$128,72,FALSE)</f>
        <v>#N/A</v>
      </c>
      <c r="L292" s="74" t="e">
        <f>VLOOKUP($A292,Data!$D$3:$CJ$128,73,FALSE)</f>
        <v>#N/A</v>
      </c>
      <c r="M292" s="74" t="e">
        <f>VLOOKUP($A292,Data!$D$3:$CJ$128,74,FALSE)</f>
        <v>#N/A</v>
      </c>
      <c r="N292" s="78" t="e">
        <f t="shared" si="67"/>
        <v>#N/A</v>
      </c>
      <c r="O292" s="78" t="e">
        <f t="shared" si="68"/>
        <v>#N/A</v>
      </c>
      <c r="P292" s="78" t="e">
        <f t="shared" si="69"/>
        <v>#N/A</v>
      </c>
      <c r="Q292" s="78" t="e">
        <f t="shared" si="70"/>
        <v>#N/A</v>
      </c>
      <c r="R292" s="78" t="e">
        <f t="shared" si="71"/>
        <v>#N/A</v>
      </c>
      <c r="S292" s="78" t="e">
        <f t="shared" si="72"/>
        <v>#N/A</v>
      </c>
      <c r="T292" s="74" t="e">
        <f t="shared" si="73"/>
        <v>#N/A</v>
      </c>
      <c r="U292" s="74" t="e">
        <f t="shared" si="74"/>
        <v>#N/A</v>
      </c>
      <c r="V292" s="74" t="e">
        <f t="shared" si="75"/>
        <v>#N/A</v>
      </c>
      <c r="W292" s="74" t="e">
        <f t="shared" si="76"/>
        <v>#N/A</v>
      </c>
      <c r="X292" s="74" t="e">
        <f t="shared" si="77"/>
        <v>#N/A</v>
      </c>
      <c r="Y292" s="74" t="e">
        <f t="shared" si="78"/>
        <v>#N/A</v>
      </c>
    </row>
    <row r="293" spans="1:25">
      <c r="A293" s="88">
        <f>'Batch input'!A292</f>
        <v>0</v>
      </c>
      <c r="B293">
        <f>'Batch input'!B292</f>
        <v>0</v>
      </c>
      <c r="C293" t="e">
        <f>VLOOKUP($A293,Data!$D$3:$CJ$128,30,FALSE)</f>
        <v>#N/A</v>
      </c>
      <c r="D293" s="74" t="e">
        <f>VLOOKUP($A293,Data!$D$3:$CJ$128,64,FALSE)</f>
        <v>#N/A</v>
      </c>
      <c r="E293" s="74" t="e">
        <f>VLOOKUP($A293,Data!$D$3:$CJ$128,66,FALSE)</f>
        <v>#N/A</v>
      </c>
      <c r="F293" s="74" t="e">
        <f>VLOOKUP($A293,Data!$D$3:$CJ$128,67,FALSE)</f>
        <v>#N/A</v>
      </c>
      <c r="G293" s="78" t="e">
        <f>VLOOKUP($A293,Data!$D$3:$CJ$128,68,FALSE)</f>
        <v>#N/A</v>
      </c>
      <c r="H293" s="78" t="e">
        <f>VLOOKUP($A293,Data!$D$3:$CJ$128,69,FALSE)</f>
        <v>#N/A</v>
      </c>
      <c r="I293" s="74" t="e">
        <f>VLOOKUP($A293,Data!$D$3:$CJ$128,70,FALSE)</f>
        <v>#N/A</v>
      </c>
      <c r="J293" s="74" t="e">
        <f>VLOOKUP($A293,Data!$D$3:$CJ$128,71,FALSE)</f>
        <v>#N/A</v>
      </c>
      <c r="K293" s="74" t="e">
        <f>VLOOKUP($A293,Data!$D$3:$CJ$128,72,FALSE)</f>
        <v>#N/A</v>
      </c>
      <c r="L293" s="74" t="e">
        <f>VLOOKUP($A293,Data!$D$3:$CJ$128,73,FALSE)</f>
        <v>#N/A</v>
      </c>
      <c r="M293" s="74" t="e">
        <f>VLOOKUP($A293,Data!$D$3:$CJ$128,74,FALSE)</f>
        <v>#N/A</v>
      </c>
      <c r="N293" s="78" t="e">
        <f t="shared" si="67"/>
        <v>#N/A</v>
      </c>
      <c r="O293" s="78" t="e">
        <f t="shared" si="68"/>
        <v>#N/A</v>
      </c>
      <c r="P293" s="78" t="e">
        <f t="shared" si="69"/>
        <v>#N/A</v>
      </c>
      <c r="Q293" s="78" t="e">
        <f t="shared" si="70"/>
        <v>#N/A</v>
      </c>
      <c r="R293" s="78" t="e">
        <f t="shared" si="71"/>
        <v>#N/A</v>
      </c>
      <c r="S293" s="78" t="e">
        <f t="shared" si="72"/>
        <v>#N/A</v>
      </c>
      <c r="T293" s="74" t="e">
        <f t="shared" si="73"/>
        <v>#N/A</v>
      </c>
      <c r="U293" s="74" t="e">
        <f t="shared" si="74"/>
        <v>#N/A</v>
      </c>
      <c r="V293" s="74" t="e">
        <f t="shared" si="75"/>
        <v>#N/A</v>
      </c>
      <c r="W293" s="74" t="e">
        <f t="shared" si="76"/>
        <v>#N/A</v>
      </c>
      <c r="X293" s="74" t="e">
        <f t="shared" si="77"/>
        <v>#N/A</v>
      </c>
      <c r="Y293" s="74" t="e">
        <f t="shared" si="78"/>
        <v>#N/A</v>
      </c>
    </row>
    <row r="294" spans="1:25">
      <c r="A294" s="88">
        <f>'Batch input'!A293</f>
        <v>0</v>
      </c>
      <c r="B294">
        <f>'Batch input'!B293</f>
        <v>0</v>
      </c>
      <c r="C294" t="e">
        <f>VLOOKUP($A294,Data!$D$3:$CJ$128,30,FALSE)</f>
        <v>#N/A</v>
      </c>
      <c r="D294" s="74" t="e">
        <f>VLOOKUP($A294,Data!$D$3:$CJ$128,64,FALSE)</f>
        <v>#N/A</v>
      </c>
      <c r="E294" s="74" t="e">
        <f>VLOOKUP($A294,Data!$D$3:$CJ$128,66,FALSE)</f>
        <v>#N/A</v>
      </c>
      <c r="F294" s="74" t="e">
        <f>VLOOKUP($A294,Data!$D$3:$CJ$128,67,FALSE)</f>
        <v>#N/A</v>
      </c>
      <c r="G294" s="78" t="e">
        <f>VLOOKUP($A294,Data!$D$3:$CJ$128,68,FALSE)</f>
        <v>#N/A</v>
      </c>
      <c r="H294" s="78" t="e">
        <f>VLOOKUP($A294,Data!$D$3:$CJ$128,69,FALSE)</f>
        <v>#N/A</v>
      </c>
      <c r="I294" s="74" t="e">
        <f>VLOOKUP($A294,Data!$D$3:$CJ$128,70,FALSE)</f>
        <v>#N/A</v>
      </c>
      <c r="J294" s="74" t="e">
        <f>VLOOKUP($A294,Data!$D$3:$CJ$128,71,FALSE)</f>
        <v>#N/A</v>
      </c>
      <c r="K294" s="74" t="e">
        <f>VLOOKUP($A294,Data!$D$3:$CJ$128,72,FALSE)</f>
        <v>#N/A</v>
      </c>
      <c r="L294" s="74" t="e">
        <f>VLOOKUP($A294,Data!$D$3:$CJ$128,73,FALSE)</f>
        <v>#N/A</v>
      </c>
      <c r="M294" s="74" t="e">
        <f>VLOOKUP($A294,Data!$D$3:$CJ$128,74,FALSE)</f>
        <v>#N/A</v>
      </c>
      <c r="N294" s="78" t="e">
        <f t="shared" si="67"/>
        <v>#N/A</v>
      </c>
      <c r="O294" s="78" t="e">
        <f t="shared" si="68"/>
        <v>#N/A</v>
      </c>
      <c r="P294" s="78" t="e">
        <f t="shared" si="69"/>
        <v>#N/A</v>
      </c>
      <c r="Q294" s="78" t="e">
        <f t="shared" si="70"/>
        <v>#N/A</v>
      </c>
      <c r="R294" s="78" t="e">
        <f t="shared" si="71"/>
        <v>#N/A</v>
      </c>
      <c r="S294" s="78" t="e">
        <f t="shared" si="72"/>
        <v>#N/A</v>
      </c>
      <c r="T294" s="74" t="e">
        <f t="shared" si="73"/>
        <v>#N/A</v>
      </c>
      <c r="U294" s="74" t="e">
        <f t="shared" si="74"/>
        <v>#N/A</v>
      </c>
      <c r="V294" s="74" t="e">
        <f t="shared" si="75"/>
        <v>#N/A</v>
      </c>
      <c r="W294" s="74" t="e">
        <f t="shared" si="76"/>
        <v>#N/A</v>
      </c>
      <c r="X294" s="74" t="e">
        <f t="shared" si="77"/>
        <v>#N/A</v>
      </c>
      <c r="Y294" s="74" t="e">
        <f t="shared" si="78"/>
        <v>#N/A</v>
      </c>
    </row>
    <row r="295" spans="1:25">
      <c r="A295" s="88">
        <f>'Batch input'!A294</f>
        <v>0</v>
      </c>
      <c r="B295">
        <f>'Batch input'!B294</f>
        <v>0</v>
      </c>
      <c r="C295" t="e">
        <f>VLOOKUP($A295,Data!$D$3:$CJ$128,30,FALSE)</f>
        <v>#N/A</v>
      </c>
      <c r="D295" s="74" t="e">
        <f>VLOOKUP($A295,Data!$D$3:$CJ$128,64,FALSE)</f>
        <v>#N/A</v>
      </c>
      <c r="E295" s="74" t="e">
        <f>VLOOKUP($A295,Data!$D$3:$CJ$128,66,FALSE)</f>
        <v>#N/A</v>
      </c>
      <c r="F295" s="74" t="e">
        <f>VLOOKUP($A295,Data!$D$3:$CJ$128,67,FALSE)</f>
        <v>#N/A</v>
      </c>
      <c r="G295" s="78" t="e">
        <f>VLOOKUP($A295,Data!$D$3:$CJ$128,68,FALSE)</f>
        <v>#N/A</v>
      </c>
      <c r="H295" s="78" t="e">
        <f>VLOOKUP($A295,Data!$D$3:$CJ$128,69,FALSE)</f>
        <v>#N/A</v>
      </c>
      <c r="I295" s="74" t="e">
        <f>VLOOKUP($A295,Data!$D$3:$CJ$128,70,FALSE)</f>
        <v>#N/A</v>
      </c>
      <c r="J295" s="74" t="e">
        <f>VLOOKUP($A295,Data!$D$3:$CJ$128,71,FALSE)</f>
        <v>#N/A</v>
      </c>
      <c r="K295" s="74" t="e">
        <f>VLOOKUP($A295,Data!$D$3:$CJ$128,72,FALSE)</f>
        <v>#N/A</v>
      </c>
      <c r="L295" s="74" t="e">
        <f>VLOOKUP($A295,Data!$D$3:$CJ$128,73,FALSE)</f>
        <v>#N/A</v>
      </c>
      <c r="M295" s="74" t="e">
        <f>VLOOKUP($A295,Data!$D$3:$CJ$128,74,FALSE)</f>
        <v>#N/A</v>
      </c>
      <c r="N295" s="78" t="e">
        <f t="shared" si="67"/>
        <v>#N/A</v>
      </c>
      <c r="O295" s="78" t="e">
        <f t="shared" si="68"/>
        <v>#N/A</v>
      </c>
      <c r="P295" s="78" t="e">
        <f t="shared" si="69"/>
        <v>#N/A</v>
      </c>
      <c r="Q295" s="78" t="e">
        <f t="shared" si="70"/>
        <v>#N/A</v>
      </c>
      <c r="R295" s="78" t="e">
        <f t="shared" si="71"/>
        <v>#N/A</v>
      </c>
      <c r="S295" s="78" t="e">
        <f t="shared" si="72"/>
        <v>#N/A</v>
      </c>
      <c r="T295" s="74" t="e">
        <f t="shared" si="73"/>
        <v>#N/A</v>
      </c>
      <c r="U295" s="74" t="e">
        <f t="shared" si="74"/>
        <v>#N/A</v>
      </c>
      <c r="V295" s="74" t="e">
        <f t="shared" si="75"/>
        <v>#N/A</v>
      </c>
      <c r="W295" s="74" t="e">
        <f t="shared" si="76"/>
        <v>#N/A</v>
      </c>
      <c r="X295" s="74" t="e">
        <f t="shared" si="77"/>
        <v>#N/A</v>
      </c>
      <c r="Y295" s="74" t="e">
        <f t="shared" si="78"/>
        <v>#N/A</v>
      </c>
    </row>
    <row r="296" spans="1:25">
      <c r="A296" s="88">
        <f>'Batch input'!A295</f>
        <v>0</v>
      </c>
      <c r="B296">
        <f>'Batch input'!B295</f>
        <v>0</v>
      </c>
      <c r="C296" t="e">
        <f>VLOOKUP($A296,Data!$D$3:$CJ$128,30,FALSE)</f>
        <v>#N/A</v>
      </c>
      <c r="D296" s="74" t="e">
        <f>VLOOKUP($A296,Data!$D$3:$CJ$128,64,FALSE)</f>
        <v>#N/A</v>
      </c>
      <c r="E296" s="74" t="e">
        <f>VLOOKUP($A296,Data!$D$3:$CJ$128,66,FALSE)</f>
        <v>#N/A</v>
      </c>
      <c r="F296" s="74" t="e">
        <f>VLOOKUP($A296,Data!$D$3:$CJ$128,67,FALSE)</f>
        <v>#N/A</v>
      </c>
      <c r="G296" s="78" t="e">
        <f>VLOOKUP($A296,Data!$D$3:$CJ$128,68,FALSE)</f>
        <v>#N/A</v>
      </c>
      <c r="H296" s="78" t="e">
        <f>VLOOKUP($A296,Data!$D$3:$CJ$128,69,FALSE)</f>
        <v>#N/A</v>
      </c>
      <c r="I296" s="74" t="e">
        <f>VLOOKUP($A296,Data!$D$3:$CJ$128,70,FALSE)</f>
        <v>#N/A</v>
      </c>
      <c r="J296" s="74" t="e">
        <f>VLOOKUP($A296,Data!$D$3:$CJ$128,71,FALSE)</f>
        <v>#N/A</v>
      </c>
      <c r="K296" s="74" t="e">
        <f>VLOOKUP($A296,Data!$D$3:$CJ$128,72,FALSE)</f>
        <v>#N/A</v>
      </c>
      <c r="L296" s="74" t="e">
        <f>VLOOKUP($A296,Data!$D$3:$CJ$128,73,FALSE)</f>
        <v>#N/A</v>
      </c>
      <c r="M296" s="74" t="e">
        <f>VLOOKUP($A296,Data!$D$3:$CJ$128,74,FALSE)</f>
        <v>#N/A</v>
      </c>
      <c r="N296" s="78" t="e">
        <f t="shared" si="67"/>
        <v>#N/A</v>
      </c>
      <c r="O296" s="78" t="e">
        <f t="shared" si="68"/>
        <v>#N/A</v>
      </c>
      <c r="P296" s="78" t="e">
        <f t="shared" si="69"/>
        <v>#N/A</v>
      </c>
      <c r="Q296" s="78" t="e">
        <f t="shared" si="70"/>
        <v>#N/A</v>
      </c>
      <c r="R296" s="78" t="e">
        <f t="shared" si="71"/>
        <v>#N/A</v>
      </c>
      <c r="S296" s="78" t="e">
        <f t="shared" si="72"/>
        <v>#N/A</v>
      </c>
      <c r="T296" s="74" t="e">
        <f t="shared" si="73"/>
        <v>#N/A</v>
      </c>
      <c r="U296" s="74" t="e">
        <f t="shared" si="74"/>
        <v>#N/A</v>
      </c>
      <c r="V296" s="74" t="e">
        <f t="shared" si="75"/>
        <v>#N/A</v>
      </c>
      <c r="W296" s="74" t="e">
        <f t="shared" si="76"/>
        <v>#N/A</v>
      </c>
      <c r="X296" s="74" t="e">
        <f t="shared" si="77"/>
        <v>#N/A</v>
      </c>
      <c r="Y296" s="74" t="e">
        <f t="shared" si="78"/>
        <v>#N/A</v>
      </c>
    </row>
    <row r="297" spans="1:25">
      <c r="A297" s="88">
        <f>'Batch input'!A296</f>
        <v>0</v>
      </c>
      <c r="B297">
        <f>'Batch input'!B296</f>
        <v>0</v>
      </c>
      <c r="C297" t="e">
        <f>VLOOKUP($A297,Data!$D$3:$CJ$128,30,FALSE)</f>
        <v>#N/A</v>
      </c>
      <c r="D297" s="74" t="e">
        <f>VLOOKUP($A297,Data!$D$3:$CJ$128,64,FALSE)</f>
        <v>#N/A</v>
      </c>
      <c r="E297" s="74" t="e">
        <f>VLOOKUP($A297,Data!$D$3:$CJ$128,66,FALSE)</f>
        <v>#N/A</v>
      </c>
      <c r="F297" s="74" t="e">
        <f>VLOOKUP($A297,Data!$D$3:$CJ$128,67,FALSE)</f>
        <v>#N/A</v>
      </c>
      <c r="G297" s="78" t="e">
        <f>VLOOKUP($A297,Data!$D$3:$CJ$128,68,FALSE)</f>
        <v>#N/A</v>
      </c>
      <c r="H297" s="78" t="e">
        <f>VLOOKUP($A297,Data!$D$3:$CJ$128,69,FALSE)</f>
        <v>#N/A</v>
      </c>
      <c r="I297" s="74" t="e">
        <f>VLOOKUP($A297,Data!$D$3:$CJ$128,70,FALSE)</f>
        <v>#N/A</v>
      </c>
      <c r="J297" s="74" t="e">
        <f>VLOOKUP($A297,Data!$D$3:$CJ$128,71,FALSE)</f>
        <v>#N/A</v>
      </c>
      <c r="K297" s="74" t="e">
        <f>VLOOKUP($A297,Data!$D$3:$CJ$128,72,FALSE)</f>
        <v>#N/A</v>
      </c>
      <c r="L297" s="74" t="e">
        <f>VLOOKUP($A297,Data!$D$3:$CJ$128,73,FALSE)</f>
        <v>#N/A</v>
      </c>
      <c r="M297" s="74" t="e">
        <f>VLOOKUP($A297,Data!$D$3:$CJ$128,74,FALSE)</f>
        <v>#N/A</v>
      </c>
      <c r="N297" s="78" t="e">
        <f t="shared" si="67"/>
        <v>#N/A</v>
      </c>
      <c r="O297" s="78" t="e">
        <f t="shared" si="68"/>
        <v>#N/A</v>
      </c>
      <c r="P297" s="78" t="e">
        <f t="shared" si="69"/>
        <v>#N/A</v>
      </c>
      <c r="Q297" s="78" t="e">
        <f t="shared" si="70"/>
        <v>#N/A</v>
      </c>
      <c r="R297" s="78" t="e">
        <f t="shared" si="71"/>
        <v>#N/A</v>
      </c>
      <c r="S297" s="78" t="e">
        <f t="shared" si="72"/>
        <v>#N/A</v>
      </c>
      <c r="T297" s="74" t="e">
        <f t="shared" si="73"/>
        <v>#N/A</v>
      </c>
      <c r="U297" s="74" t="e">
        <f t="shared" si="74"/>
        <v>#N/A</v>
      </c>
      <c r="V297" s="74" t="e">
        <f t="shared" si="75"/>
        <v>#N/A</v>
      </c>
      <c r="W297" s="74" t="e">
        <f t="shared" si="76"/>
        <v>#N/A</v>
      </c>
      <c r="X297" s="74" t="e">
        <f t="shared" si="77"/>
        <v>#N/A</v>
      </c>
      <c r="Y297" s="74" t="e">
        <f t="shared" si="78"/>
        <v>#N/A</v>
      </c>
    </row>
    <row r="298" spans="1:25">
      <c r="A298" s="88">
        <f>'Batch input'!A297</f>
        <v>0</v>
      </c>
      <c r="B298">
        <f>'Batch input'!B297</f>
        <v>0</v>
      </c>
      <c r="C298" t="e">
        <f>VLOOKUP($A298,Data!$D$3:$CJ$128,30,FALSE)</f>
        <v>#N/A</v>
      </c>
      <c r="D298" s="74" t="e">
        <f>VLOOKUP($A298,Data!$D$3:$CJ$128,64,FALSE)</f>
        <v>#N/A</v>
      </c>
      <c r="E298" s="74" t="e">
        <f>VLOOKUP($A298,Data!$D$3:$CJ$128,66,FALSE)</f>
        <v>#N/A</v>
      </c>
      <c r="F298" s="74" t="e">
        <f>VLOOKUP($A298,Data!$D$3:$CJ$128,67,FALSE)</f>
        <v>#N/A</v>
      </c>
      <c r="G298" s="78" t="e">
        <f>VLOOKUP($A298,Data!$D$3:$CJ$128,68,FALSE)</f>
        <v>#N/A</v>
      </c>
      <c r="H298" s="78" t="e">
        <f>VLOOKUP($A298,Data!$D$3:$CJ$128,69,FALSE)</f>
        <v>#N/A</v>
      </c>
      <c r="I298" s="74" t="e">
        <f>VLOOKUP($A298,Data!$D$3:$CJ$128,70,FALSE)</f>
        <v>#N/A</v>
      </c>
      <c r="J298" s="74" t="e">
        <f>VLOOKUP($A298,Data!$D$3:$CJ$128,71,FALSE)</f>
        <v>#N/A</v>
      </c>
      <c r="K298" s="74" t="e">
        <f>VLOOKUP($A298,Data!$D$3:$CJ$128,72,FALSE)</f>
        <v>#N/A</v>
      </c>
      <c r="L298" s="74" t="e">
        <f>VLOOKUP($A298,Data!$D$3:$CJ$128,73,FALSE)</f>
        <v>#N/A</v>
      </c>
      <c r="M298" s="74" t="e">
        <f>VLOOKUP($A298,Data!$D$3:$CJ$128,74,FALSE)</f>
        <v>#N/A</v>
      </c>
      <c r="N298" s="78" t="e">
        <f t="shared" si="67"/>
        <v>#N/A</v>
      </c>
      <c r="O298" s="78" t="e">
        <f t="shared" si="68"/>
        <v>#N/A</v>
      </c>
      <c r="P298" s="78" t="e">
        <f t="shared" si="69"/>
        <v>#N/A</v>
      </c>
      <c r="Q298" s="78" t="e">
        <f t="shared" si="70"/>
        <v>#N/A</v>
      </c>
      <c r="R298" s="78" t="e">
        <f t="shared" si="71"/>
        <v>#N/A</v>
      </c>
      <c r="S298" s="78" t="e">
        <f t="shared" si="72"/>
        <v>#N/A</v>
      </c>
      <c r="T298" s="74" t="e">
        <f t="shared" si="73"/>
        <v>#N/A</v>
      </c>
      <c r="U298" s="74" t="e">
        <f t="shared" si="74"/>
        <v>#N/A</v>
      </c>
      <c r="V298" s="74" t="e">
        <f t="shared" si="75"/>
        <v>#N/A</v>
      </c>
      <c r="W298" s="74" t="e">
        <f t="shared" si="76"/>
        <v>#N/A</v>
      </c>
      <c r="X298" s="74" t="e">
        <f t="shared" si="77"/>
        <v>#N/A</v>
      </c>
      <c r="Y298" s="74" t="e">
        <f t="shared" si="78"/>
        <v>#N/A</v>
      </c>
    </row>
    <row r="299" spans="1:25">
      <c r="A299" s="88">
        <f>'Batch input'!A298</f>
        <v>0</v>
      </c>
      <c r="B299">
        <f>'Batch input'!B298</f>
        <v>0</v>
      </c>
      <c r="C299" t="e">
        <f>VLOOKUP($A299,Data!$D$3:$CJ$128,30,FALSE)</f>
        <v>#N/A</v>
      </c>
      <c r="D299" s="74" t="e">
        <f>VLOOKUP($A299,Data!$D$3:$CJ$128,64,FALSE)</f>
        <v>#N/A</v>
      </c>
      <c r="E299" s="74" t="e">
        <f>VLOOKUP($A299,Data!$D$3:$CJ$128,66,FALSE)</f>
        <v>#N/A</v>
      </c>
      <c r="F299" s="74" t="e">
        <f>VLOOKUP($A299,Data!$D$3:$CJ$128,67,FALSE)</f>
        <v>#N/A</v>
      </c>
      <c r="G299" s="78" t="e">
        <f>VLOOKUP($A299,Data!$D$3:$CJ$128,68,FALSE)</f>
        <v>#N/A</v>
      </c>
      <c r="H299" s="78" t="e">
        <f>VLOOKUP($A299,Data!$D$3:$CJ$128,69,FALSE)</f>
        <v>#N/A</v>
      </c>
      <c r="I299" s="74" t="e">
        <f>VLOOKUP($A299,Data!$D$3:$CJ$128,70,FALSE)</f>
        <v>#N/A</v>
      </c>
      <c r="J299" s="74" t="e">
        <f>VLOOKUP($A299,Data!$D$3:$CJ$128,71,FALSE)</f>
        <v>#N/A</v>
      </c>
      <c r="K299" s="74" t="e">
        <f>VLOOKUP($A299,Data!$D$3:$CJ$128,72,FALSE)</f>
        <v>#N/A</v>
      </c>
      <c r="L299" s="74" t="e">
        <f>VLOOKUP($A299,Data!$D$3:$CJ$128,73,FALSE)</f>
        <v>#N/A</v>
      </c>
      <c r="M299" s="74" t="e">
        <f>VLOOKUP($A299,Data!$D$3:$CJ$128,74,FALSE)</f>
        <v>#N/A</v>
      </c>
      <c r="N299" s="78" t="e">
        <f t="shared" si="67"/>
        <v>#N/A</v>
      </c>
      <c r="O299" s="78" t="e">
        <f t="shared" si="68"/>
        <v>#N/A</v>
      </c>
      <c r="P299" s="78" t="e">
        <f t="shared" si="69"/>
        <v>#N/A</v>
      </c>
      <c r="Q299" s="78" t="e">
        <f t="shared" si="70"/>
        <v>#N/A</v>
      </c>
      <c r="R299" s="78" t="e">
        <f t="shared" si="71"/>
        <v>#N/A</v>
      </c>
      <c r="S299" s="78" t="e">
        <f t="shared" si="72"/>
        <v>#N/A</v>
      </c>
      <c r="T299" s="74" t="e">
        <f t="shared" si="73"/>
        <v>#N/A</v>
      </c>
      <c r="U299" s="74" t="e">
        <f t="shared" si="74"/>
        <v>#N/A</v>
      </c>
      <c r="V299" s="74" t="e">
        <f t="shared" si="75"/>
        <v>#N/A</v>
      </c>
      <c r="W299" s="74" t="e">
        <f t="shared" si="76"/>
        <v>#N/A</v>
      </c>
      <c r="X299" s="74" t="e">
        <f t="shared" si="77"/>
        <v>#N/A</v>
      </c>
      <c r="Y299" s="74" t="e">
        <f t="shared" si="78"/>
        <v>#N/A</v>
      </c>
    </row>
    <row r="300" spans="1:25">
      <c r="A300" s="88">
        <f>'Batch input'!A299</f>
        <v>0</v>
      </c>
      <c r="B300">
        <f>'Batch input'!B299</f>
        <v>0</v>
      </c>
      <c r="C300" t="e">
        <f>VLOOKUP($A300,Data!$D$3:$CJ$128,30,FALSE)</f>
        <v>#N/A</v>
      </c>
      <c r="D300" s="74" t="e">
        <f>VLOOKUP($A300,Data!$D$3:$CJ$128,64,FALSE)</f>
        <v>#N/A</v>
      </c>
      <c r="E300" s="74" t="e">
        <f>VLOOKUP($A300,Data!$D$3:$CJ$128,66,FALSE)</f>
        <v>#N/A</v>
      </c>
      <c r="F300" s="74" t="e">
        <f>VLOOKUP($A300,Data!$D$3:$CJ$128,67,FALSE)</f>
        <v>#N/A</v>
      </c>
      <c r="G300" s="78" t="e">
        <f>VLOOKUP($A300,Data!$D$3:$CJ$128,68,FALSE)</f>
        <v>#N/A</v>
      </c>
      <c r="H300" s="78" t="e">
        <f>VLOOKUP($A300,Data!$D$3:$CJ$128,69,FALSE)</f>
        <v>#N/A</v>
      </c>
      <c r="I300" s="74" t="e">
        <f>VLOOKUP($A300,Data!$D$3:$CJ$128,70,FALSE)</f>
        <v>#N/A</v>
      </c>
      <c r="J300" s="74" t="e">
        <f>VLOOKUP($A300,Data!$D$3:$CJ$128,71,FALSE)</f>
        <v>#N/A</v>
      </c>
      <c r="K300" s="74" t="e">
        <f>VLOOKUP($A300,Data!$D$3:$CJ$128,72,FALSE)</f>
        <v>#N/A</v>
      </c>
      <c r="L300" s="74" t="e">
        <f>VLOOKUP($A300,Data!$D$3:$CJ$128,73,FALSE)</f>
        <v>#N/A</v>
      </c>
      <c r="M300" s="74" t="e">
        <f>VLOOKUP($A300,Data!$D$3:$CJ$128,74,FALSE)</f>
        <v>#N/A</v>
      </c>
      <c r="N300" s="78" t="e">
        <f t="shared" si="67"/>
        <v>#N/A</v>
      </c>
      <c r="O300" s="78" t="e">
        <f t="shared" si="68"/>
        <v>#N/A</v>
      </c>
      <c r="P300" s="78" t="e">
        <f t="shared" si="69"/>
        <v>#N/A</v>
      </c>
      <c r="Q300" s="78" t="e">
        <f t="shared" si="70"/>
        <v>#N/A</v>
      </c>
      <c r="R300" s="78" t="e">
        <f t="shared" si="71"/>
        <v>#N/A</v>
      </c>
      <c r="S300" s="78" t="e">
        <f t="shared" si="72"/>
        <v>#N/A</v>
      </c>
      <c r="T300" s="74" t="e">
        <f t="shared" si="73"/>
        <v>#N/A</v>
      </c>
      <c r="U300" s="74" t="e">
        <f t="shared" si="74"/>
        <v>#N/A</v>
      </c>
      <c r="V300" s="74" t="e">
        <f t="shared" si="75"/>
        <v>#N/A</v>
      </c>
      <c r="W300" s="74" t="e">
        <f t="shared" si="76"/>
        <v>#N/A</v>
      </c>
      <c r="X300" s="74" t="e">
        <f t="shared" si="77"/>
        <v>#N/A</v>
      </c>
      <c r="Y300" s="74" t="e">
        <f t="shared" si="78"/>
        <v>#N/A</v>
      </c>
    </row>
    <row r="301" spans="1:25">
      <c r="A301" s="88">
        <f>'Batch input'!A300</f>
        <v>0</v>
      </c>
      <c r="B301">
        <f>'Batch input'!B300</f>
        <v>0</v>
      </c>
      <c r="C301" t="e">
        <f>VLOOKUP($A301,Data!$D$3:$CJ$128,30,FALSE)</f>
        <v>#N/A</v>
      </c>
      <c r="D301" s="74" t="e">
        <f>VLOOKUP($A301,Data!$D$3:$CJ$128,64,FALSE)</f>
        <v>#N/A</v>
      </c>
      <c r="E301" s="74" t="e">
        <f>VLOOKUP($A301,Data!$D$3:$CJ$128,66,FALSE)</f>
        <v>#N/A</v>
      </c>
      <c r="F301" s="74" t="e">
        <f>VLOOKUP($A301,Data!$D$3:$CJ$128,67,FALSE)</f>
        <v>#N/A</v>
      </c>
      <c r="G301" s="78" t="e">
        <f>VLOOKUP($A301,Data!$D$3:$CJ$128,68,FALSE)</f>
        <v>#N/A</v>
      </c>
      <c r="H301" s="78" t="e">
        <f>VLOOKUP($A301,Data!$D$3:$CJ$128,69,FALSE)</f>
        <v>#N/A</v>
      </c>
      <c r="I301" s="74" t="e">
        <f>VLOOKUP($A301,Data!$D$3:$CJ$128,70,FALSE)</f>
        <v>#N/A</v>
      </c>
      <c r="J301" s="74" t="e">
        <f>VLOOKUP($A301,Data!$D$3:$CJ$128,71,FALSE)</f>
        <v>#N/A</v>
      </c>
      <c r="K301" s="74" t="e">
        <f>VLOOKUP($A301,Data!$D$3:$CJ$128,72,FALSE)</f>
        <v>#N/A</v>
      </c>
      <c r="L301" s="74" t="e">
        <f>VLOOKUP($A301,Data!$D$3:$CJ$128,73,FALSE)</f>
        <v>#N/A</v>
      </c>
      <c r="M301" s="74" t="e">
        <f>VLOOKUP($A301,Data!$D$3:$CJ$128,74,FALSE)</f>
        <v>#N/A</v>
      </c>
      <c r="N301" s="78" t="e">
        <f t="shared" si="67"/>
        <v>#N/A</v>
      </c>
      <c r="O301" s="78" t="e">
        <f t="shared" si="68"/>
        <v>#N/A</v>
      </c>
      <c r="P301" s="78" t="e">
        <f t="shared" si="69"/>
        <v>#N/A</v>
      </c>
      <c r="Q301" s="78" t="e">
        <f t="shared" si="70"/>
        <v>#N/A</v>
      </c>
      <c r="R301" s="78" t="e">
        <f t="shared" si="71"/>
        <v>#N/A</v>
      </c>
      <c r="S301" s="78" t="e">
        <f t="shared" si="72"/>
        <v>#N/A</v>
      </c>
      <c r="T301" s="74" t="e">
        <f t="shared" si="73"/>
        <v>#N/A</v>
      </c>
      <c r="U301" s="74" t="e">
        <f t="shared" si="74"/>
        <v>#N/A</v>
      </c>
      <c r="V301" s="74" t="e">
        <f t="shared" si="75"/>
        <v>#N/A</v>
      </c>
      <c r="W301" s="74" t="e">
        <f t="shared" si="76"/>
        <v>#N/A</v>
      </c>
      <c r="X301" s="74" t="e">
        <f t="shared" si="77"/>
        <v>#N/A</v>
      </c>
      <c r="Y301" s="74" t="e">
        <f t="shared" si="78"/>
        <v>#N/A</v>
      </c>
    </row>
    <row r="302" spans="1:25">
      <c r="A302" s="88">
        <f>'Batch input'!A301</f>
        <v>0</v>
      </c>
      <c r="B302">
        <f>'Batch input'!B301</f>
        <v>0</v>
      </c>
      <c r="C302" t="e">
        <f>VLOOKUP($A302,Data!$D$3:$CJ$128,30,FALSE)</f>
        <v>#N/A</v>
      </c>
      <c r="D302" s="74" t="e">
        <f>VLOOKUP($A302,Data!$D$3:$CJ$128,64,FALSE)</f>
        <v>#N/A</v>
      </c>
      <c r="E302" s="74" t="e">
        <f>VLOOKUP($A302,Data!$D$3:$CJ$128,66,FALSE)</f>
        <v>#N/A</v>
      </c>
      <c r="F302" s="74" t="e">
        <f>VLOOKUP($A302,Data!$D$3:$CJ$128,67,FALSE)</f>
        <v>#N/A</v>
      </c>
      <c r="G302" s="78" t="e">
        <f>VLOOKUP($A302,Data!$D$3:$CJ$128,68,FALSE)</f>
        <v>#N/A</v>
      </c>
      <c r="H302" s="78" t="e">
        <f>VLOOKUP($A302,Data!$D$3:$CJ$128,69,FALSE)</f>
        <v>#N/A</v>
      </c>
      <c r="I302" s="74" t="e">
        <f>VLOOKUP($A302,Data!$D$3:$CJ$128,70,FALSE)</f>
        <v>#N/A</v>
      </c>
      <c r="J302" s="74" t="e">
        <f>VLOOKUP($A302,Data!$D$3:$CJ$128,71,FALSE)</f>
        <v>#N/A</v>
      </c>
      <c r="K302" s="74" t="e">
        <f>VLOOKUP($A302,Data!$D$3:$CJ$128,72,FALSE)</f>
        <v>#N/A</v>
      </c>
      <c r="L302" s="74" t="e">
        <f>VLOOKUP($A302,Data!$D$3:$CJ$128,73,FALSE)</f>
        <v>#N/A</v>
      </c>
      <c r="M302" s="74" t="e">
        <f>VLOOKUP($A302,Data!$D$3:$CJ$128,74,FALSE)</f>
        <v>#N/A</v>
      </c>
      <c r="N302" s="78" t="e">
        <f t="shared" si="67"/>
        <v>#N/A</v>
      </c>
      <c r="O302" s="78" t="e">
        <f t="shared" si="68"/>
        <v>#N/A</v>
      </c>
      <c r="P302" s="78" t="e">
        <f t="shared" si="69"/>
        <v>#N/A</v>
      </c>
      <c r="Q302" s="78" t="e">
        <f t="shared" si="70"/>
        <v>#N/A</v>
      </c>
      <c r="R302" s="78" t="e">
        <f t="shared" si="71"/>
        <v>#N/A</v>
      </c>
      <c r="S302" s="78" t="e">
        <f t="shared" si="72"/>
        <v>#N/A</v>
      </c>
      <c r="T302" s="74" t="e">
        <f t="shared" si="73"/>
        <v>#N/A</v>
      </c>
      <c r="U302" s="74" t="e">
        <f t="shared" si="74"/>
        <v>#N/A</v>
      </c>
      <c r="V302" s="74" t="e">
        <f t="shared" si="75"/>
        <v>#N/A</v>
      </c>
      <c r="W302" s="74" t="e">
        <f t="shared" si="76"/>
        <v>#N/A</v>
      </c>
      <c r="X302" s="74" t="e">
        <f t="shared" si="77"/>
        <v>#N/A</v>
      </c>
      <c r="Y302" s="74" t="e">
        <f t="shared" si="78"/>
        <v>#N/A</v>
      </c>
    </row>
    <row r="303" spans="1:25">
      <c r="A303" s="88">
        <f>'Batch input'!A302</f>
        <v>0</v>
      </c>
      <c r="B303">
        <f>'Batch input'!B302</f>
        <v>0</v>
      </c>
      <c r="C303" t="e">
        <f>VLOOKUP($A303,Data!$D$3:$CJ$128,30,FALSE)</f>
        <v>#N/A</v>
      </c>
      <c r="D303" s="74" t="e">
        <f>VLOOKUP($A303,Data!$D$3:$CJ$128,64,FALSE)</f>
        <v>#N/A</v>
      </c>
      <c r="E303" s="74" t="e">
        <f>VLOOKUP($A303,Data!$D$3:$CJ$128,66,FALSE)</f>
        <v>#N/A</v>
      </c>
      <c r="F303" s="74" t="e">
        <f>VLOOKUP($A303,Data!$D$3:$CJ$128,67,FALSE)</f>
        <v>#N/A</v>
      </c>
      <c r="G303" s="78" t="e">
        <f>VLOOKUP($A303,Data!$D$3:$CJ$128,68,FALSE)</f>
        <v>#N/A</v>
      </c>
      <c r="H303" s="78" t="e">
        <f>VLOOKUP($A303,Data!$D$3:$CJ$128,69,FALSE)</f>
        <v>#N/A</v>
      </c>
      <c r="I303" s="74" t="e">
        <f>VLOOKUP($A303,Data!$D$3:$CJ$128,70,FALSE)</f>
        <v>#N/A</v>
      </c>
      <c r="J303" s="74" t="e">
        <f>VLOOKUP($A303,Data!$D$3:$CJ$128,71,FALSE)</f>
        <v>#N/A</v>
      </c>
      <c r="K303" s="74" t="e">
        <f>VLOOKUP($A303,Data!$D$3:$CJ$128,72,FALSE)</f>
        <v>#N/A</v>
      </c>
      <c r="L303" s="74" t="e">
        <f>VLOOKUP($A303,Data!$D$3:$CJ$128,73,FALSE)</f>
        <v>#N/A</v>
      </c>
      <c r="M303" s="74" t="e">
        <f>VLOOKUP($A303,Data!$D$3:$CJ$128,74,FALSE)</f>
        <v>#N/A</v>
      </c>
      <c r="N303" s="78" t="e">
        <f t="shared" si="67"/>
        <v>#N/A</v>
      </c>
      <c r="O303" s="78" t="e">
        <f t="shared" si="68"/>
        <v>#N/A</v>
      </c>
      <c r="P303" s="78" t="e">
        <f t="shared" si="69"/>
        <v>#N/A</v>
      </c>
      <c r="Q303" s="78" t="e">
        <f t="shared" si="70"/>
        <v>#N/A</v>
      </c>
      <c r="R303" s="78" t="e">
        <f t="shared" si="71"/>
        <v>#N/A</v>
      </c>
      <c r="S303" s="78" t="e">
        <f t="shared" si="72"/>
        <v>#N/A</v>
      </c>
      <c r="T303" s="74" t="e">
        <f t="shared" si="73"/>
        <v>#N/A</v>
      </c>
      <c r="U303" s="74" t="e">
        <f t="shared" si="74"/>
        <v>#N/A</v>
      </c>
      <c r="V303" s="74" t="e">
        <f t="shared" si="75"/>
        <v>#N/A</v>
      </c>
      <c r="W303" s="74" t="e">
        <f t="shared" si="76"/>
        <v>#N/A</v>
      </c>
      <c r="X303" s="74" t="e">
        <f t="shared" si="77"/>
        <v>#N/A</v>
      </c>
      <c r="Y303" s="74" t="e">
        <f t="shared" si="78"/>
        <v>#N/A</v>
      </c>
    </row>
    <row r="304" spans="1:25">
      <c r="A304" s="88">
        <f>'Batch input'!A303</f>
        <v>0</v>
      </c>
      <c r="B304">
        <f>'Batch input'!B303</f>
        <v>0</v>
      </c>
      <c r="C304" t="e">
        <f>VLOOKUP($A304,Data!$D$3:$CJ$128,30,FALSE)</f>
        <v>#N/A</v>
      </c>
      <c r="D304" s="74" t="e">
        <f>VLOOKUP($A304,Data!$D$3:$CJ$128,64,FALSE)</f>
        <v>#N/A</v>
      </c>
      <c r="E304" s="74" t="e">
        <f>VLOOKUP($A304,Data!$D$3:$CJ$128,66,FALSE)</f>
        <v>#N/A</v>
      </c>
      <c r="F304" s="74" t="e">
        <f>VLOOKUP($A304,Data!$D$3:$CJ$128,67,FALSE)</f>
        <v>#N/A</v>
      </c>
      <c r="G304" s="78" t="e">
        <f>VLOOKUP($A304,Data!$D$3:$CJ$128,68,FALSE)</f>
        <v>#N/A</v>
      </c>
      <c r="H304" s="78" t="e">
        <f>VLOOKUP($A304,Data!$D$3:$CJ$128,69,FALSE)</f>
        <v>#N/A</v>
      </c>
      <c r="I304" s="74" t="e">
        <f>VLOOKUP($A304,Data!$D$3:$CJ$128,70,FALSE)</f>
        <v>#N/A</v>
      </c>
      <c r="J304" s="74" t="e">
        <f>VLOOKUP($A304,Data!$D$3:$CJ$128,71,FALSE)</f>
        <v>#N/A</v>
      </c>
      <c r="K304" s="74" t="e">
        <f>VLOOKUP($A304,Data!$D$3:$CJ$128,72,FALSE)</f>
        <v>#N/A</v>
      </c>
      <c r="L304" s="74" t="e">
        <f>VLOOKUP($A304,Data!$D$3:$CJ$128,73,FALSE)</f>
        <v>#N/A</v>
      </c>
      <c r="M304" s="74" t="e">
        <f>VLOOKUP($A304,Data!$D$3:$CJ$128,74,FALSE)</f>
        <v>#N/A</v>
      </c>
      <c r="N304" s="78" t="e">
        <f t="shared" si="67"/>
        <v>#N/A</v>
      </c>
      <c r="O304" s="78" t="e">
        <f t="shared" si="68"/>
        <v>#N/A</v>
      </c>
      <c r="P304" s="78" t="e">
        <f t="shared" si="69"/>
        <v>#N/A</v>
      </c>
      <c r="Q304" s="78" t="e">
        <f t="shared" si="70"/>
        <v>#N/A</v>
      </c>
      <c r="R304" s="78" t="e">
        <f t="shared" si="71"/>
        <v>#N/A</v>
      </c>
      <c r="S304" s="78" t="e">
        <f t="shared" si="72"/>
        <v>#N/A</v>
      </c>
      <c r="T304" s="74" t="e">
        <f t="shared" si="73"/>
        <v>#N/A</v>
      </c>
      <c r="U304" s="74" t="e">
        <f t="shared" si="74"/>
        <v>#N/A</v>
      </c>
      <c r="V304" s="74" t="e">
        <f t="shared" si="75"/>
        <v>#N/A</v>
      </c>
      <c r="W304" s="74" t="e">
        <f t="shared" si="76"/>
        <v>#N/A</v>
      </c>
      <c r="X304" s="74" t="e">
        <f t="shared" si="77"/>
        <v>#N/A</v>
      </c>
      <c r="Y304" s="74" t="e">
        <f t="shared" si="78"/>
        <v>#N/A</v>
      </c>
    </row>
    <row r="305" spans="1:25">
      <c r="A305" s="88">
        <f>'Batch input'!A304</f>
        <v>0</v>
      </c>
      <c r="B305">
        <f>'Batch input'!B304</f>
        <v>0</v>
      </c>
      <c r="C305" t="e">
        <f>VLOOKUP($A305,Data!$D$3:$CJ$128,30,FALSE)</f>
        <v>#N/A</v>
      </c>
      <c r="D305" s="74" t="e">
        <f>VLOOKUP($A305,Data!$D$3:$CJ$128,64,FALSE)</f>
        <v>#N/A</v>
      </c>
      <c r="E305" s="74" t="e">
        <f>VLOOKUP($A305,Data!$D$3:$CJ$128,66,FALSE)</f>
        <v>#N/A</v>
      </c>
      <c r="F305" s="74" t="e">
        <f>VLOOKUP($A305,Data!$D$3:$CJ$128,67,FALSE)</f>
        <v>#N/A</v>
      </c>
      <c r="G305" s="78" t="e">
        <f>VLOOKUP($A305,Data!$D$3:$CJ$128,68,FALSE)</f>
        <v>#N/A</v>
      </c>
      <c r="H305" s="78" t="e">
        <f>VLOOKUP($A305,Data!$D$3:$CJ$128,69,FALSE)</f>
        <v>#N/A</v>
      </c>
      <c r="I305" s="74" t="e">
        <f>VLOOKUP($A305,Data!$D$3:$CJ$128,70,FALSE)</f>
        <v>#N/A</v>
      </c>
      <c r="J305" s="74" t="e">
        <f>VLOOKUP($A305,Data!$D$3:$CJ$128,71,FALSE)</f>
        <v>#N/A</v>
      </c>
      <c r="K305" s="74" t="e">
        <f>VLOOKUP($A305,Data!$D$3:$CJ$128,72,FALSE)</f>
        <v>#N/A</v>
      </c>
      <c r="L305" s="74" t="e">
        <f>VLOOKUP($A305,Data!$D$3:$CJ$128,73,FALSE)</f>
        <v>#N/A</v>
      </c>
      <c r="M305" s="74" t="e">
        <f>VLOOKUP($A305,Data!$D$3:$CJ$128,74,FALSE)</f>
        <v>#N/A</v>
      </c>
      <c r="N305" s="78" t="e">
        <f t="shared" si="67"/>
        <v>#N/A</v>
      </c>
      <c r="O305" s="78" t="e">
        <f t="shared" si="68"/>
        <v>#N/A</v>
      </c>
      <c r="P305" s="78" t="e">
        <f t="shared" si="69"/>
        <v>#N/A</v>
      </c>
      <c r="Q305" s="78" t="e">
        <f t="shared" si="70"/>
        <v>#N/A</v>
      </c>
      <c r="R305" s="78" t="e">
        <f t="shared" si="71"/>
        <v>#N/A</v>
      </c>
      <c r="S305" s="78" t="e">
        <f t="shared" si="72"/>
        <v>#N/A</v>
      </c>
      <c r="T305" s="74" t="e">
        <f t="shared" si="73"/>
        <v>#N/A</v>
      </c>
      <c r="U305" s="74" t="e">
        <f t="shared" si="74"/>
        <v>#N/A</v>
      </c>
      <c r="V305" s="74" t="e">
        <f t="shared" si="75"/>
        <v>#N/A</v>
      </c>
      <c r="W305" s="74" t="e">
        <f t="shared" si="76"/>
        <v>#N/A</v>
      </c>
      <c r="X305" s="74" t="e">
        <f t="shared" si="77"/>
        <v>#N/A</v>
      </c>
      <c r="Y305" s="74" t="e">
        <f t="shared" si="78"/>
        <v>#N/A</v>
      </c>
    </row>
    <row r="306" spans="1:25">
      <c r="A306" s="88">
        <f>'Batch input'!A305</f>
        <v>0</v>
      </c>
      <c r="B306">
        <f>'Batch input'!B305</f>
        <v>0</v>
      </c>
      <c r="C306" t="e">
        <f>VLOOKUP($A306,Data!$D$3:$CJ$128,30,FALSE)</f>
        <v>#N/A</v>
      </c>
      <c r="D306" s="74" t="e">
        <f>VLOOKUP($A306,Data!$D$3:$CJ$128,64,FALSE)</f>
        <v>#N/A</v>
      </c>
      <c r="E306" s="74" t="e">
        <f>VLOOKUP($A306,Data!$D$3:$CJ$128,66,FALSE)</f>
        <v>#N/A</v>
      </c>
      <c r="F306" s="74" t="e">
        <f>VLOOKUP($A306,Data!$D$3:$CJ$128,67,FALSE)</f>
        <v>#N/A</v>
      </c>
      <c r="G306" s="78" t="e">
        <f>VLOOKUP($A306,Data!$D$3:$CJ$128,68,FALSE)</f>
        <v>#N/A</v>
      </c>
      <c r="H306" s="78" t="e">
        <f>VLOOKUP($A306,Data!$D$3:$CJ$128,69,FALSE)</f>
        <v>#N/A</v>
      </c>
      <c r="I306" s="74" t="e">
        <f>VLOOKUP($A306,Data!$D$3:$CJ$128,70,FALSE)</f>
        <v>#N/A</v>
      </c>
      <c r="J306" s="74" t="e">
        <f>VLOOKUP($A306,Data!$D$3:$CJ$128,71,FALSE)</f>
        <v>#N/A</v>
      </c>
      <c r="K306" s="74" t="e">
        <f>VLOOKUP($A306,Data!$D$3:$CJ$128,72,FALSE)</f>
        <v>#N/A</v>
      </c>
      <c r="L306" s="74" t="e">
        <f>VLOOKUP($A306,Data!$D$3:$CJ$128,73,FALSE)</f>
        <v>#N/A</v>
      </c>
      <c r="M306" s="74" t="e">
        <f>VLOOKUP($A306,Data!$D$3:$CJ$128,74,FALSE)</f>
        <v>#N/A</v>
      </c>
      <c r="N306" s="78" t="e">
        <f t="shared" si="67"/>
        <v>#N/A</v>
      </c>
      <c r="O306" s="78" t="e">
        <f t="shared" si="68"/>
        <v>#N/A</v>
      </c>
      <c r="P306" s="78" t="e">
        <f t="shared" si="69"/>
        <v>#N/A</v>
      </c>
      <c r="Q306" s="78" t="e">
        <f t="shared" si="70"/>
        <v>#N/A</v>
      </c>
      <c r="R306" s="78" t="e">
        <f t="shared" si="71"/>
        <v>#N/A</v>
      </c>
      <c r="S306" s="78" t="e">
        <f t="shared" si="72"/>
        <v>#N/A</v>
      </c>
      <c r="T306" s="74" t="e">
        <f t="shared" si="73"/>
        <v>#N/A</v>
      </c>
      <c r="U306" s="74" t="e">
        <f t="shared" si="74"/>
        <v>#N/A</v>
      </c>
      <c r="V306" s="74" t="e">
        <f t="shared" si="75"/>
        <v>#N/A</v>
      </c>
      <c r="W306" s="74" t="e">
        <f t="shared" si="76"/>
        <v>#N/A</v>
      </c>
      <c r="X306" s="74" t="e">
        <f t="shared" si="77"/>
        <v>#N/A</v>
      </c>
      <c r="Y306" s="74" t="e">
        <f t="shared" si="78"/>
        <v>#N/A</v>
      </c>
    </row>
    <row r="307" spans="1:25">
      <c r="A307" s="88">
        <f>'Batch input'!A306</f>
        <v>0</v>
      </c>
      <c r="B307">
        <f>'Batch input'!B306</f>
        <v>0</v>
      </c>
      <c r="C307" t="e">
        <f>VLOOKUP($A307,Data!$D$3:$CJ$128,30,FALSE)</f>
        <v>#N/A</v>
      </c>
      <c r="D307" s="74" t="e">
        <f>VLOOKUP($A307,Data!$D$3:$CJ$128,64,FALSE)</f>
        <v>#N/A</v>
      </c>
      <c r="E307" s="74" t="e">
        <f>VLOOKUP($A307,Data!$D$3:$CJ$128,66,FALSE)</f>
        <v>#N/A</v>
      </c>
      <c r="F307" s="74" t="e">
        <f>VLOOKUP($A307,Data!$D$3:$CJ$128,67,FALSE)</f>
        <v>#N/A</v>
      </c>
      <c r="G307" s="78" t="e">
        <f>VLOOKUP($A307,Data!$D$3:$CJ$128,68,FALSE)</f>
        <v>#N/A</v>
      </c>
      <c r="H307" s="78" t="e">
        <f>VLOOKUP($A307,Data!$D$3:$CJ$128,69,FALSE)</f>
        <v>#N/A</v>
      </c>
      <c r="I307" s="74" t="e">
        <f>VLOOKUP($A307,Data!$D$3:$CJ$128,70,FALSE)</f>
        <v>#N/A</v>
      </c>
      <c r="J307" s="74" t="e">
        <f>VLOOKUP($A307,Data!$D$3:$CJ$128,71,FALSE)</f>
        <v>#N/A</v>
      </c>
      <c r="K307" s="74" t="e">
        <f>VLOOKUP($A307,Data!$D$3:$CJ$128,72,FALSE)</f>
        <v>#N/A</v>
      </c>
      <c r="L307" s="74" t="e">
        <f>VLOOKUP($A307,Data!$D$3:$CJ$128,73,FALSE)</f>
        <v>#N/A</v>
      </c>
      <c r="M307" s="74" t="e">
        <f>VLOOKUP($A307,Data!$D$3:$CJ$128,74,FALSE)</f>
        <v>#N/A</v>
      </c>
      <c r="N307" s="78" t="e">
        <f t="shared" si="67"/>
        <v>#N/A</v>
      </c>
      <c r="O307" s="78" t="e">
        <f t="shared" si="68"/>
        <v>#N/A</v>
      </c>
      <c r="P307" s="78" t="e">
        <f t="shared" si="69"/>
        <v>#N/A</v>
      </c>
      <c r="Q307" s="78" t="e">
        <f t="shared" si="70"/>
        <v>#N/A</v>
      </c>
      <c r="R307" s="78" t="e">
        <f t="shared" si="71"/>
        <v>#N/A</v>
      </c>
      <c r="S307" s="78" t="e">
        <f t="shared" si="72"/>
        <v>#N/A</v>
      </c>
      <c r="T307" s="74" t="e">
        <f t="shared" si="73"/>
        <v>#N/A</v>
      </c>
      <c r="U307" s="74" t="e">
        <f t="shared" si="74"/>
        <v>#N/A</v>
      </c>
      <c r="V307" s="74" t="e">
        <f t="shared" si="75"/>
        <v>#N/A</v>
      </c>
      <c r="W307" s="74" t="e">
        <f t="shared" si="76"/>
        <v>#N/A</v>
      </c>
      <c r="X307" s="74" t="e">
        <f t="shared" si="77"/>
        <v>#N/A</v>
      </c>
      <c r="Y307" s="74" t="e">
        <f t="shared" si="78"/>
        <v>#N/A</v>
      </c>
    </row>
    <row r="308" spans="1:25">
      <c r="A308" s="88">
        <f>'Batch input'!A307</f>
        <v>0</v>
      </c>
      <c r="B308">
        <f>'Batch input'!B307</f>
        <v>0</v>
      </c>
      <c r="C308" t="e">
        <f>VLOOKUP($A308,Data!$D$3:$CJ$128,30,FALSE)</f>
        <v>#N/A</v>
      </c>
      <c r="D308" s="74" t="e">
        <f>VLOOKUP($A308,Data!$D$3:$CJ$128,64,FALSE)</f>
        <v>#N/A</v>
      </c>
      <c r="E308" s="74" t="e">
        <f>VLOOKUP($A308,Data!$D$3:$CJ$128,66,FALSE)</f>
        <v>#N/A</v>
      </c>
      <c r="F308" s="74" t="e">
        <f>VLOOKUP($A308,Data!$D$3:$CJ$128,67,FALSE)</f>
        <v>#N/A</v>
      </c>
      <c r="G308" s="78" t="e">
        <f>VLOOKUP($A308,Data!$D$3:$CJ$128,68,FALSE)</f>
        <v>#N/A</v>
      </c>
      <c r="H308" s="78" t="e">
        <f>VLOOKUP($A308,Data!$D$3:$CJ$128,69,FALSE)</f>
        <v>#N/A</v>
      </c>
      <c r="I308" s="74" t="e">
        <f>VLOOKUP($A308,Data!$D$3:$CJ$128,70,FALSE)</f>
        <v>#N/A</v>
      </c>
      <c r="J308" s="74" t="e">
        <f>VLOOKUP($A308,Data!$D$3:$CJ$128,71,FALSE)</f>
        <v>#N/A</v>
      </c>
      <c r="K308" s="74" t="e">
        <f>VLOOKUP($A308,Data!$D$3:$CJ$128,72,FALSE)</f>
        <v>#N/A</v>
      </c>
      <c r="L308" s="74" t="e">
        <f>VLOOKUP($A308,Data!$D$3:$CJ$128,73,FALSE)</f>
        <v>#N/A</v>
      </c>
      <c r="M308" s="74" t="e">
        <f>VLOOKUP($A308,Data!$D$3:$CJ$128,74,FALSE)</f>
        <v>#N/A</v>
      </c>
      <c r="N308" s="78" t="e">
        <f t="shared" si="67"/>
        <v>#N/A</v>
      </c>
      <c r="O308" s="78" t="e">
        <f t="shared" si="68"/>
        <v>#N/A</v>
      </c>
      <c r="P308" s="78" t="e">
        <f t="shared" si="69"/>
        <v>#N/A</v>
      </c>
      <c r="Q308" s="78" t="e">
        <f t="shared" si="70"/>
        <v>#N/A</v>
      </c>
      <c r="R308" s="78" t="e">
        <f t="shared" si="71"/>
        <v>#N/A</v>
      </c>
      <c r="S308" s="78" t="e">
        <f t="shared" si="72"/>
        <v>#N/A</v>
      </c>
      <c r="T308" s="74" t="e">
        <f t="shared" si="73"/>
        <v>#N/A</v>
      </c>
      <c r="U308" s="74" t="e">
        <f t="shared" si="74"/>
        <v>#N/A</v>
      </c>
      <c r="V308" s="74" t="e">
        <f t="shared" si="75"/>
        <v>#N/A</v>
      </c>
      <c r="W308" s="74" t="e">
        <f t="shared" si="76"/>
        <v>#N/A</v>
      </c>
      <c r="X308" s="74" t="e">
        <f t="shared" si="77"/>
        <v>#N/A</v>
      </c>
      <c r="Y308" s="74" t="e">
        <f t="shared" si="78"/>
        <v>#N/A</v>
      </c>
    </row>
    <row r="309" spans="1:25">
      <c r="A309" s="88">
        <f>'Batch input'!A308</f>
        <v>0</v>
      </c>
      <c r="B309">
        <f>'Batch input'!B308</f>
        <v>0</v>
      </c>
      <c r="C309" t="e">
        <f>VLOOKUP($A309,Data!$D$3:$CJ$128,30,FALSE)</f>
        <v>#N/A</v>
      </c>
      <c r="D309" s="74" t="e">
        <f>VLOOKUP($A309,Data!$D$3:$CJ$128,64,FALSE)</f>
        <v>#N/A</v>
      </c>
      <c r="E309" s="74" t="e">
        <f>VLOOKUP($A309,Data!$D$3:$CJ$128,66,FALSE)</f>
        <v>#N/A</v>
      </c>
      <c r="F309" s="74" t="e">
        <f>VLOOKUP($A309,Data!$D$3:$CJ$128,67,FALSE)</f>
        <v>#N/A</v>
      </c>
      <c r="G309" s="78" t="e">
        <f>VLOOKUP($A309,Data!$D$3:$CJ$128,68,FALSE)</f>
        <v>#N/A</v>
      </c>
      <c r="H309" s="78" t="e">
        <f>VLOOKUP($A309,Data!$D$3:$CJ$128,69,FALSE)</f>
        <v>#N/A</v>
      </c>
      <c r="I309" s="74" t="e">
        <f>VLOOKUP($A309,Data!$D$3:$CJ$128,70,FALSE)</f>
        <v>#N/A</v>
      </c>
      <c r="J309" s="74" t="e">
        <f>VLOOKUP($A309,Data!$D$3:$CJ$128,71,FALSE)</f>
        <v>#N/A</v>
      </c>
      <c r="K309" s="74" t="e">
        <f>VLOOKUP($A309,Data!$D$3:$CJ$128,72,FALSE)</f>
        <v>#N/A</v>
      </c>
      <c r="L309" s="74" t="e">
        <f>VLOOKUP($A309,Data!$D$3:$CJ$128,73,FALSE)</f>
        <v>#N/A</v>
      </c>
      <c r="M309" s="74" t="e">
        <f>VLOOKUP($A309,Data!$D$3:$CJ$128,74,FALSE)</f>
        <v>#N/A</v>
      </c>
      <c r="N309" s="78" t="e">
        <f t="shared" si="67"/>
        <v>#N/A</v>
      </c>
      <c r="O309" s="78" t="e">
        <f t="shared" si="68"/>
        <v>#N/A</v>
      </c>
      <c r="P309" s="78" t="e">
        <f t="shared" si="69"/>
        <v>#N/A</v>
      </c>
      <c r="Q309" s="78" t="e">
        <f t="shared" si="70"/>
        <v>#N/A</v>
      </c>
      <c r="R309" s="78" t="e">
        <f t="shared" si="71"/>
        <v>#N/A</v>
      </c>
      <c r="S309" s="78" t="e">
        <f t="shared" si="72"/>
        <v>#N/A</v>
      </c>
      <c r="T309" s="74" t="e">
        <f t="shared" si="73"/>
        <v>#N/A</v>
      </c>
      <c r="U309" s="74" t="e">
        <f t="shared" si="74"/>
        <v>#N/A</v>
      </c>
      <c r="V309" s="74" t="e">
        <f t="shared" si="75"/>
        <v>#N/A</v>
      </c>
      <c r="W309" s="74" t="e">
        <f t="shared" si="76"/>
        <v>#N/A</v>
      </c>
      <c r="X309" s="74" t="e">
        <f t="shared" si="77"/>
        <v>#N/A</v>
      </c>
      <c r="Y309" s="74" t="e">
        <f t="shared" si="78"/>
        <v>#N/A</v>
      </c>
    </row>
    <row r="310" spans="1:25">
      <c r="A310" s="88">
        <f>'Batch input'!A309</f>
        <v>0</v>
      </c>
      <c r="B310">
        <f>'Batch input'!B309</f>
        <v>0</v>
      </c>
      <c r="C310" t="e">
        <f>VLOOKUP($A310,Data!$D$3:$CJ$128,30,FALSE)</f>
        <v>#N/A</v>
      </c>
      <c r="D310" s="74" t="e">
        <f>VLOOKUP($A310,Data!$D$3:$CJ$128,64,FALSE)</f>
        <v>#N/A</v>
      </c>
      <c r="E310" s="74" t="e">
        <f>VLOOKUP($A310,Data!$D$3:$CJ$128,66,FALSE)</f>
        <v>#N/A</v>
      </c>
      <c r="F310" s="74" t="e">
        <f>VLOOKUP($A310,Data!$D$3:$CJ$128,67,FALSE)</f>
        <v>#N/A</v>
      </c>
      <c r="G310" s="78" t="e">
        <f>VLOOKUP($A310,Data!$D$3:$CJ$128,68,FALSE)</f>
        <v>#N/A</v>
      </c>
      <c r="H310" s="78" t="e">
        <f>VLOOKUP($A310,Data!$D$3:$CJ$128,69,FALSE)</f>
        <v>#N/A</v>
      </c>
      <c r="I310" s="74" t="e">
        <f>VLOOKUP($A310,Data!$D$3:$CJ$128,70,FALSE)</f>
        <v>#N/A</v>
      </c>
      <c r="J310" s="74" t="e">
        <f>VLOOKUP($A310,Data!$D$3:$CJ$128,71,FALSE)</f>
        <v>#N/A</v>
      </c>
      <c r="K310" s="74" t="e">
        <f>VLOOKUP($A310,Data!$D$3:$CJ$128,72,FALSE)</f>
        <v>#N/A</v>
      </c>
      <c r="L310" s="74" t="e">
        <f>VLOOKUP($A310,Data!$D$3:$CJ$128,73,FALSE)</f>
        <v>#N/A</v>
      </c>
      <c r="M310" s="74" t="e">
        <f>VLOOKUP($A310,Data!$D$3:$CJ$128,74,FALSE)</f>
        <v>#N/A</v>
      </c>
      <c r="N310" s="78" t="e">
        <f t="shared" si="67"/>
        <v>#N/A</v>
      </c>
      <c r="O310" s="78" t="e">
        <f t="shared" si="68"/>
        <v>#N/A</v>
      </c>
      <c r="P310" s="78" t="e">
        <f t="shared" si="69"/>
        <v>#N/A</v>
      </c>
      <c r="Q310" s="78" t="e">
        <f t="shared" si="70"/>
        <v>#N/A</v>
      </c>
      <c r="R310" s="78" t="e">
        <f t="shared" si="71"/>
        <v>#N/A</v>
      </c>
      <c r="S310" s="78" t="e">
        <f t="shared" si="72"/>
        <v>#N/A</v>
      </c>
      <c r="T310" s="74" t="e">
        <f t="shared" si="73"/>
        <v>#N/A</v>
      </c>
      <c r="U310" s="74" t="e">
        <f t="shared" si="74"/>
        <v>#N/A</v>
      </c>
      <c r="V310" s="74" t="e">
        <f t="shared" si="75"/>
        <v>#N/A</v>
      </c>
      <c r="W310" s="74" t="e">
        <f t="shared" si="76"/>
        <v>#N/A</v>
      </c>
      <c r="X310" s="74" t="e">
        <f t="shared" si="77"/>
        <v>#N/A</v>
      </c>
      <c r="Y310" s="74" t="e">
        <f t="shared" si="78"/>
        <v>#N/A</v>
      </c>
    </row>
    <row r="311" spans="1:25">
      <c r="A311" s="88">
        <f>'Batch input'!A310</f>
        <v>0</v>
      </c>
      <c r="B311">
        <f>'Batch input'!B310</f>
        <v>0</v>
      </c>
      <c r="C311" t="e">
        <f>VLOOKUP($A311,Data!$D$3:$CJ$128,30,FALSE)</f>
        <v>#N/A</v>
      </c>
      <c r="D311" s="74" t="e">
        <f>VLOOKUP($A311,Data!$D$3:$CJ$128,64,FALSE)</f>
        <v>#N/A</v>
      </c>
      <c r="E311" s="74" t="e">
        <f>VLOOKUP($A311,Data!$D$3:$CJ$128,66,FALSE)</f>
        <v>#N/A</v>
      </c>
      <c r="F311" s="74" t="e">
        <f>VLOOKUP($A311,Data!$D$3:$CJ$128,67,FALSE)</f>
        <v>#N/A</v>
      </c>
      <c r="G311" s="78" t="e">
        <f>VLOOKUP($A311,Data!$D$3:$CJ$128,68,FALSE)</f>
        <v>#N/A</v>
      </c>
      <c r="H311" s="78" t="e">
        <f>VLOOKUP($A311,Data!$D$3:$CJ$128,69,FALSE)</f>
        <v>#N/A</v>
      </c>
      <c r="I311" s="74" t="e">
        <f>VLOOKUP($A311,Data!$D$3:$CJ$128,70,FALSE)</f>
        <v>#N/A</v>
      </c>
      <c r="J311" s="74" t="e">
        <f>VLOOKUP($A311,Data!$D$3:$CJ$128,71,FALSE)</f>
        <v>#N/A</v>
      </c>
      <c r="K311" s="74" t="e">
        <f>VLOOKUP($A311,Data!$D$3:$CJ$128,72,FALSE)</f>
        <v>#N/A</v>
      </c>
      <c r="L311" s="74" t="e">
        <f>VLOOKUP($A311,Data!$D$3:$CJ$128,73,FALSE)</f>
        <v>#N/A</v>
      </c>
      <c r="M311" s="74" t="e">
        <f>VLOOKUP($A311,Data!$D$3:$CJ$128,74,FALSE)</f>
        <v>#N/A</v>
      </c>
      <c r="N311" s="78" t="e">
        <f t="shared" si="67"/>
        <v>#N/A</v>
      </c>
      <c r="O311" s="78" t="e">
        <f t="shared" si="68"/>
        <v>#N/A</v>
      </c>
      <c r="P311" s="78" t="e">
        <f t="shared" si="69"/>
        <v>#N/A</v>
      </c>
      <c r="Q311" s="78" t="e">
        <f t="shared" si="70"/>
        <v>#N/A</v>
      </c>
      <c r="R311" s="78" t="e">
        <f t="shared" si="71"/>
        <v>#N/A</v>
      </c>
      <c r="S311" s="78" t="e">
        <f t="shared" si="72"/>
        <v>#N/A</v>
      </c>
      <c r="T311" s="74" t="e">
        <f t="shared" si="73"/>
        <v>#N/A</v>
      </c>
      <c r="U311" s="74" t="e">
        <f t="shared" si="74"/>
        <v>#N/A</v>
      </c>
      <c r="V311" s="74" t="e">
        <f t="shared" si="75"/>
        <v>#N/A</v>
      </c>
      <c r="W311" s="74" t="e">
        <f t="shared" si="76"/>
        <v>#N/A</v>
      </c>
      <c r="X311" s="74" t="e">
        <f t="shared" si="77"/>
        <v>#N/A</v>
      </c>
      <c r="Y311" s="74" t="e">
        <f t="shared" si="78"/>
        <v>#N/A</v>
      </c>
    </row>
    <row r="312" spans="1:25">
      <c r="A312" s="88">
        <f>'Batch input'!A311</f>
        <v>0</v>
      </c>
      <c r="B312">
        <f>'Batch input'!B311</f>
        <v>0</v>
      </c>
      <c r="C312" t="e">
        <f>VLOOKUP($A312,Data!$D$3:$CJ$128,30,FALSE)</f>
        <v>#N/A</v>
      </c>
      <c r="D312" s="74" t="e">
        <f>VLOOKUP($A312,Data!$D$3:$CJ$128,64,FALSE)</f>
        <v>#N/A</v>
      </c>
      <c r="E312" s="74" t="e">
        <f>VLOOKUP($A312,Data!$D$3:$CJ$128,66,FALSE)</f>
        <v>#N/A</v>
      </c>
      <c r="F312" s="74" t="e">
        <f>VLOOKUP($A312,Data!$D$3:$CJ$128,67,FALSE)</f>
        <v>#N/A</v>
      </c>
      <c r="G312" s="78" t="e">
        <f>VLOOKUP($A312,Data!$D$3:$CJ$128,68,FALSE)</f>
        <v>#N/A</v>
      </c>
      <c r="H312" s="78" t="e">
        <f>VLOOKUP($A312,Data!$D$3:$CJ$128,69,FALSE)</f>
        <v>#N/A</v>
      </c>
      <c r="I312" s="74" t="e">
        <f>VLOOKUP($A312,Data!$D$3:$CJ$128,70,FALSE)</f>
        <v>#N/A</v>
      </c>
      <c r="J312" s="74" t="e">
        <f>VLOOKUP($A312,Data!$D$3:$CJ$128,71,FALSE)</f>
        <v>#N/A</v>
      </c>
      <c r="K312" s="74" t="e">
        <f>VLOOKUP($A312,Data!$D$3:$CJ$128,72,FALSE)</f>
        <v>#N/A</v>
      </c>
      <c r="L312" s="74" t="e">
        <f>VLOOKUP($A312,Data!$D$3:$CJ$128,73,FALSE)</f>
        <v>#N/A</v>
      </c>
      <c r="M312" s="74" t="e">
        <f>VLOOKUP($A312,Data!$D$3:$CJ$128,74,FALSE)</f>
        <v>#N/A</v>
      </c>
      <c r="N312" s="78" t="e">
        <f t="shared" si="67"/>
        <v>#N/A</v>
      </c>
      <c r="O312" s="78" t="e">
        <f t="shared" si="68"/>
        <v>#N/A</v>
      </c>
      <c r="P312" s="78" t="e">
        <f t="shared" si="69"/>
        <v>#N/A</v>
      </c>
      <c r="Q312" s="78" t="e">
        <f t="shared" si="70"/>
        <v>#N/A</v>
      </c>
      <c r="R312" s="78" t="e">
        <f t="shared" si="71"/>
        <v>#N/A</v>
      </c>
      <c r="S312" s="78" t="e">
        <f t="shared" si="72"/>
        <v>#N/A</v>
      </c>
      <c r="T312" s="74" t="e">
        <f t="shared" si="73"/>
        <v>#N/A</v>
      </c>
      <c r="U312" s="74" t="e">
        <f t="shared" si="74"/>
        <v>#N/A</v>
      </c>
      <c r="V312" s="74" t="e">
        <f t="shared" si="75"/>
        <v>#N/A</v>
      </c>
      <c r="W312" s="74" t="e">
        <f t="shared" si="76"/>
        <v>#N/A</v>
      </c>
      <c r="X312" s="74" t="e">
        <f t="shared" si="77"/>
        <v>#N/A</v>
      </c>
      <c r="Y312" s="74" t="e">
        <f t="shared" si="78"/>
        <v>#N/A</v>
      </c>
    </row>
    <row r="313" spans="1:25">
      <c r="A313" s="88">
        <f>'Batch input'!A312</f>
        <v>0</v>
      </c>
      <c r="B313">
        <f>'Batch input'!B312</f>
        <v>0</v>
      </c>
      <c r="C313" t="e">
        <f>VLOOKUP($A313,Data!$D$3:$CJ$128,30,FALSE)</f>
        <v>#N/A</v>
      </c>
      <c r="D313" s="74" t="e">
        <f>VLOOKUP($A313,Data!$D$3:$CJ$128,64,FALSE)</f>
        <v>#N/A</v>
      </c>
      <c r="E313" s="74" t="e">
        <f>VLOOKUP($A313,Data!$D$3:$CJ$128,66,FALSE)</f>
        <v>#N/A</v>
      </c>
      <c r="F313" s="74" t="e">
        <f>VLOOKUP($A313,Data!$D$3:$CJ$128,67,FALSE)</f>
        <v>#N/A</v>
      </c>
      <c r="G313" s="78" t="e">
        <f>VLOOKUP($A313,Data!$D$3:$CJ$128,68,FALSE)</f>
        <v>#N/A</v>
      </c>
      <c r="H313" s="78" t="e">
        <f>VLOOKUP($A313,Data!$D$3:$CJ$128,69,FALSE)</f>
        <v>#N/A</v>
      </c>
      <c r="I313" s="74" t="e">
        <f>VLOOKUP($A313,Data!$D$3:$CJ$128,70,FALSE)</f>
        <v>#N/A</v>
      </c>
      <c r="J313" s="74" t="e">
        <f>VLOOKUP($A313,Data!$D$3:$CJ$128,71,FALSE)</f>
        <v>#N/A</v>
      </c>
      <c r="K313" s="74" t="e">
        <f>VLOOKUP($A313,Data!$D$3:$CJ$128,72,FALSE)</f>
        <v>#N/A</v>
      </c>
      <c r="L313" s="74" t="e">
        <f>VLOOKUP($A313,Data!$D$3:$CJ$128,73,FALSE)</f>
        <v>#N/A</v>
      </c>
      <c r="M313" s="74" t="e">
        <f>VLOOKUP($A313,Data!$D$3:$CJ$128,74,FALSE)</f>
        <v>#N/A</v>
      </c>
      <c r="N313" s="78" t="e">
        <f t="shared" si="67"/>
        <v>#N/A</v>
      </c>
      <c r="O313" s="78" t="e">
        <f t="shared" si="68"/>
        <v>#N/A</v>
      </c>
      <c r="P313" s="78" t="e">
        <f t="shared" si="69"/>
        <v>#N/A</v>
      </c>
      <c r="Q313" s="78" t="e">
        <f t="shared" si="70"/>
        <v>#N/A</v>
      </c>
      <c r="R313" s="78" t="e">
        <f t="shared" si="71"/>
        <v>#N/A</v>
      </c>
      <c r="S313" s="78" t="e">
        <f t="shared" si="72"/>
        <v>#N/A</v>
      </c>
      <c r="T313" s="74" t="e">
        <f t="shared" si="73"/>
        <v>#N/A</v>
      </c>
      <c r="U313" s="74" t="e">
        <f t="shared" si="74"/>
        <v>#N/A</v>
      </c>
      <c r="V313" s="74" t="e">
        <f t="shared" si="75"/>
        <v>#N/A</v>
      </c>
      <c r="W313" s="74" t="e">
        <f t="shared" si="76"/>
        <v>#N/A</v>
      </c>
      <c r="X313" s="74" t="e">
        <f t="shared" si="77"/>
        <v>#N/A</v>
      </c>
      <c r="Y313" s="74" t="e">
        <f t="shared" si="78"/>
        <v>#N/A</v>
      </c>
    </row>
    <row r="314" spans="1:25">
      <c r="A314" s="88">
        <f>'Batch input'!A313</f>
        <v>0</v>
      </c>
      <c r="B314">
        <f>'Batch input'!B313</f>
        <v>0</v>
      </c>
      <c r="C314" t="e">
        <f>VLOOKUP($A314,Data!$D$3:$CJ$128,30,FALSE)</f>
        <v>#N/A</v>
      </c>
      <c r="D314" s="74" t="e">
        <f>VLOOKUP($A314,Data!$D$3:$CJ$128,64,FALSE)</f>
        <v>#N/A</v>
      </c>
      <c r="E314" s="74" t="e">
        <f>VLOOKUP($A314,Data!$D$3:$CJ$128,66,FALSE)</f>
        <v>#N/A</v>
      </c>
      <c r="F314" s="74" t="e">
        <f>VLOOKUP($A314,Data!$D$3:$CJ$128,67,FALSE)</f>
        <v>#N/A</v>
      </c>
      <c r="G314" s="78" t="e">
        <f>VLOOKUP($A314,Data!$D$3:$CJ$128,68,FALSE)</f>
        <v>#N/A</v>
      </c>
      <c r="H314" s="78" t="e">
        <f>VLOOKUP($A314,Data!$D$3:$CJ$128,69,FALSE)</f>
        <v>#N/A</v>
      </c>
      <c r="I314" s="74" t="e">
        <f>VLOOKUP($A314,Data!$D$3:$CJ$128,70,FALSE)</f>
        <v>#N/A</v>
      </c>
      <c r="J314" s="74" t="e">
        <f>VLOOKUP($A314,Data!$D$3:$CJ$128,71,FALSE)</f>
        <v>#N/A</v>
      </c>
      <c r="K314" s="74" t="e">
        <f>VLOOKUP($A314,Data!$D$3:$CJ$128,72,FALSE)</f>
        <v>#N/A</v>
      </c>
      <c r="L314" s="74" t="e">
        <f>VLOOKUP($A314,Data!$D$3:$CJ$128,73,FALSE)</f>
        <v>#N/A</v>
      </c>
      <c r="M314" s="74" t="e">
        <f>VLOOKUP($A314,Data!$D$3:$CJ$128,74,FALSE)</f>
        <v>#N/A</v>
      </c>
      <c r="N314" s="78" t="e">
        <f t="shared" si="67"/>
        <v>#N/A</v>
      </c>
      <c r="O314" s="78" t="e">
        <f t="shared" si="68"/>
        <v>#N/A</v>
      </c>
      <c r="P314" s="78" t="e">
        <f t="shared" si="69"/>
        <v>#N/A</v>
      </c>
      <c r="Q314" s="78" t="e">
        <f t="shared" si="70"/>
        <v>#N/A</v>
      </c>
      <c r="R314" s="78" t="e">
        <f t="shared" si="71"/>
        <v>#N/A</v>
      </c>
      <c r="S314" s="78" t="e">
        <f t="shared" si="72"/>
        <v>#N/A</v>
      </c>
      <c r="T314" s="74" t="e">
        <f t="shared" si="73"/>
        <v>#N/A</v>
      </c>
      <c r="U314" s="74" t="e">
        <f t="shared" si="74"/>
        <v>#N/A</v>
      </c>
      <c r="V314" s="74" t="e">
        <f t="shared" si="75"/>
        <v>#N/A</v>
      </c>
      <c r="W314" s="74" t="e">
        <f t="shared" si="76"/>
        <v>#N/A</v>
      </c>
      <c r="X314" s="74" t="e">
        <f t="shared" si="77"/>
        <v>#N/A</v>
      </c>
      <c r="Y314" s="74" t="e">
        <f t="shared" si="78"/>
        <v>#N/A</v>
      </c>
    </row>
    <row r="315" spans="1:25">
      <c r="A315" s="88">
        <f>'Batch input'!A314</f>
        <v>0</v>
      </c>
      <c r="B315">
        <f>'Batch input'!B314</f>
        <v>0</v>
      </c>
      <c r="C315" t="e">
        <f>VLOOKUP($A315,Data!$D$3:$CJ$128,30,FALSE)</f>
        <v>#N/A</v>
      </c>
      <c r="D315" s="74" t="e">
        <f>VLOOKUP($A315,Data!$D$3:$CJ$128,64,FALSE)</f>
        <v>#N/A</v>
      </c>
      <c r="E315" s="74" t="e">
        <f>VLOOKUP($A315,Data!$D$3:$CJ$128,66,FALSE)</f>
        <v>#N/A</v>
      </c>
      <c r="F315" s="74" t="e">
        <f>VLOOKUP($A315,Data!$D$3:$CJ$128,67,FALSE)</f>
        <v>#N/A</v>
      </c>
      <c r="G315" s="78" t="e">
        <f>VLOOKUP($A315,Data!$D$3:$CJ$128,68,FALSE)</f>
        <v>#N/A</v>
      </c>
      <c r="H315" s="78" t="e">
        <f>VLOOKUP($A315,Data!$D$3:$CJ$128,69,FALSE)</f>
        <v>#N/A</v>
      </c>
      <c r="I315" s="74" t="e">
        <f>VLOOKUP($A315,Data!$D$3:$CJ$128,70,FALSE)</f>
        <v>#N/A</v>
      </c>
      <c r="J315" s="74" t="e">
        <f>VLOOKUP($A315,Data!$D$3:$CJ$128,71,FALSE)</f>
        <v>#N/A</v>
      </c>
      <c r="K315" s="74" t="e">
        <f>VLOOKUP($A315,Data!$D$3:$CJ$128,72,FALSE)</f>
        <v>#N/A</v>
      </c>
      <c r="L315" s="74" t="e">
        <f>VLOOKUP($A315,Data!$D$3:$CJ$128,73,FALSE)</f>
        <v>#N/A</v>
      </c>
      <c r="M315" s="74" t="e">
        <f>VLOOKUP($A315,Data!$D$3:$CJ$128,74,FALSE)</f>
        <v>#N/A</v>
      </c>
      <c r="N315" s="78" t="e">
        <f t="shared" si="67"/>
        <v>#N/A</v>
      </c>
      <c r="O315" s="78" t="e">
        <f t="shared" si="68"/>
        <v>#N/A</v>
      </c>
      <c r="P315" s="78" t="e">
        <f t="shared" si="69"/>
        <v>#N/A</v>
      </c>
      <c r="Q315" s="78" t="e">
        <f t="shared" si="70"/>
        <v>#N/A</v>
      </c>
      <c r="R315" s="78" t="e">
        <f t="shared" si="71"/>
        <v>#N/A</v>
      </c>
      <c r="S315" s="78" t="e">
        <f t="shared" si="72"/>
        <v>#N/A</v>
      </c>
      <c r="T315" s="74" t="e">
        <f t="shared" si="73"/>
        <v>#N/A</v>
      </c>
      <c r="U315" s="74" t="e">
        <f t="shared" si="74"/>
        <v>#N/A</v>
      </c>
      <c r="V315" s="74" t="e">
        <f t="shared" si="75"/>
        <v>#N/A</v>
      </c>
      <c r="W315" s="74" t="e">
        <f t="shared" si="76"/>
        <v>#N/A</v>
      </c>
      <c r="X315" s="74" t="e">
        <f t="shared" si="77"/>
        <v>#N/A</v>
      </c>
      <c r="Y315" s="74" t="e">
        <f t="shared" si="78"/>
        <v>#N/A</v>
      </c>
    </row>
    <row r="316" spans="1:25">
      <c r="A316" s="88">
        <f>'Batch input'!A315</f>
        <v>0</v>
      </c>
      <c r="B316">
        <f>'Batch input'!B315</f>
        <v>0</v>
      </c>
      <c r="C316" t="e">
        <f>VLOOKUP($A316,Data!$D$3:$CJ$128,30,FALSE)</f>
        <v>#N/A</v>
      </c>
      <c r="D316" s="74" t="e">
        <f>VLOOKUP($A316,Data!$D$3:$CJ$128,64,FALSE)</f>
        <v>#N/A</v>
      </c>
      <c r="E316" s="74" t="e">
        <f>VLOOKUP($A316,Data!$D$3:$CJ$128,66,FALSE)</f>
        <v>#N/A</v>
      </c>
      <c r="F316" s="74" t="e">
        <f>VLOOKUP($A316,Data!$D$3:$CJ$128,67,FALSE)</f>
        <v>#N/A</v>
      </c>
      <c r="G316" s="78" t="e">
        <f>VLOOKUP($A316,Data!$D$3:$CJ$128,68,FALSE)</f>
        <v>#N/A</v>
      </c>
      <c r="H316" s="78" t="e">
        <f>VLOOKUP($A316,Data!$D$3:$CJ$128,69,FALSE)</f>
        <v>#N/A</v>
      </c>
      <c r="I316" s="74" t="e">
        <f>VLOOKUP($A316,Data!$D$3:$CJ$128,70,FALSE)</f>
        <v>#N/A</v>
      </c>
      <c r="J316" s="74" t="e">
        <f>VLOOKUP($A316,Data!$D$3:$CJ$128,71,FALSE)</f>
        <v>#N/A</v>
      </c>
      <c r="K316" s="74" t="e">
        <f>VLOOKUP($A316,Data!$D$3:$CJ$128,72,FALSE)</f>
        <v>#N/A</v>
      </c>
      <c r="L316" s="74" t="e">
        <f>VLOOKUP($A316,Data!$D$3:$CJ$128,73,FALSE)</f>
        <v>#N/A</v>
      </c>
      <c r="M316" s="74" t="e">
        <f>VLOOKUP($A316,Data!$D$3:$CJ$128,74,FALSE)</f>
        <v>#N/A</v>
      </c>
      <c r="N316" s="78" t="e">
        <f t="shared" si="67"/>
        <v>#N/A</v>
      </c>
      <c r="O316" s="78" t="e">
        <f t="shared" si="68"/>
        <v>#N/A</v>
      </c>
      <c r="P316" s="78" t="e">
        <f t="shared" si="69"/>
        <v>#N/A</v>
      </c>
      <c r="Q316" s="78" t="e">
        <f t="shared" si="70"/>
        <v>#N/A</v>
      </c>
      <c r="R316" s="78" t="e">
        <f t="shared" si="71"/>
        <v>#N/A</v>
      </c>
      <c r="S316" s="78" t="e">
        <f t="shared" si="72"/>
        <v>#N/A</v>
      </c>
      <c r="T316" s="74" t="e">
        <f t="shared" si="73"/>
        <v>#N/A</v>
      </c>
      <c r="U316" s="74" t="e">
        <f t="shared" si="74"/>
        <v>#N/A</v>
      </c>
      <c r="V316" s="74" t="e">
        <f t="shared" si="75"/>
        <v>#N/A</v>
      </c>
      <c r="W316" s="74" t="e">
        <f t="shared" si="76"/>
        <v>#N/A</v>
      </c>
      <c r="X316" s="74" t="e">
        <f t="shared" si="77"/>
        <v>#N/A</v>
      </c>
      <c r="Y316" s="74" t="e">
        <f t="shared" si="78"/>
        <v>#N/A</v>
      </c>
    </row>
    <row r="317" spans="1:25">
      <c r="A317" s="88">
        <f>'Batch input'!A316</f>
        <v>0</v>
      </c>
      <c r="B317">
        <f>'Batch input'!B316</f>
        <v>0</v>
      </c>
      <c r="C317" t="e">
        <f>VLOOKUP($A317,Data!$D$3:$CJ$128,30,FALSE)</f>
        <v>#N/A</v>
      </c>
      <c r="D317" s="74" t="e">
        <f>VLOOKUP($A317,Data!$D$3:$CJ$128,64,FALSE)</f>
        <v>#N/A</v>
      </c>
      <c r="E317" s="74" t="e">
        <f>VLOOKUP($A317,Data!$D$3:$CJ$128,66,FALSE)</f>
        <v>#N/A</v>
      </c>
      <c r="F317" s="74" t="e">
        <f>VLOOKUP($A317,Data!$D$3:$CJ$128,67,FALSE)</f>
        <v>#N/A</v>
      </c>
      <c r="G317" s="78" t="e">
        <f>VLOOKUP($A317,Data!$D$3:$CJ$128,68,FALSE)</f>
        <v>#N/A</v>
      </c>
      <c r="H317" s="78" t="e">
        <f>VLOOKUP($A317,Data!$D$3:$CJ$128,69,FALSE)</f>
        <v>#N/A</v>
      </c>
      <c r="I317" s="74" t="e">
        <f>VLOOKUP($A317,Data!$D$3:$CJ$128,70,FALSE)</f>
        <v>#N/A</v>
      </c>
      <c r="J317" s="74" t="e">
        <f>VLOOKUP($A317,Data!$D$3:$CJ$128,71,FALSE)</f>
        <v>#N/A</v>
      </c>
      <c r="K317" s="74" t="e">
        <f>VLOOKUP($A317,Data!$D$3:$CJ$128,72,FALSE)</f>
        <v>#N/A</v>
      </c>
      <c r="L317" s="74" t="e">
        <f>VLOOKUP($A317,Data!$D$3:$CJ$128,73,FALSE)</f>
        <v>#N/A</v>
      </c>
      <c r="M317" s="74" t="e">
        <f>VLOOKUP($A317,Data!$D$3:$CJ$128,74,FALSE)</f>
        <v>#N/A</v>
      </c>
      <c r="N317" s="78" t="e">
        <f t="shared" si="67"/>
        <v>#N/A</v>
      </c>
      <c r="O317" s="78" t="e">
        <f t="shared" si="68"/>
        <v>#N/A</v>
      </c>
      <c r="P317" s="78" t="e">
        <f t="shared" si="69"/>
        <v>#N/A</v>
      </c>
      <c r="Q317" s="78" t="e">
        <f t="shared" si="70"/>
        <v>#N/A</v>
      </c>
      <c r="R317" s="78" t="e">
        <f t="shared" si="71"/>
        <v>#N/A</v>
      </c>
      <c r="S317" s="78" t="e">
        <f t="shared" si="72"/>
        <v>#N/A</v>
      </c>
      <c r="T317" s="74" t="e">
        <f t="shared" si="73"/>
        <v>#N/A</v>
      </c>
      <c r="U317" s="74" t="e">
        <f t="shared" si="74"/>
        <v>#N/A</v>
      </c>
      <c r="V317" s="74" t="e">
        <f t="shared" si="75"/>
        <v>#N/A</v>
      </c>
      <c r="W317" s="74" t="e">
        <f t="shared" si="76"/>
        <v>#N/A</v>
      </c>
      <c r="X317" s="74" t="e">
        <f t="shared" si="77"/>
        <v>#N/A</v>
      </c>
      <c r="Y317" s="74" t="e">
        <f t="shared" si="78"/>
        <v>#N/A</v>
      </c>
    </row>
    <row r="318" spans="1:25">
      <c r="A318" s="88">
        <f>'Batch input'!A317</f>
        <v>0</v>
      </c>
      <c r="B318">
        <f>'Batch input'!B317</f>
        <v>0</v>
      </c>
      <c r="C318" t="e">
        <f>VLOOKUP($A318,Data!$D$3:$CJ$128,30,FALSE)</f>
        <v>#N/A</v>
      </c>
      <c r="D318" s="74" t="e">
        <f>VLOOKUP($A318,Data!$D$3:$CJ$128,64,FALSE)</f>
        <v>#N/A</v>
      </c>
      <c r="E318" s="74" t="e">
        <f>VLOOKUP($A318,Data!$D$3:$CJ$128,66,FALSE)</f>
        <v>#N/A</v>
      </c>
      <c r="F318" s="74" t="e">
        <f>VLOOKUP($A318,Data!$D$3:$CJ$128,67,FALSE)</f>
        <v>#N/A</v>
      </c>
      <c r="G318" s="78" t="e">
        <f>VLOOKUP($A318,Data!$D$3:$CJ$128,68,FALSE)</f>
        <v>#N/A</v>
      </c>
      <c r="H318" s="78" t="e">
        <f>VLOOKUP($A318,Data!$D$3:$CJ$128,69,FALSE)</f>
        <v>#N/A</v>
      </c>
      <c r="I318" s="74" t="e">
        <f>VLOOKUP($A318,Data!$D$3:$CJ$128,70,FALSE)</f>
        <v>#N/A</v>
      </c>
      <c r="J318" s="74" t="e">
        <f>VLOOKUP($A318,Data!$D$3:$CJ$128,71,FALSE)</f>
        <v>#N/A</v>
      </c>
      <c r="K318" s="74" t="e">
        <f>VLOOKUP($A318,Data!$D$3:$CJ$128,72,FALSE)</f>
        <v>#N/A</v>
      </c>
      <c r="L318" s="74" t="e">
        <f>VLOOKUP($A318,Data!$D$3:$CJ$128,73,FALSE)</f>
        <v>#N/A</v>
      </c>
      <c r="M318" s="74" t="e">
        <f>VLOOKUP($A318,Data!$D$3:$CJ$128,74,FALSE)</f>
        <v>#N/A</v>
      </c>
      <c r="N318" s="78" t="e">
        <f t="shared" si="67"/>
        <v>#N/A</v>
      </c>
      <c r="O318" s="78" t="e">
        <f t="shared" si="68"/>
        <v>#N/A</v>
      </c>
      <c r="P318" s="78" t="e">
        <f t="shared" si="69"/>
        <v>#N/A</v>
      </c>
      <c r="Q318" s="78" t="e">
        <f t="shared" si="70"/>
        <v>#N/A</v>
      </c>
      <c r="R318" s="78" t="e">
        <f t="shared" si="71"/>
        <v>#N/A</v>
      </c>
      <c r="S318" s="78" t="e">
        <f t="shared" si="72"/>
        <v>#N/A</v>
      </c>
      <c r="T318" s="74" t="e">
        <f t="shared" si="73"/>
        <v>#N/A</v>
      </c>
      <c r="U318" s="74" t="e">
        <f t="shared" si="74"/>
        <v>#N/A</v>
      </c>
      <c r="V318" s="74" t="e">
        <f t="shared" si="75"/>
        <v>#N/A</v>
      </c>
      <c r="W318" s="74" t="e">
        <f t="shared" si="76"/>
        <v>#N/A</v>
      </c>
      <c r="X318" s="74" t="e">
        <f t="shared" si="77"/>
        <v>#N/A</v>
      </c>
      <c r="Y318" s="74" t="e">
        <f t="shared" si="78"/>
        <v>#N/A</v>
      </c>
    </row>
    <row r="319" spans="1:25">
      <c r="A319" s="88">
        <f>'Batch input'!A318</f>
        <v>0</v>
      </c>
      <c r="B319">
        <f>'Batch input'!B318</f>
        <v>0</v>
      </c>
      <c r="C319" t="e">
        <f>VLOOKUP($A319,Data!$D$3:$CJ$128,30,FALSE)</f>
        <v>#N/A</v>
      </c>
      <c r="D319" s="74" t="e">
        <f>VLOOKUP($A319,Data!$D$3:$CJ$128,64,FALSE)</f>
        <v>#N/A</v>
      </c>
      <c r="E319" s="74" t="e">
        <f>VLOOKUP($A319,Data!$D$3:$CJ$128,66,FALSE)</f>
        <v>#N/A</v>
      </c>
      <c r="F319" s="74" t="e">
        <f>VLOOKUP($A319,Data!$D$3:$CJ$128,67,FALSE)</f>
        <v>#N/A</v>
      </c>
      <c r="G319" s="78" t="e">
        <f>VLOOKUP($A319,Data!$D$3:$CJ$128,68,FALSE)</f>
        <v>#N/A</v>
      </c>
      <c r="H319" s="78" t="e">
        <f>VLOOKUP($A319,Data!$D$3:$CJ$128,69,FALSE)</f>
        <v>#N/A</v>
      </c>
      <c r="I319" s="74" t="e">
        <f>VLOOKUP($A319,Data!$D$3:$CJ$128,70,FALSE)</f>
        <v>#N/A</v>
      </c>
      <c r="J319" s="74" t="e">
        <f>VLOOKUP($A319,Data!$D$3:$CJ$128,71,FALSE)</f>
        <v>#N/A</v>
      </c>
      <c r="K319" s="74" t="e">
        <f>VLOOKUP($A319,Data!$D$3:$CJ$128,72,FALSE)</f>
        <v>#N/A</v>
      </c>
      <c r="L319" s="74" t="e">
        <f>VLOOKUP($A319,Data!$D$3:$CJ$128,73,FALSE)</f>
        <v>#N/A</v>
      </c>
      <c r="M319" s="74" t="e">
        <f>VLOOKUP($A319,Data!$D$3:$CJ$128,74,FALSE)</f>
        <v>#N/A</v>
      </c>
      <c r="N319" s="78" t="e">
        <f t="shared" si="67"/>
        <v>#N/A</v>
      </c>
      <c r="O319" s="78" t="e">
        <f t="shared" si="68"/>
        <v>#N/A</v>
      </c>
      <c r="P319" s="78" t="e">
        <f t="shared" si="69"/>
        <v>#N/A</v>
      </c>
      <c r="Q319" s="78" t="e">
        <f t="shared" si="70"/>
        <v>#N/A</v>
      </c>
      <c r="R319" s="78" t="e">
        <f t="shared" si="71"/>
        <v>#N/A</v>
      </c>
      <c r="S319" s="78" t="e">
        <f t="shared" si="72"/>
        <v>#N/A</v>
      </c>
      <c r="T319" s="74" t="e">
        <f t="shared" si="73"/>
        <v>#N/A</v>
      </c>
      <c r="U319" s="74" t="e">
        <f t="shared" si="74"/>
        <v>#N/A</v>
      </c>
      <c r="V319" s="74" t="e">
        <f t="shared" si="75"/>
        <v>#N/A</v>
      </c>
      <c r="W319" s="74" t="e">
        <f t="shared" si="76"/>
        <v>#N/A</v>
      </c>
      <c r="X319" s="74" t="e">
        <f t="shared" si="77"/>
        <v>#N/A</v>
      </c>
      <c r="Y319" s="74" t="e">
        <f t="shared" si="78"/>
        <v>#N/A</v>
      </c>
    </row>
    <row r="320" spans="1:25">
      <c r="A320" s="88">
        <f>'Batch input'!A319</f>
        <v>0</v>
      </c>
      <c r="B320">
        <f>'Batch input'!B319</f>
        <v>0</v>
      </c>
      <c r="C320" t="e">
        <f>VLOOKUP($A320,Data!$D$3:$CJ$128,30,FALSE)</f>
        <v>#N/A</v>
      </c>
      <c r="D320" s="74" t="e">
        <f>VLOOKUP($A320,Data!$D$3:$CJ$128,64,FALSE)</f>
        <v>#N/A</v>
      </c>
      <c r="E320" s="74" t="e">
        <f>VLOOKUP($A320,Data!$D$3:$CJ$128,66,FALSE)</f>
        <v>#N/A</v>
      </c>
      <c r="F320" s="74" t="e">
        <f>VLOOKUP($A320,Data!$D$3:$CJ$128,67,FALSE)</f>
        <v>#N/A</v>
      </c>
      <c r="G320" s="78" t="e">
        <f>VLOOKUP($A320,Data!$D$3:$CJ$128,68,FALSE)</f>
        <v>#N/A</v>
      </c>
      <c r="H320" s="78" t="e">
        <f>VLOOKUP($A320,Data!$D$3:$CJ$128,69,FALSE)</f>
        <v>#N/A</v>
      </c>
      <c r="I320" s="74" t="e">
        <f>VLOOKUP($A320,Data!$D$3:$CJ$128,70,FALSE)</f>
        <v>#N/A</v>
      </c>
      <c r="J320" s="74" t="e">
        <f>VLOOKUP($A320,Data!$D$3:$CJ$128,71,FALSE)</f>
        <v>#N/A</v>
      </c>
      <c r="K320" s="74" t="e">
        <f>VLOOKUP($A320,Data!$D$3:$CJ$128,72,FALSE)</f>
        <v>#N/A</v>
      </c>
      <c r="L320" s="74" t="e">
        <f>VLOOKUP($A320,Data!$D$3:$CJ$128,73,FALSE)</f>
        <v>#N/A</v>
      </c>
      <c r="M320" s="74" t="e">
        <f>VLOOKUP($A320,Data!$D$3:$CJ$128,74,FALSE)</f>
        <v>#N/A</v>
      </c>
      <c r="N320" s="78" t="e">
        <f t="shared" si="67"/>
        <v>#N/A</v>
      </c>
      <c r="O320" s="78" t="e">
        <f t="shared" si="68"/>
        <v>#N/A</v>
      </c>
      <c r="P320" s="78" t="e">
        <f t="shared" si="69"/>
        <v>#N/A</v>
      </c>
      <c r="Q320" s="78" t="e">
        <f t="shared" si="70"/>
        <v>#N/A</v>
      </c>
      <c r="R320" s="78" t="e">
        <f t="shared" si="71"/>
        <v>#N/A</v>
      </c>
      <c r="S320" s="78" t="e">
        <f t="shared" si="72"/>
        <v>#N/A</v>
      </c>
      <c r="T320" s="74" t="e">
        <f t="shared" si="73"/>
        <v>#N/A</v>
      </c>
      <c r="U320" s="74" t="e">
        <f t="shared" si="74"/>
        <v>#N/A</v>
      </c>
      <c r="V320" s="74" t="e">
        <f t="shared" si="75"/>
        <v>#N/A</v>
      </c>
      <c r="W320" s="74" t="e">
        <f t="shared" si="76"/>
        <v>#N/A</v>
      </c>
      <c r="X320" s="74" t="e">
        <f t="shared" si="77"/>
        <v>#N/A</v>
      </c>
      <c r="Y320" s="74" t="e">
        <f t="shared" si="78"/>
        <v>#N/A</v>
      </c>
    </row>
    <row r="321" spans="1:25">
      <c r="A321" s="88">
        <f>'Batch input'!A320</f>
        <v>0</v>
      </c>
      <c r="B321">
        <f>'Batch input'!B320</f>
        <v>0</v>
      </c>
      <c r="C321" t="e">
        <f>VLOOKUP($A321,Data!$D$3:$CJ$128,30,FALSE)</f>
        <v>#N/A</v>
      </c>
      <c r="D321" s="74" t="e">
        <f>VLOOKUP($A321,Data!$D$3:$CJ$128,64,FALSE)</f>
        <v>#N/A</v>
      </c>
      <c r="E321" s="74" t="e">
        <f>VLOOKUP($A321,Data!$D$3:$CJ$128,66,FALSE)</f>
        <v>#N/A</v>
      </c>
      <c r="F321" s="74" t="e">
        <f>VLOOKUP($A321,Data!$D$3:$CJ$128,67,FALSE)</f>
        <v>#N/A</v>
      </c>
      <c r="G321" s="78" t="e">
        <f>VLOOKUP($A321,Data!$D$3:$CJ$128,68,FALSE)</f>
        <v>#N/A</v>
      </c>
      <c r="H321" s="78" t="e">
        <f>VLOOKUP($A321,Data!$D$3:$CJ$128,69,FALSE)</f>
        <v>#N/A</v>
      </c>
      <c r="I321" s="74" t="e">
        <f>VLOOKUP($A321,Data!$D$3:$CJ$128,70,FALSE)</f>
        <v>#N/A</v>
      </c>
      <c r="J321" s="74" t="e">
        <f>VLOOKUP($A321,Data!$D$3:$CJ$128,71,FALSE)</f>
        <v>#N/A</v>
      </c>
      <c r="K321" s="74" t="e">
        <f>VLOOKUP($A321,Data!$D$3:$CJ$128,72,FALSE)</f>
        <v>#N/A</v>
      </c>
      <c r="L321" s="74" t="e">
        <f>VLOOKUP($A321,Data!$D$3:$CJ$128,73,FALSE)</f>
        <v>#N/A</v>
      </c>
      <c r="M321" s="74" t="e">
        <f>VLOOKUP($A321,Data!$D$3:$CJ$128,74,FALSE)</f>
        <v>#N/A</v>
      </c>
      <c r="N321" s="78" t="e">
        <f t="shared" si="67"/>
        <v>#N/A</v>
      </c>
      <c r="O321" s="78" t="e">
        <f t="shared" si="68"/>
        <v>#N/A</v>
      </c>
      <c r="P321" s="78" t="e">
        <f t="shared" si="69"/>
        <v>#N/A</v>
      </c>
      <c r="Q321" s="78" t="e">
        <f t="shared" si="70"/>
        <v>#N/A</v>
      </c>
      <c r="R321" s="78" t="e">
        <f t="shared" si="71"/>
        <v>#N/A</v>
      </c>
      <c r="S321" s="78" t="e">
        <f t="shared" si="72"/>
        <v>#N/A</v>
      </c>
      <c r="T321" s="74" t="e">
        <f t="shared" si="73"/>
        <v>#N/A</v>
      </c>
      <c r="U321" s="74" t="e">
        <f t="shared" si="74"/>
        <v>#N/A</v>
      </c>
      <c r="V321" s="74" t="e">
        <f t="shared" si="75"/>
        <v>#N/A</v>
      </c>
      <c r="W321" s="74" t="e">
        <f t="shared" si="76"/>
        <v>#N/A</v>
      </c>
      <c r="X321" s="74" t="e">
        <f t="shared" si="77"/>
        <v>#N/A</v>
      </c>
      <c r="Y321" s="74" t="e">
        <f t="shared" si="78"/>
        <v>#N/A</v>
      </c>
    </row>
    <row r="322" spans="1:25">
      <c r="A322" s="88">
        <f>'Batch input'!A321</f>
        <v>0</v>
      </c>
      <c r="B322">
        <f>'Batch input'!B321</f>
        <v>0</v>
      </c>
      <c r="C322" t="e">
        <f>VLOOKUP($A322,Data!$D$3:$CJ$128,30,FALSE)</f>
        <v>#N/A</v>
      </c>
      <c r="D322" s="74" t="e">
        <f>VLOOKUP($A322,Data!$D$3:$CJ$128,64,FALSE)</f>
        <v>#N/A</v>
      </c>
      <c r="E322" s="74" t="e">
        <f>VLOOKUP($A322,Data!$D$3:$CJ$128,66,FALSE)</f>
        <v>#N/A</v>
      </c>
      <c r="F322" s="74" t="e">
        <f>VLOOKUP($A322,Data!$D$3:$CJ$128,67,FALSE)</f>
        <v>#N/A</v>
      </c>
      <c r="G322" s="78" t="e">
        <f>VLOOKUP($A322,Data!$D$3:$CJ$128,68,FALSE)</f>
        <v>#N/A</v>
      </c>
      <c r="H322" s="78" t="e">
        <f>VLOOKUP($A322,Data!$D$3:$CJ$128,69,FALSE)</f>
        <v>#N/A</v>
      </c>
      <c r="I322" s="74" t="e">
        <f>VLOOKUP($A322,Data!$D$3:$CJ$128,70,FALSE)</f>
        <v>#N/A</v>
      </c>
      <c r="J322" s="74" t="e">
        <f>VLOOKUP($A322,Data!$D$3:$CJ$128,71,FALSE)</f>
        <v>#N/A</v>
      </c>
      <c r="K322" s="74" t="e">
        <f>VLOOKUP($A322,Data!$D$3:$CJ$128,72,FALSE)</f>
        <v>#N/A</v>
      </c>
      <c r="L322" s="74" t="e">
        <f>VLOOKUP($A322,Data!$D$3:$CJ$128,73,FALSE)</f>
        <v>#N/A</v>
      </c>
      <c r="M322" s="74" t="e">
        <f>VLOOKUP($A322,Data!$D$3:$CJ$128,74,FALSE)</f>
        <v>#N/A</v>
      </c>
      <c r="N322" s="78" t="e">
        <f t="shared" si="67"/>
        <v>#N/A</v>
      </c>
      <c r="O322" s="78" t="e">
        <f t="shared" si="68"/>
        <v>#N/A</v>
      </c>
      <c r="P322" s="78" t="e">
        <f t="shared" si="69"/>
        <v>#N/A</v>
      </c>
      <c r="Q322" s="78" t="e">
        <f t="shared" si="70"/>
        <v>#N/A</v>
      </c>
      <c r="R322" s="78" t="e">
        <f t="shared" si="71"/>
        <v>#N/A</v>
      </c>
      <c r="S322" s="78" t="e">
        <f t="shared" si="72"/>
        <v>#N/A</v>
      </c>
      <c r="T322" s="74" t="e">
        <f t="shared" si="73"/>
        <v>#N/A</v>
      </c>
      <c r="U322" s="74" t="e">
        <f t="shared" si="74"/>
        <v>#N/A</v>
      </c>
      <c r="V322" s="74" t="e">
        <f t="shared" si="75"/>
        <v>#N/A</v>
      </c>
      <c r="W322" s="74" t="e">
        <f t="shared" si="76"/>
        <v>#N/A</v>
      </c>
      <c r="X322" s="74" t="e">
        <f t="shared" si="77"/>
        <v>#N/A</v>
      </c>
      <c r="Y322" s="74" t="e">
        <f t="shared" si="78"/>
        <v>#N/A</v>
      </c>
    </row>
    <row r="323" spans="1:25">
      <c r="A323" s="88">
        <f>'Batch input'!A322</f>
        <v>0</v>
      </c>
      <c r="B323">
        <f>'Batch input'!B322</f>
        <v>0</v>
      </c>
      <c r="C323" t="e">
        <f>VLOOKUP($A323,Data!$D$3:$CJ$128,30,FALSE)</f>
        <v>#N/A</v>
      </c>
      <c r="D323" s="74" t="e">
        <f>VLOOKUP($A323,Data!$D$3:$CJ$128,64,FALSE)</f>
        <v>#N/A</v>
      </c>
      <c r="E323" s="74" t="e">
        <f>VLOOKUP($A323,Data!$D$3:$CJ$128,66,FALSE)</f>
        <v>#N/A</v>
      </c>
      <c r="F323" s="74" t="e">
        <f>VLOOKUP($A323,Data!$D$3:$CJ$128,67,FALSE)</f>
        <v>#N/A</v>
      </c>
      <c r="G323" s="78" t="e">
        <f>VLOOKUP($A323,Data!$D$3:$CJ$128,68,FALSE)</f>
        <v>#N/A</v>
      </c>
      <c r="H323" s="78" t="e">
        <f>VLOOKUP($A323,Data!$D$3:$CJ$128,69,FALSE)</f>
        <v>#N/A</v>
      </c>
      <c r="I323" s="74" t="e">
        <f>VLOOKUP($A323,Data!$D$3:$CJ$128,70,FALSE)</f>
        <v>#N/A</v>
      </c>
      <c r="J323" s="74" t="e">
        <f>VLOOKUP($A323,Data!$D$3:$CJ$128,71,FALSE)</f>
        <v>#N/A</v>
      </c>
      <c r="K323" s="74" t="e">
        <f>VLOOKUP($A323,Data!$D$3:$CJ$128,72,FALSE)</f>
        <v>#N/A</v>
      </c>
      <c r="L323" s="74" t="e">
        <f>VLOOKUP($A323,Data!$D$3:$CJ$128,73,FALSE)</f>
        <v>#N/A</v>
      </c>
      <c r="M323" s="74" t="e">
        <f>VLOOKUP($A323,Data!$D$3:$CJ$128,74,FALSE)</f>
        <v>#N/A</v>
      </c>
      <c r="N323" s="78" t="e">
        <f t="shared" si="67"/>
        <v>#N/A</v>
      </c>
      <c r="O323" s="78" t="e">
        <f t="shared" si="68"/>
        <v>#N/A</v>
      </c>
      <c r="P323" s="78" t="e">
        <f t="shared" si="69"/>
        <v>#N/A</v>
      </c>
      <c r="Q323" s="78" t="e">
        <f t="shared" si="70"/>
        <v>#N/A</v>
      </c>
      <c r="R323" s="78" t="e">
        <f t="shared" si="71"/>
        <v>#N/A</v>
      </c>
      <c r="S323" s="78" t="e">
        <f t="shared" si="72"/>
        <v>#N/A</v>
      </c>
      <c r="T323" s="74" t="e">
        <f t="shared" si="73"/>
        <v>#N/A</v>
      </c>
      <c r="U323" s="74" t="e">
        <f t="shared" si="74"/>
        <v>#N/A</v>
      </c>
      <c r="V323" s="74" t="e">
        <f t="shared" si="75"/>
        <v>#N/A</v>
      </c>
      <c r="W323" s="74" t="e">
        <f t="shared" si="76"/>
        <v>#N/A</v>
      </c>
      <c r="X323" s="74" t="e">
        <f t="shared" si="77"/>
        <v>#N/A</v>
      </c>
      <c r="Y323" s="74" t="e">
        <f t="shared" si="78"/>
        <v>#N/A</v>
      </c>
    </row>
    <row r="324" spans="1:25">
      <c r="A324" s="88">
        <f>'Batch input'!A323</f>
        <v>0</v>
      </c>
      <c r="B324">
        <f>'Batch input'!B323</f>
        <v>0</v>
      </c>
      <c r="C324" t="e">
        <f>VLOOKUP($A324,Data!$D$3:$CJ$128,30,FALSE)</f>
        <v>#N/A</v>
      </c>
      <c r="D324" s="74" t="e">
        <f>VLOOKUP($A324,Data!$D$3:$CJ$128,64,FALSE)</f>
        <v>#N/A</v>
      </c>
      <c r="E324" s="74" t="e">
        <f>VLOOKUP($A324,Data!$D$3:$CJ$128,66,FALSE)</f>
        <v>#N/A</v>
      </c>
      <c r="F324" s="74" t="e">
        <f>VLOOKUP($A324,Data!$D$3:$CJ$128,67,FALSE)</f>
        <v>#N/A</v>
      </c>
      <c r="G324" s="78" t="e">
        <f>VLOOKUP($A324,Data!$D$3:$CJ$128,68,FALSE)</f>
        <v>#N/A</v>
      </c>
      <c r="H324" s="78" t="e">
        <f>VLOOKUP($A324,Data!$D$3:$CJ$128,69,FALSE)</f>
        <v>#N/A</v>
      </c>
      <c r="I324" s="74" t="e">
        <f>VLOOKUP($A324,Data!$D$3:$CJ$128,70,FALSE)</f>
        <v>#N/A</v>
      </c>
      <c r="J324" s="74" t="e">
        <f>VLOOKUP($A324,Data!$D$3:$CJ$128,71,FALSE)</f>
        <v>#N/A</v>
      </c>
      <c r="K324" s="74" t="e">
        <f>VLOOKUP($A324,Data!$D$3:$CJ$128,72,FALSE)</f>
        <v>#N/A</v>
      </c>
      <c r="L324" s="74" t="e">
        <f>VLOOKUP($A324,Data!$D$3:$CJ$128,73,FALSE)</f>
        <v>#N/A</v>
      </c>
      <c r="M324" s="74" t="e">
        <f>VLOOKUP($A324,Data!$D$3:$CJ$128,74,FALSE)</f>
        <v>#N/A</v>
      </c>
      <c r="N324" s="78" t="e">
        <f t="shared" si="67"/>
        <v>#N/A</v>
      </c>
      <c r="O324" s="78" t="e">
        <f t="shared" si="68"/>
        <v>#N/A</v>
      </c>
      <c r="P324" s="78" t="e">
        <f t="shared" si="69"/>
        <v>#N/A</v>
      </c>
      <c r="Q324" s="78" t="e">
        <f t="shared" si="70"/>
        <v>#N/A</v>
      </c>
      <c r="R324" s="78" t="e">
        <f t="shared" si="71"/>
        <v>#N/A</v>
      </c>
      <c r="S324" s="78" t="e">
        <f t="shared" si="72"/>
        <v>#N/A</v>
      </c>
      <c r="T324" s="74" t="e">
        <f t="shared" si="73"/>
        <v>#N/A</v>
      </c>
      <c r="U324" s="74" t="e">
        <f t="shared" si="74"/>
        <v>#N/A</v>
      </c>
      <c r="V324" s="74" t="e">
        <f t="shared" si="75"/>
        <v>#N/A</v>
      </c>
      <c r="W324" s="74" t="e">
        <f t="shared" si="76"/>
        <v>#N/A</v>
      </c>
      <c r="X324" s="74" t="e">
        <f t="shared" si="77"/>
        <v>#N/A</v>
      </c>
      <c r="Y324" s="74" t="e">
        <f t="shared" si="78"/>
        <v>#N/A</v>
      </c>
    </row>
    <row r="325" spans="1:25">
      <c r="A325" s="88">
        <f>'Batch input'!A324</f>
        <v>0</v>
      </c>
      <c r="B325">
        <f>'Batch input'!B324</f>
        <v>0</v>
      </c>
      <c r="C325" t="e">
        <f>VLOOKUP($A325,Data!$D$3:$CJ$128,30,FALSE)</f>
        <v>#N/A</v>
      </c>
      <c r="D325" s="74" t="e">
        <f>VLOOKUP($A325,Data!$D$3:$CJ$128,64,FALSE)</f>
        <v>#N/A</v>
      </c>
      <c r="E325" s="74" t="e">
        <f>VLOOKUP($A325,Data!$D$3:$CJ$128,66,FALSE)</f>
        <v>#N/A</v>
      </c>
      <c r="F325" s="74" t="e">
        <f>VLOOKUP($A325,Data!$D$3:$CJ$128,67,FALSE)</f>
        <v>#N/A</v>
      </c>
      <c r="G325" s="78" t="e">
        <f>VLOOKUP($A325,Data!$D$3:$CJ$128,68,FALSE)</f>
        <v>#N/A</v>
      </c>
      <c r="H325" s="78" t="e">
        <f>VLOOKUP($A325,Data!$D$3:$CJ$128,69,FALSE)</f>
        <v>#N/A</v>
      </c>
      <c r="I325" s="74" t="e">
        <f>VLOOKUP($A325,Data!$D$3:$CJ$128,70,FALSE)</f>
        <v>#N/A</v>
      </c>
      <c r="J325" s="74" t="e">
        <f>VLOOKUP($A325,Data!$D$3:$CJ$128,71,FALSE)</f>
        <v>#N/A</v>
      </c>
      <c r="K325" s="74" t="e">
        <f>VLOOKUP($A325,Data!$D$3:$CJ$128,72,FALSE)</f>
        <v>#N/A</v>
      </c>
      <c r="L325" s="74" t="e">
        <f>VLOOKUP($A325,Data!$D$3:$CJ$128,73,FALSE)</f>
        <v>#N/A</v>
      </c>
      <c r="M325" s="74" t="e">
        <f>VLOOKUP($A325,Data!$D$3:$CJ$128,74,FALSE)</f>
        <v>#N/A</v>
      </c>
      <c r="N325" s="78" t="e">
        <f t="shared" si="67"/>
        <v>#N/A</v>
      </c>
      <c r="O325" s="78" t="e">
        <f t="shared" si="68"/>
        <v>#N/A</v>
      </c>
      <c r="P325" s="78" t="e">
        <f t="shared" si="69"/>
        <v>#N/A</v>
      </c>
      <c r="Q325" s="78" t="e">
        <f t="shared" si="70"/>
        <v>#N/A</v>
      </c>
      <c r="R325" s="78" t="e">
        <f t="shared" si="71"/>
        <v>#N/A</v>
      </c>
      <c r="S325" s="78" t="e">
        <f t="shared" si="72"/>
        <v>#N/A</v>
      </c>
      <c r="T325" s="74" t="e">
        <f t="shared" si="73"/>
        <v>#N/A</v>
      </c>
      <c r="U325" s="74" t="e">
        <f t="shared" si="74"/>
        <v>#N/A</v>
      </c>
      <c r="V325" s="74" t="e">
        <f t="shared" si="75"/>
        <v>#N/A</v>
      </c>
      <c r="W325" s="74" t="e">
        <f t="shared" si="76"/>
        <v>#N/A</v>
      </c>
      <c r="X325" s="74" t="e">
        <f t="shared" si="77"/>
        <v>#N/A</v>
      </c>
      <c r="Y325" s="74" t="e">
        <f t="shared" si="78"/>
        <v>#N/A</v>
      </c>
    </row>
    <row r="326" spans="1:25">
      <c r="A326" s="88">
        <f>'Batch input'!A325</f>
        <v>0</v>
      </c>
      <c r="B326">
        <f>'Batch input'!B325</f>
        <v>0</v>
      </c>
      <c r="C326" t="e">
        <f>VLOOKUP($A326,Data!$D$3:$CJ$128,30,FALSE)</f>
        <v>#N/A</v>
      </c>
      <c r="D326" s="74" t="e">
        <f>VLOOKUP($A326,Data!$D$3:$CJ$128,64,FALSE)</f>
        <v>#N/A</v>
      </c>
      <c r="E326" s="74" t="e">
        <f>VLOOKUP($A326,Data!$D$3:$CJ$128,66,FALSE)</f>
        <v>#N/A</v>
      </c>
      <c r="F326" s="74" t="e">
        <f>VLOOKUP($A326,Data!$D$3:$CJ$128,67,FALSE)</f>
        <v>#N/A</v>
      </c>
      <c r="G326" s="78" t="e">
        <f>VLOOKUP($A326,Data!$D$3:$CJ$128,68,FALSE)</f>
        <v>#N/A</v>
      </c>
      <c r="H326" s="78" t="e">
        <f>VLOOKUP($A326,Data!$D$3:$CJ$128,69,FALSE)</f>
        <v>#N/A</v>
      </c>
      <c r="I326" s="74" t="e">
        <f>VLOOKUP($A326,Data!$D$3:$CJ$128,70,FALSE)</f>
        <v>#N/A</v>
      </c>
      <c r="J326" s="74" t="e">
        <f>VLOOKUP($A326,Data!$D$3:$CJ$128,71,FALSE)</f>
        <v>#N/A</v>
      </c>
      <c r="K326" s="74" t="e">
        <f>VLOOKUP($A326,Data!$D$3:$CJ$128,72,FALSE)</f>
        <v>#N/A</v>
      </c>
      <c r="L326" s="74" t="e">
        <f>VLOOKUP($A326,Data!$D$3:$CJ$128,73,FALSE)</f>
        <v>#N/A</v>
      </c>
      <c r="M326" s="74" t="e">
        <f>VLOOKUP($A326,Data!$D$3:$CJ$128,74,FALSE)</f>
        <v>#N/A</v>
      </c>
      <c r="N326" s="78" t="e">
        <f t="shared" si="67"/>
        <v>#N/A</v>
      </c>
      <c r="O326" s="78" t="e">
        <f t="shared" si="68"/>
        <v>#N/A</v>
      </c>
      <c r="P326" s="78" t="e">
        <f t="shared" si="69"/>
        <v>#N/A</v>
      </c>
      <c r="Q326" s="78" t="e">
        <f t="shared" si="70"/>
        <v>#N/A</v>
      </c>
      <c r="R326" s="78" t="e">
        <f t="shared" si="71"/>
        <v>#N/A</v>
      </c>
      <c r="S326" s="78" t="e">
        <f t="shared" si="72"/>
        <v>#N/A</v>
      </c>
      <c r="T326" s="74" t="e">
        <f t="shared" si="73"/>
        <v>#N/A</v>
      </c>
      <c r="U326" s="74" t="e">
        <f t="shared" si="74"/>
        <v>#N/A</v>
      </c>
      <c r="V326" s="74" t="e">
        <f t="shared" si="75"/>
        <v>#N/A</v>
      </c>
      <c r="W326" s="74" t="e">
        <f t="shared" si="76"/>
        <v>#N/A</v>
      </c>
      <c r="X326" s="74" t="e">
        <f t="shared" si="77"/>
        <v>#N/A</v>
      </c>
      <c r="Y326" s="74" t="e">
        <f t="shared" si="78"/>
        <v>#N/A</v>
      </c>
    </row>
    <row r="327" spans="1:25">
      <c r="A327" s="88">
        <f>'Batch input'!A326</f>
        <v>0</v>
      </c>
      <c r="B327">
        <f>'Batch input'!B326</f>
        <v>0</v>
      </c>
      <c r="C327" t="e">
        <f>VLOOKUP($A327,Data!$D$3:$CJ$128,30,FALSE)</f>
        <v>#N/A</v>
      </c>
      <c r="D327" s="74" t="e">
        <f>VLOOKUP($A327,Data!$D$3:$CJ$128,64,FALSE)</f>
        <v>#N/A</v>
      </c>
      <c r="E327" s="74" t="e">
        <f>VLOOKUP($A327,Data!$D$3:$CJ$128,66,FALSE)</f>
        <v>#N/A</v>
      </c>
      <c r="F327" s="74" t="e">
        <f>VLOOKUP($A327,Data!$D$3:$CJ$128,67,FALSE)</f>
        <v>#N/A</v>
      </c>
      <c r="G327" s="78" t="e">
        <f>VLOOKUP($A327,Data!$D$3:$CJ$128,68,FALSE)</f>
        <v>#N/A</v>
      </c>
      <c r="H327" s="78" t="e">
        <f>VLOOKUP($A327,Data!$D$3:$CJ$128,69,FALSE)</f>
        <v>#N/A</v>
      </c>
      <c r="I327" s="74" t="e">
        <f>VLOOKUP($A327,Data!$D$3:$CJ$128,70,FALSE)</f>
        <v>#N/A</v>
      </c>
      <c r="J327" s="74" t="e">
        <f>VLOOKUP($A327,Data!$D$3:$CJ$128,71,FALSE)</f>
        <v>#N/A</v>
      </c>
      <c r="K327" s="74" t="e">
        <f>VLOOKUP($A327,Data!$D$3:$CJ$128,72,FALSE)</f>
        <v>#N/A</v>
      </c>
      <c r="L327" s="74" t="e">
        <f>VLOOKUP($A327,Data!$D$3:$CJ$128,73,FALSE)</f>
        <v>#N/A</v>
      </c>
      <c r="M327" s="74" t="e">
        <f>VLOOKUP($A327,Data!$D$3:$CJ$128,74,FALSE)</f>
        <v>#N/A</v>
      </c>
      <c r="N327" s="78" t="e">
        <f t="shared" si="67"/>
        <v>#N/A</v>
      </c>
      <c r="O327" s="78" t="e">
        <f t="shared" si="68"/>
        <v>#N/A</v>
      </c>
      <c r="P327" s="78" t="e">
        <f t="shared" si="69"/>
        <v>#N/A</v>
      </c>
      <c r="Q327" s="78" t="e">
        <f t="shared" si="70"/>
        <v>#N/A</v>
      </c>
      <c r="R327" s="78" t="e">
        <f t="shared" si="71"/>
        <v>#N/A</v>
      </c>
      <c r="S327" s="78" t="e">
        <f t="shared" si="72"/>
        <v>#N/A</v>
      </c>
      <c r="T327" s="74" t="e">
        <f t="shared" si="73"/>
        <v>#N/A</v>
      </c>
      <c r="U327" s="74" t="e">
        <f t="shared" si="74"/>
        <v>#N/A</v>
      </c>
      <c r="V327" s="74" t="e">
        <f t="shared" si="75"/>
        <v>#N/A</v>
      </c>
      <c r="W327" s="74" t="e">
        <f t="shared" si="76"/>
        <v>#N/A</v>
      </c>
      <c r="X327" s="74" t="e">
        <f t="shared" si="77"/>
        <v>#N/A</v>
      </c>
      <c r="Y327" s="74" t="e">
        <f t="shared" si="78"/>
        <v>#N/A</v>
      </c>
    </row>
    <row r="328" spans="1:25">
      <c r="A328" s="88">
        <f>'Batch input'!A327</f>
        <v>0</v>
      </c>
      <c r="B328">
        <f>'Batch input'!B327</f>
        <v>0</v>
      </c>
      <c r="C328" t="e">
        <f>VLOOKUP($A328,Data!$D$3:$CJ$128,30,FALSE)</f>
        <v>#N/A</v>
      </c>
      <c r="D328" s="74" t="e">
        <f>VLOOKUP($A328,Data!$D$3:$CJ$128,64,FALSE)</f>
        <v>#N/A</v>
      </c>
      <c r="E328" s="74" t="e">
        <f>VLOOKUP($A328,Data!$D$3:$CJ$128,66,FALSE)</f>
        <v>#N/A</v>
      </c>
      <c r="F328" s="74" t="e">
        <f>VLOOKUP($A328,Data!$D$3:$CJ$128,67,FALSE)</f>
        <v>#N/A</v>
      </c>
      <c r="G328" s="78" t="e">
        <f>VLOOKUP($A328,Data!$D$3:$CJ$128,68,FALSE)</f>
        <v>#N/A</v>
      </c>
      <c r="H328" s="78" t="e">
        <f>VLOOKUP($A328,Data!$D$3:$CJ$128,69,FALSE)</f>
        <v>#N/A</v>
      </c>
      <c r="I328" s="74" t="e">
        <f>VLOOKUP($A328,Data!$D$3:$CJ$128,70,FALSE)</f>
        <v>#N/A</v>
      </c>
      <c r="J328" s="74" t="e">
        <f>VLOOKUP($A328,Data!$D$3:$CJ$128,71,FALSE)</f>
        <v>#N/A</v>
      </c>
      <c r="K328" s="74" t="e">
        <f>VLOOKUP($A328,Data!$D$3:$CJ$128,72,FALSE)</f>
        <v>#N/A</v>
      </c>
      <c r="L328" s="74" t="e">
        <f>VLOOKUP($A328,Data!$D$3:$CJ$128,73,FALSE)</f>
        <v>#N/A</v>
      </c>
      <c r="M328" s="74" t="e">
        <f>VLOOKUP($A328,Data!$D$3:$CJ$128,74,FALSE)</f>
        <v>#N/A</v>
      </c>
      <c r="N328" s="78" t="e">
        <f t="shared" si="67"/>
        <v>#N/A</v>
      </c>
      <c r="O328" s="78" t="e">
        <f t="shared" si="68"/>
        <v>#N/A</v>
      </c>
      <c r="P328" s="78" t="e">
        <f t="shared" si="69"/>
        <v>#N/A</v>
      </c>
      <c r="Q328" s="78" t="e">
        <f t="shared" si="70"/>
        <v>#N/A</v>
      </c>
      <c r="R328" s="78" t="e">
        <f t="shared" si="71"/>
        <v>#N/A</v>
      </c>
      <c r="S328" s="78" t="e">
        <f t="shared" si="72"/>
        <v>#N/A</v>
      </c>
      <c r="T328" s="74" t="e">
        <f t="shared" si="73"/>
        <v>#N/A</v>
      </c>
      <c r="U328" s="74" t="e">
        <f t="shared" si="74"/>
        <v>#N/A</v>
      </c>
      <c r="V328" s="74" t="e">
        <f t="shared" si="75"/>
        <v>#N/A</v>
      </c>
      <c r="W328" s="74" t="e">
        <f t="shared" si="76"/>
        <v>#N/A</v>
      </c>
      <c r="X328" s="74" t="e">
        <f t="shared" si="77"/>
        <v>#N/A</v>
      </c>
      <c r="Y328" s="74" t="e">
        <f t="shared" si="78"/>
        <v>#N/A</v>
      </c>
    </row>
    <row r="329" spans="1:25">
      <c r="A329" s="88">
        <f>'Batch input'!A328</f>
        <v>0</v>
      </c>
      <c r="B329">
        <f>'Batch input'!B328</f>
        <v>0</v>
      </c>
      <c r="C329" t="e">
        <f>VLOOKUP($A329,Data!$D$3:$CJ$128,30,FALSE)</f>
        <v>#N/A</v>
      </c>
      <c r="D329" s="74" t="e">
        <f>VLOOKUP($A329,Data!$D$3:$CJ$128,64,FALSE)</f>
        <v>#N/A</v>
      </c>
      <c r="E329" s="74" t="e">
        <f>VLOOKUP($A329,Data!$D$3:$CJ$128,66,FALSE)</f>
        <v>#N/A</v>
      </c>
      <c r="F329" s="74" t="e">
        <f>VLOOKUP($A329,Data!$D$3:$CJ$128,67,FALSE)</f>
        <v>#N/A</v>
      </c>
      <c r="G329" s="78" t="e">
        <f>VLOOKUP($A329,Data!$D$3:$CJ$128,68,FALSE)</f>
        <v>#N/A</v>
      </c>
      <c r="H329" s="78" t="e">
        <f>VLOOKUP($A329,Data!$D$3:$CJ$128,69,FALSE)</f>
        <v>#N/A</v>
      </c>
      <c r="I329" s="74" t="e">
        <f>VLOOKUP($A329,Data!$D$3:$CJ$128,70,FALSE)</f>
        <v>#N/A</v>
      </c>
      <c r="J329" s="74" t="e">
        <f>VLOOKUP($A329,Data!$D$3:$CJ$128,71,FALSE)</f>
        <v>#N/A</v>
      </c>
      <c r="K329" s="74" t="e">
        <f>VLOOKUP($A329,Data!$D$3:$CJ$128,72,FALSE)</f>
        <v>#N/A</v>
      </c>
      <c r="L329" s="74" t="e">
        <f>VLOOKUP($A329,Data!$D$3:$CJ$128,73,FALSE)</f>
        <v>#N/A</v>
      </c>
      <c r="M329" s="74" t="e">
        <f>VLOOKUP($A329,Data!$D$3:$CJ$128,74,FALSE)</f>
        <v>#N/A</v>
      </c>
      <c r="N329" s="78" t="e">
        <f t="shared" si="67"/>
        <v>#N/A</v>
      </c>
      <c r="O329" s="78" t="e">
        <f t="shared" si="68"/>
        <v>#N/A</v>
      </c>
      <c r="P329" s="78" t="e">
        <f t="shared" si="69"/>
        <v>#N/A</v>
      </c>
      <c r="Q329" s="78" t="e">
        <f t="shared" si="70"/>
        <v>#N/A</v>
      </c>
      <c r="R329" s="78" t="e">
        <f t="shared" si="71"/>
        <v>#N/A</v>
      </c>
      <c r="S329" s="78" t="e">
        <f t="shared" si="72"/>
        <v>#N/A</v>
      </c>
      <c r="T329" s="74" t="e">
        <f t="shared" si="73"/>
        <v>#N/A</v>
      </c>
      <c r="U329" s="74" t="e">
        <f t="shared" si="74"/>
        <v>#N/A</v>
      </c>
      <c r="V329" s="74" t="e">
        <f t="shared" si="75"/>
        <v>#N/A</v>
      </c>
      <c r="W329" s="74" t="e">
        <f t="shared" si="76"/>
        <v>#N/A</v>
      </c>
      <c r="X329" s="74" t="e">
        <f t="shared" si="77"/>
        <v>#N/A</v>
      </c>
      <c r="Y329" s="74" t="e">
        <f t="shared" si="78"/>
        <v>#N/A</v>
      </c>
    </row>
    <row r="330" spans="1:25">
      <c r="A330" s="88">
        <f>'Batch input'!A329</f>
        <v>0</v>
      </c>
      <c r="B330">
        <f>'Batch input'!B329</f>
        <v>0</v>
      </c>
      <c r="C330" t="e">
        <f>VLOOKUP($A330,Data!$D$3:$CJ$128,30,FALSE)</f>
        <v>#N/A</v>
      </c>
      <c r="D330" s="74" t="e">
        <f>VLOOKUP($A330,Data!$D$3:$CJ$128,64,FALSE)</f>
        <v>#N/A</v>
      </c>
      <c r="E330" s="74" t="e">
        <f>VLOOKUP($A330,Data!$D$3:$CJ$128,66,FALSE)</f>
        <v>#N/A</v>
      </c>
      <c r="F330" s="74" t="e">
        <f>VLOOKUP($A330,Data!$D$3:$CJ$128,67,FALSE)</f>
        <v>#N/A</v>
      </c>
      <c r="G330" s="78" t="e">
        <f>VLOOKUP($A330,Data!$D$3:$CJ$128,68,FALSE)</f>
        <v>#N/A</v>
      </c>
      <c r="H330" s="78" t="e">
        <f>VLOOKUP($A330,Data!$D$3:$CJ$128,69,FALSE)</f>
        <v>#N/A</v>
      </c>
      <c r="I330" s="74" t="e">
        <f>VLOOKUP($A330,Data!$D$3:$CJ$128,70,FALSE)</f>
        <v>#N/A</v>
      </c>
      <c r="J330" s="74" t="e">
        <f>VLOOKUP($A330,Data!$D$3:$CJ$128,71,FALSE)</f>
        <v>#N/A</v>
      </c>
      <c r="K330" s="74" t="e">
        <f>VLOOKUP($A330,Data!$D$3:$CJ$128,72,FALSE)</f>
        <v>#N/A</v>
      </c>
      <c r="L330" s="74" t="e">
        <f>VLOOKUP($A330,Data!$D$3:$CJ$128,73,FALSE)</f>
        <v>#N/A</v>
      </c>
      <c r="M330" s="74" t="e">
        <f>VLOOKUP($A330,Data!$D$3:$CJ$128,74,FALSE)</f>
        <v>#N/A</v>
      </c>
      <c r="N330" s="78" t="e">
        <f t="shared" si="67"/>
        <v>#N/A</v>
      </c>
      <c r="O330" s="78" t="e">
        <f t="shared" si="68"/>
        <v>#N/A</v>
      </c>
      <c r="P330" s="78" t="e">
        <f t="shared" si="69"/>
        <v>#N/A</v>
      </c>
      <c r="Q330" s="78" t="e">
        <f t="shared" si="70"/>
        <v>#N/A</v>
      </c>
      <c r="R330" s="78" t="e">
        <f t="shared" si="71"/>
        <v>#N/A</v>
      </c>
      <c r="S330" s="78" t="e">
        <f t="shared" si="72"/>
        <v>#N/A</v>
      </c>
      <c r="T330" s="74" t="e">
        <f t="shared" si="73"/>
        <v>#N/A</v>
      </c>
      <c r="U330" s="74" t="e">
        <f t="shared" si="74"/>
        <v>#N/A</v>
      </c>
      <c r="V330" s="74" t="e">
        <f t="shared" si="75"/>
        <v>#N/A</v>
      </c>
      <c r="W330" s="74" t="e">
        <f t="shared" si="76"/>
        <v>#N/A</v>
      </c>
      <c r="X330" s="74" t="e">
        <f t="shared" si="77"/>
        <v>#N/A</v>
      </c>
      <c r="Y330" s="74" t="e">
        <f t="shared" si="78"/>
        <v>#N/A</v>
      </c>
    </row>
    <row r="331" spans="1:25">
      <c r="A331" s="88">
        <f>'Batch input'!A330</f>
        <v>0</v>
      </c>
      <c r="B331">
        <f>'Batch input'!B330</f>
        <v>0</v>
      </c>
      <c r="C331" t="e">
        <f>VLOOKUP($A331,Data!$D$3:$CJ$128,30,FALSE)</f>
        <v>#N/A</v>
      </c>
      <c r="D331" s="74" t="e">
        <f>VLOOKUP($A331,Data!$D$3:$CJ$128,64,FALSE)</f>
        <v>#N/A</v>
      </c>
      <c r="E331" s="74" t="e">
        <f>VLOOKUP($A331,Data!$D$3:$CJ$128,66,FALSE)</f>
        <v>#N/A</v>
      </c>
      <c r="F331" s="74" t="e">
        <f>VLOOKUP($A331,Data!$D$3:$CJ$128,67,FALSE)</f>
        <v>#N/A</v>
      </c>
      <c r="G331" s="78" t="e">
        <f>VLOOKUP($A331,Data!$D$3:$CJ$128,68,FALSE)</f>
        <v>#N/A</v>
      </c>
      <c r="H331" s="78" t="e">
        <f>VLOOKUP($A331,Data!$D$3:$CJ$128,69,FALSE)</f>
        <v>#N/A</v>
      </c>
      <c r="I331" s="74" t="e">
        <f>VLOOKUP($A331,Data!$D$3:$CJ$128,70,FALSE)</f>
        <v>#N/A</v>
      </c>
      <c r="J331" s="74" t="e">
        <f>VLOOKUP($A331,Data!$D$3:$CJ$128,71,FALSE)</f>
        <v>#N/A</v>
      </c>
      <c r="K331" s="74" t="e">
        <f>VLOOKUP($A331,Data!$D$3:$CJ$128,72,FALSE)</f>
        <v>#N/A</v>
      </c>
      <c r="L331" s="74" t="e">
        <f>VLOOKUP($A331,Data!$D$3:$CJ$128,73,FALSE)</f>
        <v>#N/A</v>
      </c>
      <c r="M331" s="74" t="e">
        <f>VLOOKUP($A331,Data!$D$3:$CJ$128,74,FALSE)</f>
        <v>#N/A</v>
      </c>
      <c r="N331" s="78" t="e">
        <f t="shared" si="67"/>
        <v>#N/A</v>
      </c>
      <c r="O331" s="78" t="e">
        <f t="shared" si="68"/>
        <v>#N/A</v>
      </c>
      <c r="P331" s="78" t="e">
        <f t="shared" si="69"/>
        <v>#N/A</v>
      </c>
      <c r="Q331" s="78" t="e">
        <f t="shared" si="70"/>
        <v>#N/A</v>
      </c>
      <c r="R331" s="78" t="e">
        <f t="shared" si="71"/>
        <v>#N/A</v>
      </c>
      <c r="S331" s="78" t="e">
        <f t="shared" si="72"/>
        <v>#N/A</v>
      </c>
      <c r="T331" s="74" t="e">
        <f t="shared" si="73"/>
        <v>#N/A</v>
      </c>
      <c r="U331" s="74" t="e">
        <f t="shared" si="74"/>
        <v>#N/A</v>
      </c>
      <c r="V331" s="74" t="e">
        <f t="shared" si="75"/>
        <v>#N/A</v>
      </c>
      <c r="W331" s="74" t="e">
        <f t="shared" si="76"/>
        <v>#N/A</v>
      </c>
      <c r="X331" s="74" t="e">
        <f t="shared" si="77"/>
        <v>#N/A</v>
      </c>
      <c r="Y331" s="74" t="e">
        <f t="shared" si="78"/>
        <v>#N/A</v>
      </c>
    </row>
    <row r="332" spans="1:25">
      <c r="A332" s="88">
        <f>'Batch input'!A331</f>
        <v>0</v>
      </c>
      <c r="B332">
        <f>'Batch input'!B331</f>
        <v>0</v>
      </c>
      <c r="C332" t="e">
        <f>VLOOKUP($A332,Data!$D$3:$CJ$128,30,FALSE)</f>
        <v>#N/A</v>
      </c>
      <c r="D332" s="74" t="e">
        <f>VLOOKUP($A332,Data!$D$3:$CJ$128,64,FALSE)</f>
        <v>#N/A</v>
      </c>
      <c r="E332" s="74" t="e">
        <f>VLOOKUP($A332,Data!$D$3:$CJ$128,66,FALSE)</f>
        <v>#N/A</v>
      </c>
      <c r="F332" s="74" t="e">
        <f>VLOOKUP($A332,Data!$D$3:$CJ$128,67,FALSE)</f>
        <v>#N/A</v>
      </c>
      <c r="G332" s="78" t="e">
        <f>VLOOKUP($A332,Data!$D$3:$CJ$128,68,FALSE)</f>
        <v>#N/A</v>
      </c>
      <c r="H332" s="78" t="e">
        <f>VLOOKUP($A332,Data!$D$3:$CJ$128,69,FALSE)</f>
        <v>#N/A</v>
      </c>
      <c r="I332" s="74" t="e">
        <f>VLOOKUP($A332,Data!$D$3:$CJ$128,70,FALSE)</f>
        <v>#N/A</v>
      </c>
      <c r="J332" s="74" t="e">
        <f>VLOOKUP($A332,Data!$D$3:$CJ$128,71,FALSE)</f>
        <v>#N/A</v>
      </c>
      <c r="K332" s="74" t="e">
        <f>VLOOKUP($A332,Data!$D$3:$CJ$128,72,FALSE)</f>
        <v>#N/A</v>
      </c>
      <c r="L332" s="74" t="e">
        <f>VLOOKUP($A332,Data!$D$3:$CJ$128,73,FALSE)</f>
        <v>#N/A</v>
      </c>
      <c r="M332" s="74" t="e">
        <f>VLOOKUP($A332,Data!$D$3:$CJ$128,74,FALSE)</f>
        <v>#N/A</v>
      </c>
      <c r="N332" s="78" t="e">
        <f t="shared" si="67"/>
        <v>#N/A</v>
      </c>
      <c r="O332" s="78" t="e">
        <f t="shared" si="68"/>
        <v>#N/A</v>
      </c>
      <c r="P332" s="78" t="e">
        <f t="shared" si="69"/>
        <v>#N/A</v>
      </c>
      <c r="Q332" s="78" t="e">
        <f t="shared" si="70"/>
        <v>#N/A</v>
      </c>
      <c r="R332" s="78" t="e">
        <f t="shared" si="71"/>
        <v>#N/A</v>
      </c>
      <c r="S332" s="78" t="e">
        <f t="shared" si="72"/>
        <v>#N/A</v>
      </c>
      <c r="T332" s="74" t="e">
        <f t="shared" si="73"/>
        <v>#N/A</v>
      </c>
      <c r="U332" s="74" t="e">
        <f t="shared" si="74"/>
        <v>#N/A</v>
      </c>
      <c r="V332" s="74" t="e">
        <f t="shared" si="75"/>
        <v>#N/A</v>
      </c>
      <c r="W332" s="74" t="e">
        <f t="shared" si="76"/>
        <v>#N/A</v>
      </c>
      <c r="X332" s="74" t="e">
        <f t="shared" si="77"/>
        <v>#N/A</v>
      </c>
      <c r="Y332" s="74" t="e">
        <f t="shared" si="78"/>
        <v>#N/A</v>
      </c>
    </row>
    <row r="333" spans="1:25">
      <c r="A333" s="88">
        <f>'Batch input'!A332</f>
        <v>0</v>
      </c>
      <c r="B333">
        <f>'Batch input'!B332</f>
        <v>0</v>
      </c>
      <c r="C333" t="e">
        <f>VLOOKUP($A333,Data!$D$3:$CJ$128,30,FALSE)</f>
        <v>#N/A</v>
      </c>
      <c r="D333" s="74" t="e">
        <f>VLOOKUP($A333,Data!$D$3:$CJ$128,64,FALSE)</f>
        <v>#N/A</v>
      </c>
      <c r="E333" s="74" t="e">
        <f>VLOOKUP($A333,Data!$D$3:$CJ$128,66,FALSE)</f>
        <v>#N/A</v>
      </c>
      <c r="F333" s="74" t="e">
        <f>VLOOKUP($A333,Data!$D$3:$CJ$128,67,FALSE)</f>
        <v>#N/A</v>
      </c>
      <c r="G333" s="78" t="e">
        <f>VLOOKUP($A333,Data!$D$3:$CJ$128,68,FALSE)</f>
        <v>#N/A</v>
      </c>
      <c r="H333" s="78" t="e">
        <f>VLOOKUP($A333,Data!$D$3:$CJ$128,69,FALSE)</f>
        <v>#N/A</v>
      </c>
      <c r="I333" s="74" t="e">
        <f>VLOOKUP($A333,Data!$D$3:$CJ$128,70,FALSE)</f>
        <v>#N/A</v>
      </c>
      <c r="J333" s="74" t="e">
        <f>VLOOKUP($A333,Data!$D$3:$CJ$128,71,FALSE)</f>
        <v>#N/A</v>
      </c>
      <c r="K333" s="74" t="e">
        <f>VLOOKUP($A333,Data!$D$3:$CJ$128,72,FALSE)</f>
        <v>#N/A</v>
      </c>
      <c r="L333" s="74" t="e">
        <f>VLOOKUP($A333,Data!$D$3:$CJ$128,73,FALSE)</f>
        <v>#N/A</v>
      </c>
      <c r="M333" s="74" t="e">
        <f>VLOOKUP($A333,Data!$D$3:$CJ$128,74,FALSE)</f>
        <v>#N/A</v>
      </c>
      <c r="N333" s="78" t="e">
        <f t="shared" si="67"/>
        <v>#N/A</v>
      </c>
      <c r="O333" s="78" t="e">
        <f t="shared" si="68"/>
        <v>#N/A</v>
      </c>
      <c r="P333" s="78" t="e">
        <f t="shared" si="69"/>
        <v>#N/A</v>
      </c>
      <c r="Q333" s="78" t="e">
        <f t="shared" si="70"/>
        <v>#N/A</v>
      </c>
      <c r="R333" s="78" t="e">
        <f t="shared" si="71"/>
        <v>#N/A</v>
      </c>
      <c r="S333" s="78" t="e">
        <f t="shared" si="72"/>
        <v>#N/A</v>
      </c>
      <c r="T333" s="74" t="e">
        <f t="shared" si="73"/>
        <v>#N/A</v>
      </c>
      <c r="U333" s="74" t="e">
        <f t="shared" si="74"/>
        <v>#N/A</v>
      </c>
      <c r="V333" s="74" t="e">
        <f t="shared" si="75"/>
        <v>#N/A</v>
      </c>
      <c r="W333" s="74" t="e">
        <f t="shared" si="76"/>
        <v>#N/A</v>
      </c>
      <c r="X333" s="74" t="e">
        <f t="shared" si="77"/>
        <v>#N/A</v>
      </c>
      <c r="Y333" s="74" t="e">
        <f t="shared" si="78"/>
        <v>#N/A</v>
      </c>
    </row>
    <row r="334" spans="1:25">
      <c r="A334" s="88">
        <f>'Batch input'!A333</f>
        <v>0</v>
      </c>
      <c r="B334">
        <f>'Batch input'!B333</f>
        <v>0</v>
      </c>
      <c r="C334" t="e">
        <f>VLOOKUP($A334,Data!$D$3:$CJ$128,30,FALSE)</f>
        <v>#N/A</v>
      </c>
      <c r="D334" s="74" t="e">
        <f>VLOOKUP($A334,Data!$D$3:$CJ$128,64,FALSE)</f>
        <v>#N/A</v>
      </c>
      <c r="E334" s="74" t="e">
        <f>VLOOKUP($A334,Data!$D$3:$CJ$128,66,FALSE)</f>
        <v>#N/A</v>
      </c>
      <c r="F334" s="74" t="e">
        <f>VLOOKUP($A334,Data!$D$3:$CJ$128,67,FALSE)</f>
        <v>#N/A</v>
      </c>
      <c r="G334" s="78" t="e">
        <f>VLOOKUP($A334,Data!$D$3:$CJ$128,68,FALSE)</f>
        <v>#N/A</v>
      </c>
      <c r="H334" s="78" t="e">
        <f>VLOOKUP($A334,Data!$D$3:$CJ$128,69,FALSE)</f>
        <v>#N/A</v>
      </c>
      <c r="I334" s="74" t="e">
        <f>VLOOKUP($A334,Data!$D$3:$CJ$128,70,FALSE)</f>
        <v>#N/A</v>
      </c>
      <c r="J334" s="74" t="e">
        <f>VLOOKUP($A334,Data!$D$3:$CJ$128,71,FALSE)</f>
        <v>#N/A</v>
      </c>
      <c r="K334" s="74" t="e">
        <f>VLOOKUP($A334,Data!$D$3:$CJ$128,72,FALSE)</f>
        <v>#N/A</v>
      </c>
      <c r="L334" s="74" t="e">
        <f>VLOOKUP($A334,Data!$D$3:$CJ$128,73,FALSE)</f>
        <v>#N/A</v>
      </c>
      <c r="M334" s="74" t="e">
        <f>VLOOKUP($A334,Data!$D$3:$CJ$128,74,FALSE)</f>
        <v>#N/A</v>
      </c>
      <c r="N334" s="78" t="e">
        <f t="shared" si="67"/>
        <v>#N/A</v>
      </c>
      <c r="O334" s="78" t="e">
        <f t="shared" si="68"/>
        <v>#N/A</v>
      </c>
      <c r="P334" s="78" t="e">
        <f t="shared" si="69"/>
        <v>#N/A</v>
      </c>
      <c r="Q334" s="78" t="e">
        <f t="shared" si="70"/>
        <v>#N/A</v>
      </c>
      <c r="R334" s="78" t="e">
        <f t="shared" si="71"/>
        <v>#N/A</v>
      </c>
      <c r="S334" s="78" t="e">
        <f t="shared" si="72"/>
        <v>#N/A</v>
      </c>
      <c r="T334" s="74" t="e">
        <f t="shared" si="73"/>
        <v>#N/A</v>
      </c>
      <c r="U334" s="74" t="e">
        <f t="shared" si="74"/>
        <v>#N/A</v>
      </c>
      <c r="V334" s="74" t="e">
        <f t="shared" si="75"/>
        <v>#N/A</v>
      </c>
      <c r="W334" s="74" t="e">
        <f t="shared" si="76"/>
        <v>#N/A</v>
      </c>
      <c r="X334" s="74" t="e">
        <f t="shared" si="77"/>
        <v>#N/A</v>
      </c>
      <c r="Y334" s="74" t="e">
        <f t="shared" si="78"/>
        <v>#N/A</v>
      </c>
    </row>
    <row r="335" spans="1:25">
      <c r="A335" s="88">
        <f>'Batch input'!A334</f>
        <v>0</v>
      </c>
      <c r="B335">
        <f>'Batch input'!B334</f>
        <v>0</v>
      </c>
      <c r="C335" t="e">
        <f>VLOOKUP($A335,Data!$D$3:$CJ$128,30,FALSE)</f>
        <v>#N/A</v>
      </c>
      <c r="D335" s="74" t="e">
        <f>VLOOKUP($A335,Data!$D$3:$CJ$128,64,FALSE)</f>
        <v>#N/A</v>
      </c>
      <c r="E335" s="74" t="e">
        <f>VLOOKUP($A335,Data!$D$3:$CJ$128,66,FALSE)</f>
        <v>#N/A</v>
      </c>
      <c r="F335" s="74" t="e">
        <f>VLOOKUP($A335,Data!$D$3:$CJ$128,67,FALSE)</f>
        <v>#N/A</v>
      </c>
      <c r="G335" s="78" t="e">
        <f>VLOOKUP($A335,Data!$D$3:$CJ$128,68,FALSE)</f>
        <v>#N/A</v>
      </c>
      <c r="H335" s="78" t="e">
        <f>VLOOKUP($A335,Data!$D$3:$CJ$128,69,FALSE)</f>
        <v>#N/A</v>
      </c>
      <c r="I335" s="74" t="e">
        <f>VLOOKUP($A335,Data!$D$3:$CJ$128,70,FALSE)</f>
        <v>#N/A</v>
      </c>
      <c r="J335" s="74" t="e">
        <f>VLOOKUP($A335,Data!$D$3:$CJ$128,71,FALSE)</f>
        <v>#N/A</v>
      </c>
      <c r="K335" s="74" t="e">
        <f>VLOOKUP($A335,Data!$D$3:$CJ$128,72,FALSE)</f>
        <v>#N/A</v>
      </c>
      <c r="L335" s="74" t="e">
        <f>VLOOKUP($A335,Data!$D$3:$CJ$128,73,FALSE)</f>
        <v>#N/A</v>
      </c>
      <c r="M335" s="74" t="e">
        <f>VLOOKUP($A335,Data!$D$3:$CJ$128,74,FALSE)</f>
        <v>#N/A</v>
      </c>
      <c r="N335" s="78" t="e">
        <f t="shared" si="67"/>
        <v>#N/A</v>
      </c>
      <c r="O335" s="78" t="e">
        <f t="shared" si="68"/>
        <v>#N/A</v>
      </c>
      <c r="P335" s="78" t="e">
        <f t="shared" si="69"/>
        <v>#N/A</v>
      </c>
      <c r="Q335" s="78" t="e">
        <f t="shared" si="70"/>
        <v>#N/A</v>
      </c>
      <c r="R335" s="78" t="e">
        <f t="shared" si="71"/>
        <v>#N/A</v>
      </c>
      <c r="S335" s="78" t="e">
        <f t="shared" si="72"/>
        <v>#N/A</v>
      </c>
      <c r="T335" s="74" t="e">
        <f t="shared" si="73"/>
        <v>#N/A</v>
      </c>
      <c r="U335" s="74" t="e">
        <f t="shared" si="74"/>
        <v>#N/A</v>
      </c>
      <c r="V335" s="74" t="e">
        <f t="shared" si="75"/>
        <v>#N/A</v>
      </c>
      <c r="W335" s="74" t="e">
        <f t="shared" si="76"/>
        <v>#N/A</v>
      </c>
      <c r="X335" s="74" t="e">
        <f t="shared" si="77"/>
        <v>#N/A</v>
      </c>
      <c r="Y335" s="74" t="e">
        <f t="shared" si="78"/>
        <v>#N/A</v>
      </c>
    </row>
    <row r="336" spans="1:25">
      <c r="A336" s="88">
        <f>'Batch input'!A335</f>
        <v>0</v>
      </c>
      <c r="B336">
        <f>'Batch input'!B335</f>
        <v>0</v>
      </c>
      <c r="C336" t="e">
        <f>VLOOKUP($A336,Data!$D$3:$CJ$128,30,FALSE)</f>
        <v>#N/A</v>
      </c>
      <c r="D336" s="74" t="e">
        <f>VLOOKUP($A336,Data!$D$3:$CJ$128,64,FALSE)</f>
        <v>#N/A</v>
      </c>
      <c r="E336" s="74" t="e">
        <f>VLOOKUP($A336,Data!$D$3:$CJ$128,66,FALSE)</f>
        <v>#N/A</v>
      </c>
      <c r="F336" s="74" t="e">
        <f>VLOOKUP($A336,Data!$D$3:$CJ$128,67,FALSE)</f>
        <v>#N/A</v>
      </c>
      <c r="G336" s="78" t="e">
        <f>VLOOKUP($A336,Data!$D$3:$CJ$128,68,FALSE)</f>
        <v>#N/A</v>
      </c>
      <c r="H336" s="78" t="e">
        <f>VLOOKUP($A336,Data!$D$3:$CJ$128,69,FALSE)</f>
        <v>#N/A</v>
      </c>
      <c r="I336" s="74" t="e">
        <f>VLOOKUP($A336,Data!$D$3:$CJ$128,70,FALSE)</f>
        <v>#N/A</v>
      </c>
      <c r="J336" s="74" t="e">
        <f>VLOOKUP($A336,Data!$D$3:$CJ$128,71,FALSE)</f>
        <v>#N/A</v>
      </c>
      <c r="K336" s="74" t="e">
        <f>VLOOKUP($A336,Data!$D$3:$CJ$128,72,FALSE)</f>
        <v>#N/A</v>
      </c>
      <c r="L336" s="74" t="e">
        <f>VLOOKUP($A336,Data!$D$3:$CJ$128,73,FALSE)</f>
        <v>#N/A</v>
      </c>
      <c r="M336" s="74" t="e">
        <f>VLOOKUP($A336,Data!$D$3:$CJ$128,74,FALSE)</f>
        <v>#N/A</v>
      </c>
      <c r="N336" s="78" t="e">
        <f t="shared" si="67"/>
        <v>#N/A</v>
      </c>
      <c r="O336" s="78" t="e">
        <f t="shared" si="68"/>
        <v>#N/A</v>
      </c>
      <c r="P336" s="78" t="e">
        <f t="shared" si="69"/>
        <v>#N/A</v>
      </c>
      <c r="Q336" s="78" t="e">
        <f t="shared" si="70"/>
        <v>#N/A</v>
      </c>
      <c r="R336" s="78" t="e">
        <f t="shared" si="71"/>
        <v>#N/A</v>
      </c>
      <c r="S336" s="78" t="e">
        <f t="shared" si="72"/>
        <v>#N/A</v>
      </c>
      <c r="T336" s="74" t="e">
        <f t="shared" si="73"/>
        <v>#N/A</v>
      </c>
      <c r="U336" s="74" t="e">
        <f t="shared" si="74"/>
        <v>#N/A</v>
      </c>
      <c r="V336" s="74" t="e">
        <f t="shared" si="75"/>
        <v>#N/A</v>
      </c>
      <c r="W336" s="74" t="e">
        <f t="shared" si="76"/>
        <v>#N/A</v>
      </c>
      <c r="X336" s="74" t="e">
        <f t="shared" si="77"/>
        <v>#N/A</v>
      </c>
      <c r="Y336" s="74" t="e">
        <f t="shared" si="78"/>
        <v>#N/A</v>
      </c>
    </row>
    <row r="337" spans="1:25">
      <c r="A337" s="88">
        <f>'Batch input'!A336</f>
        <v>0</v>
      </c>
      <c r="B337">
        <f>'Batch input'!B336</f>
        <v>0</v>
      </c>
      <c r="C337" t="e">
        <f>VLOOKUP($A337,Data!$D$3:$CJ$128,30,FALSE)</f>
        <v>#N/A</v>
      </c>
      <c r="D337" s="74" t="e">
        <f>VLOOKUP($A337,Data!$D$3:$CJ$128,64,FALSE)</f>
        <v>#N/A</v>
      </c>
      <c r="E337" s="74" t="e">
        <f>VLOOKUP($A337,Data!$D$3:$CJ$128,66,FALSE)</f>
        <v>#N/A</v>
      </c>
      <c r="F337" s="74" t="e">
        <f>VLOOKUP($A337,Data!$D$3:$CJ$128,67,FALSE)</f>
        <v>#N/A</v>
      </c>
      <c r="G337" s="78" t="e">
        <f>VLOOKUP($A337,Data!$D$3:$CJ$128,68,FALSE)</f>
        <v>#N/A</v>
      </c>
      <c r="H337" s="78" t="e">
        <f>VLOOKUP($A337,Data!$D$3:$CJ$128,69,FALSE)</f>
        <v>#N/A</v>
      </c>
      <c r="I337" s="74" t="e">
        <f>VLOOKUP($A337,Data!$D$3:$CJ$128,70,FALSE)</f>
        <v>#N/A</v>
      </c>
      <c r="J337" s="74" t="e">
        <f>VLOOKUP($A337,Data!$D$3:$CJ$128,71,FALSE)</f>
        <v>#N/A</v>
      </c>
      <c r="K337" s="74" t="e">
        <f>VLOOKUP($A337,Data!$D$3:$CJ$128,72,FALSE)</f>
        <v>#N/A</v>
      </c>
      <c r="L337" s="74" t="e">
        <f>VLOOKUP($A337,Data!$D$3:$CJ$128,73,FALSE)</f>
        <v>#N/A</v>
      </c>
      <c r="M337" s="74" t="e">
        <f>VLOOKUP($A337,Data!$D$3:$CJ$128,74,FALSE)</f>
        <v>#N/A</v>
      </c>
      <c r="N337" s="78" t="e">
        <f t="shared" si="67"/>
        <v>#N/A</v>
      </c>
      <c r="O337" s="78" t="e">
        <f t="shared" si="68"/>
        <v>#N/A</v>
      </c>
      <c r="P337" s="78" t="e">
        <f t="shared" si="69"/>
        <v>#N/A</v>
      </c>
      <c r="Q337" s="78" t="e">
        <f t="shared" si="70"/>
        <v>#N/A</v>
      </c>
      <c r="R337" s="78" t="e">
        <f t="shared" si="71"/>
        <v>#N/A</v>
      </c>
      <c r="S337" s="78" t="e">
        <f t="shared" si="72"/>
        <v>#N/A</v>
      </c>
      <c r="T337" s="74" t="e">
        <f t="shared" si="73"/>
        <v>#N/A</v>
      </c>
      <c r="U337" s="74" t="e">
        <f t="shared" si="74"/>
        <v>#N/A</v>
      </c>
      <c r="V337" s="74" t="e">
        <f t="shared" si="75"/>
        <v>#N/A</v>
      </c>
      <c r="W337" s="74" t="e">
        <f t="shared" si="76"/>
        <v>#N/A</v>
      </c>
      <c r="X337" s="74" t="e">
        <f t="shared" si="77"/>
        <v>#N/A</v>
      </c>
      <c r="Y337" s="74" t="e">
        <f t="shared" si="78"/>
        <v>#N/A</v>
      </c>
    </row>
    <row r="338" spans="1:25">
      <c r="A338" s="88">
        <f>'Batch input'!A337</f>
        <v>0</v>
      </c>
      <c r="B338">
        <f>'Batch input'!B337</f>
        <v>0</v>
      </c>
      <c r="C338" t="e">
        <f>VLOOKUP($A338,Data!$D$3:$CJ$128,30,FALSE)</f>
        <v>#N/A</v>
      </c>
      <c r="D338" s="74" t="e">
        <f>VLOOKUP($A338,Data!$D$3:$CJ$128,64,FALSE)</f>
        <v>#N/A</v>
      </c>
      <c r="E338" s="74" t="e">
        <f>VLOOKUP($A338,Data!$D$3:$CJ$128,66,FALSE)</f>
        <v>#N/A</v>
      </c>
      <c r="F338" s="74" t="e">
        <f>VLOOKUP($A338,Data!$D$3:$CJ$128,67,FALSE)</f>
        <v>#N/A</v>
      </c>
      <c r="G338" s="78" t="e">
        <f>VLOOKUP($A338,Data!$D$3:$CJ$128,68,FALSE)</f>
        <v>#N/A</v>
      </c>
      <c r="H338" s="78" t="e">
        <f>VLOOKUP($A338,Data!$D$3:$CJ$128,69,FALSE)</f>
        <v>#N/A</v>
      </c>
      <c r="I338" s="74" t="e">
        <f>VLOOKUP($A338,Data!$D$3:$CJ$128,70,FALSE)</f>
        <v>#N/A</v>
      </c>
      <c r="J338" s="74" t="e">
        <f>VLOOKUP($A338,Data!$D$3:$CJ$128,71,FALSE)</f>
        <v>#N/A</v>
      </c>
      <c r="K338" s="74" t="e">
        <f>VLOOKUP($A338,Data!$D$3:$CJ$128,72,FALSE)</f>
        <v>#N/A</v>
      </c>
      <c r="L338" s="74" t="e">
        <f>VLOOKUP($A338,Data!$D$3:$CJ$128,73,FALSE)</f>
        <v>#N/A</v>
      </c>
      <c r="M338" s="74" t="e">
        <f>VLOOKUP($A338,Data!$D$3:$CJ$128,74,FALSE)</f>
        <v>#N/A</v>
      </c>
      <c r="N338" s="78" t="e">
        <f t="shared" si="67"/>
        <v>#N/A</v>
      </c>
      <c r="O338" s="78" t="e">
        <f t="shared" si="68"/>
        <v>#N/A</v>
      </c>
      <c r="P338" s="78" t="e">
        <f t="shared" si="69"/>
        <v>#N/A</v>
      </c>
      <c r="Q338" s="78" t="e">
        <f t="shared" si="70"/>
        <v>#N/A</v>
      </c>
      <c r="R338" s="78" t="e">
        <f t="shared" si="71"/>
        <v>#N/A</v>
      </c>
      <c r="S338" s="78" t="e">
        <f t="shared" si="72"/>
        <v>#N/A</v>
      </c>
      <c r="T338" s="74" t="e">
        <f t="shared" si="73"/>
        <v>#N/A</v>
      </c>
      <c r="U338" s="74" t="e">
        <f t="shared" si="74"/>
        <v>#N/A</v>
      </c>
      <c r="V338" s="74" t="e">
        <f t="shared" si="75"/>
        <v>#N/A</v>
      </c>
      <c r="W338" s="74" t="e">
        <f t="shared" si="76"/>
        <v>#N/A</v>
      </c>
      <c r="X338" s="74" t="e">
        <f t="shared" si="77"/>
        <v>#N/A</v>
      </c>
      <c r="Y338" s="74" t="e">
        <f t="shared" si="78"/>
        <v>#N/A</v>
      </c>
    </row>
    <row r="339" spans="1:25">
      <c r="A339" s="88">
        <f>'Batch input'!A338</f>
        <v>0</v>
      </c>
      <c r="B339">
        <f>'Batch input'!B338</f>
        <v>0</v>
      </c>
      <c r="C339" t="e">
        <f>VLOOKUP($A339,Data!$D$3:$CJ$128,30,FALSE)</f>
        <v>#N/A</v>
      </c>
      <c r="D339" s="74" t="e">
        <f>VLOOKUP($A339,Data!$D$3:$CJ$128,64,FALSE)</f>
        <v>#N/A</v>
      </c>
      <c r="E339" s="74" t="e">
        <f>VLOOKUP($A339,Data!$D$3:$CJ$128,66,FALSE)</f>
        <v>#N/A</v>
      </c>
      <c r="F339" s="74" t="e">
        <f>VLOOKUP($A339,Data!$D$3:$CJ$128,67,FALSE)</f>
        <v>#N/A</v>
      </c>
      <c r="G339" s="78" t="e">
        <f>VLOOKUP($A339,Data!$D$3:$CJ$128,68,FALSE)</f>
        <v>#N/A</v>
      </c>
      <c r="H339" s="78" t="e">
        <f>VLOOKUP($A339,Data!$D$3:$CJ$128,69,FALSE)</f>
        <v>#N/A</v>
      </c>
      <c r="I339" s="74" t="e">
        <f>VLOOKUP($A339,Data!$D$3:$CJ$128,70,FALSE)</f>
        <v>#N/A</v>
      </c>
      <c r="J339" s="74" t="e">
        <f>VLOOKUP($A339,Data!$D$3:$CJ$128,71,FALSE)</f>
        <v>#N/A</v>
      </c>
      <c r="K339" s="74" t="e">
        <f>VLOOKUP($A339,Data!$D$3:$CJ$128,72,FALSE)</f>
        <v>#N/A</v>
      </c>
      <c r="L339" s="74" t="e">
        <f>VLOOKUP($A339,Data!$D$3:$CJ$128,73,FALSE)</f>
        <v>#N/A</v>
      </c>
      <c r="M339" s="74" t="e">
        <f>VLOOKUP($A339,Data!$D$3:$CJ$128,74,FALSE)</f>
        <v>#N/A</v>
      </c>
      <c r="N339" s="78" t="e">
        <f t="shared" si="67"/>
        <v>#N/A</v>
      </c>
      <c r="O339" s="78" t="e">
        <f t="shared" si="68"/>
        <v>#N/A</v>
      </c>
      <c r="P339" s="78" t="e">
        <f t="shared" si="69"/>
        <v>#N/A</v>
      </c>
      <c r="Q339" s="78" t="e">
        <f t="shared" si="70"/>
        <v>#N/A</v>
      </c>
      <c r="R339" s="78" t="e">
        <f t="shared" si="71"/>
        <v>#N/A</v>
      </c>
      <c r="S339" s="78" t="e">
        <f t="shared" si="72"/>
        <v>#N/A</v>
      </c>
      <c r="T339" s="74" t="e">
        <f t="shared" si="73"/>
        <v>#N/A</v>
      </c>
      <c r="U339" s="74" t="e">
        <f t="shared" si="74"/>
        <v>#N/A</v>
      </c>
      <c r="V339" s="74" t="e">
        <f t="shared" si="75"/>
        <v>#N/A</v>
      </c>
      <c r="W339" s="74" t="e">
        <f t="shared" si="76"/>
        <v>#N/A</v>
      </c>
      <c r="X339" s="74" t="e">
        <f t="shared" si="77"/>
        <v>#N/A</v>
      </c>
      <c r="Y339" s="74" t="e">
        <f t="shared" si="78"/>
        <v>#N/A</v>
      </c>
    </row>
    <row r="340" spans="1:25">
      <c r="A340" s="88">
        <f>'Batch input'!A339</f>
        <v>0</v>
      </c>
      <c r="B340">
        <f>'Batch input'!B339</f>
        <v>0</v>
      </c>
      <c r="C340" t="e">
        <f>VLOOKUP($A340,Data!$D$3:$CJ$128,30,FALSE)</f>
        <v>#N/A</v>
      </c>
      <c r="D340" s="74" t="e">
        <f>VLOOKUP($A340,Data!$D$3:$CJ$128,64,FALSE)</f>
        <v>#N/A</v>
      </c>
      <c r="E340" s="74" t="e">
        <f>VLOOKUP($A340,Data!$D$3:$CJ$128,66,FALSE)</f>
        <v>#N/A</v>
      </c>
      <c r="F340" s="74" t="e">
        <f>VLOOKUP($A340,Data!$D$3:$CJ$128,67,FALSE)</f>
        <v>#N/A</v>
      </c>
      <c r="G340" s="78" t="e">
        <f>VLOOKUP($A340,Data!$D$3:$CJ$128,68,FALSE)</f>
        <v>#N/A</v>
      </c>
      <c r="H340" s="78" t="e">
        <f>VLOOKUP($A340,Data!$D$3:$CJ$128,69,FALSE)</f>
        <v>#N/A</v>
      </c>
      <c r="I340" s="74" t="e">
        <f>VLOOKUP($A340,Data!$D$3:$CJ$128,70,FALSE)</f>
        <v>#N/A</v>
      </c>
      <c r="J340" s="74" t="e">
        <f>VLOOKUP($A340,Data!$D$3:$CJ$128,71,FALSE)</f>
        <v>#N/A</v>
      </c>
      <c r="K340" s="74" t="e">
        <f>VLOOKUP($A340,Data!$D$3:$CJ$128,72,FALSE)</f>
        <v>#N/A</v>
      </c>
      <c r="L340" s="74" t="e">
        <f>VLOOKUP($A340,Data!$D$3:$CJ$128,73,FALSE)</f>
        <v>#N/A</v>
      </c>
      <c r="M340" s="74" t="e">
        <f>VLOOKUP($A340,Data!$D$3:$CJ$128,74,FALSE)</f>
        <v>#N/A</v>
      </c>
      <c r="N340" s="78" t="e">
        <f t="shared" si="67"/>
        <v>#N/A</v>
      </c>
      <c r="O340" s="78" t="e">
        <f t="shared" si="68"/>
        <v>#N/A</v>
      </c>
      <c r="P340" s="78" t="e">
        <f t="shared" si="69"/>
        <v>#N/A</v>
      </c>
      <c r="Q340" s="78" t="e">
        <f t="shared" si="70"/>
        <v>#N/A</v>
      </c>
      <c r="R340" s="78" t="e">
        <f t="shared" si="71"/>
        <v>#N/A</v>
      </c>
      <c r="S340" s="78" t="e">
        <f t="shared" si="72"/>
        <v>#N/A</v>
      </c>
      <c r="T340" s="74" t="e">
        <f t="shared" si="73"/>
        <v>#N/A</v>
      </c>
      <c r="U340" s="74" t="e">
        <f t="shared" si="74"/>
        <v>#N/A</v>
      </c>
      <c r="V340" s="74" t="e">
        <f t="shared" si="75"/>
        <v>#N/A</v>
      </c>
      <c r="W340" s="74" t="e">
        <f t="shared" si="76"/>
        <v>#N/A</v>
      </c>
      <c r="X340" s="74" t="e">
        <f t="shared" si="77"/>
        <v>#N/A</v>
      </c>
      <c r="Y340" s="74" t="e">
        <f t="shared" si="78"/>
        <v>#N/A</v>
      </c>
    </row>
    <row r="341" spans="1:25">
      <c r="A341" s="88">
        <f>'Batch input'!A340</f>
        <v>0</v>
      </c>
      <c r="B341">
        <f>'Batch input'!B340</f>
        <v>0</v>
      </c>
      <c r="C341" t="e">
        <f>VLOOKUP($A341,Data!$D$3:$CJ$128,30,FALSE)</f>
        <v>#N/A</v>
      </c>
      <c r="D341" s="74" t="e">
        <f>VLOOKUP($A341,Data!$D$3:$CJ$128,64,FALSE)</f>
        <v>#N/A</v>
      </c>
      <c r="E341" s="74" t="e">
        <f>VLOOKUP($A341,Data!$D$3:$CJ$128,66,FALSE)</f>
        <v>#N/A</v>
      </c>
      <c r="F341" s="74" t="e">
        <f>VLOOKUP($A341,Data!$D$3:$CJ$128,67,FALSE)</f>
        <v>#N/A</v>
      </c>
      <c r="G341" s="78" t="e">
        <f>VLOOKUP($A341,Data!$D$3:$CJ$128,68,FALSE)</f>
        <v>#N/A</v>
      </c>
      <c r="H341" s="78" t="e">
        <f>VLOOKUP($A341,Data!$D$3:$CJ$128,69,FALSE)</f>
        <v>#N/A</v>
      </c>
      <c r="I341" s="74" t="e">
        <f>VLOOKUP($A341,Data!$D$3:$CJ$128,70,FALSE)</f>
        <v>#N/A</v>
      </c>
      <c r="J341" s="74" t="e">
        <f>VLOOKUP($A341,Data!$D$3:$CJ$128,71,FALSE)</f>
        <v>#N/A</v>
      </c>
      <c r="K341" s="74" t="e">
        <f>VLOOKUP($A341,Data!$D$3:$CJ$128,72,FALSE)</f>
        <v>#N/A</v>
      </c>
      <c r="L341" s="74" t="e">
        <f>VLOOKUP($A341,Data!$D$3:$CJ$128,73,FALSE)</f>
        <v>#N/A</v>
      </c>
      <c r="M341" s="74" t="e">
        <f>VLOOKUP($A341,Data!$D$3:$CJ$128,74,FALSE)</f>
        <v>#N/A</v>
      </c>
      <c r="N341" s="78" t="e">
        <f t="shared" si="67"/>
        <v>#N/A</v>
      </c>
      <c r="O341" s="78" t="e">
        <f t="shared" si="68"/>
        <v>#N/A</v>
      </c>
      <c r="P341" s="78" t="e">
        <f t="shared" si="69"/>
        <v>#N/A</v>
      </c>
      <c r="Q341" s="78" t="e">
        <f t="shared" si="70"/>
        <v>#N/A</v>
      </c>
      <c r="R341" s="78" t="e">
        <f t="shared" si="71"/>
        <v>#N/A</v>
      </c>
      <c r="S341" s="78" t="e">
        <f t="shared" si="72"/>
        <v>#N/A</v>
      </c>
      <c r="T341" s="74" t="e">
        <f t="shared" si="73"/>
        <v>#N/A</v>
      </c>
      <c r="U341" s="74" t="e">
        <f t="shared" si="74"/>
        <v>#N/A</v>
      </c>
      <c r="V341" s="74" t="e">
        <f t="shared" si="75"/>
        <v>#N/A</v>
      </c>
      <c r="W341" s="74" t="e">
        <f t="shared" si="76"/>
        <v>#N/A</v>
      </c>
      <c r="X341" s="74" t="e">
        <f t="shared" si="77"/>
        <v>#N/A</v>
      </c>
      <c r="Y341" s="74" t="e">
        <f t="shared" si="78"/>
        <v>#N/A</v>
      </c>
    </row>
    <row r="342" spans="1:25">
      <c r="A342" s="88">
        <f>'Batch input'!A341</f>
        <v>0</v>
      </c>
      <c r="B342">
        <f>'Batch input'!B341</f>
        <v>0</v>
      </c>
      <c r="C342" t="e">
        <f>VLOOKUP($A342,Data!$D$3:$CJ$128,30,FALSE)</f>
        <v>#N/A</v>
      </c>
      <c r="D342" s="74" t="e">
        <f>VLOOKUP($A342,Data!$D$3:$CJ$128,64,FALSE)</f>
        <v>#N/A</v>
      </c>
      <c r="E342" s="74" t="e">
        <f>VLOOKUP($A342,Data!$D$3:$CJ$128,66,FALSE)</f>
        <v>#N/A</v>
      </c>
      <c r="F342" s="74" t="e">
        <f>VLOOKUP($A342,Data!$D$3:$CJ$128,67,FALSE)</f>
        <v>#N/A</v>
      </c>
      <c r="G342" s="78" t="e">
        <f>VLOOKUP($A342,Data!$D$3:$CJ$128,68,FALSE)</f>
        <v>#N/A</v>
      </c>
      <c r="H342" s="78" t="e">
        <f>VLOOKUP($A342,Data!$D$3:$CJ$128,69,FALSE)</f>
        <v>#N/A</v>
      </c>
      <c r="I342" s="74" t="e">
        <f>VLOOKUP($A342,Data!$D$3:$CJ$128,70,FALSE)</f>
        <v>#N/A</v>
      </c>
      <c r="J342" s="74" t="e">
        <f>VLOOKUP($A342,Data!$D$3:$CJ$128,71,FALSE)</f>
        <v>#N/A</v>
      </c>
      <c r="K342" s="74" t="e">
        <f>VLOOKUP($A342,Data!$D$3:$CJ$128,72,FALSE)</f>
        <v>#N/A</v>
      </c>
      <c r="L342" s="74" t="e">
        <f>VLOOKUP($A342,Data!$D$3:$CJ$128,73,FALSE)</f>
        <v>#N/A</v>
      </c>
      <c r="M342" s="74" t="e">
        <f>VLOOKUP($A342,Data!$D$3:$CJ$128,74,FALSE)</f>
        <v>#N/A</v>
      </c>
      <c r="N342" s="78" t="e">
        <f t="shared" si="67"/>
        <v>#N/A</v>
      </c>
      <c r="O342" s="78" t="e">
        <f t="shared" si="68"/>
        <v>#N/A</v>
      </c>
      <c r="P342" s="78" t="e">
        <f t="shared" si="69"/>
        <v>#N/A</v>
      </c>
      <c r="Q342" s="78" t="e">
        <f t="shared" si="70"/>
        <v>#N/A</v>
      </c>
      <c r="R342" s="78" t="e">
        <f t="shared" si="71"/>
        <v>#N/A</v>
      </c>
      <c r="S342" s="78" t="e">
        <f t="shared" si="72"/>
        <v>#N/A</v>
      </c>
      <c r="T342" s="74" t="e">
        <f t="shared" si="73"/>
        <v>#N/A</v>
      </c>
      <c r="U342" s="74" t="e">
        <f t="shared" si="74"/>
        <v>#N/A</v>
      </c>
      <c r="V342" s="74" t="e">
        <f t="shared" si="75"/>
        <v>#N/A</v>
      </c>
      <c r="W342" s="74" t="e">
        <f t="shared" si="76"/>
        <v>#N/A</v>
      </c>
      <c r="X342" s="74" t="e">
        <f t="shared" si="77"/>
        <v>#N/A</v>
      </c>
      <c r="Y342" s="74" t="e">
        <f t="shared" si="78"/>
        <v>#N/A</v>
      </c>
    </row>
    <row r="343" spans="1:25">
      <c r="A343" s="88">
        <f>'Batch input'!A342</f>
        <v>0</v>
      </c>
      <c r="B343">
        <f>'Batch input'!B342</f>
        <v>0</v>
      </c>
      <c r="C343" t="e">
        <f>VLOOKUP($A343,Data!$D$3:$CJ$128,30,FALSE)</f>
        <v>#N/A</v>
      </c>
      <c r="D343" s="74" t="e">
        <f>VLOOKUP($A343,Data!$D$3:$CJ$128,64,FALSE)</f>
        <v>#N/A</v>
      </c>
      <c r="E343" s="74" t="e">
        <f>VLOOKUP($A343,Data!$D$3:$CJ$128,66,FALSE)</f>
        <v>#N/A</v>
      </c>
      <c r="F343" s="74" t="e">
        <f>VLOOKUP($A343,Data!$D$3:$CJ$128,67,FALSE)</f>
        <v>#N/A</v>
      </c>
      <c r="G343" s="78" t="e">
        <f>VLOOKUP($A343,Data!$D$3:$CJ$128,68,FALSE)</f>
        <v>#N/A</v>
      </c>
      <c r="H343" s="78" t="e">
        <f>VLOOKUP($A343,Data!$D$3:$CJ$128,69,FALSE)</f>
        <v>#N/A</v>
      </c>
      <c r="I343" s="74" t="e">
        <f>VLOOKUP($A343,Data!$D$3:$CJ$128,70,FALSE)</f>
        <v>#N/A</v>
      </c>
      <c r="J343" s="74" t="e">
        <f>VLOOKUP($A343,Data!$D$3:$CJ$128,71,FALSE)</f>
        <v>#N/A</v>
      </c>
      <c r="K343" s="74" t="e">
        <f>VLOOKUP($A343,Data!$D$3:$CJ$128,72,FALSE)</f>
        <v>#N/A</v>
      </c>
      <c r="L343" s="74" t="e">
        <f>VLOOKUP($A343,Data!$D$3:$CJ$128,73,FALSE)</f>
        <v>#N/A</v>
      </c>
      <c r="M343" s="74" t="e">
        <f>VLOOKUP($A343,Data!$D$3:$CJ$128,74,FALSE)</f>
        <v>#N/A</v>
      </c>
      <c r="N343" s="78" t="e">
        <f t="shared" si="67"/>
        <v>#N/A</v>
      </c>
      <c r="O343" s="78" t="e">
        <f t="shared" si="68"/>
        <v>#N/A</v>
      </c>
      <c r="P343" s="78" t="e">
        <f t="shared" si="69"/>
        <v>#N/A</v>
      </c>
      <c r="Q343" s="78" t="e">
        <f t="shared" si="70"/>
        <v>#N/A</v>
      </c>
      <c r="R343" s="78" t="e">
        <f t="shared" si="71"/>
        <v>#N/A</v>
      </c>
      <c r="S343" s="78" t="e">
        <f t="shared" si="72"/>
        <v>#N/A</v>
      </c>
      <c r="T343" s="74" t="e">
        <f t="shared" si="73"/>
        <v>#N/A</v>
      </c>
      <c r="U343" s="74" t="e">
        <f t="shared" si="74"/>
        <v>#N/A</v>
      </c>
      <c r="V343" s="74" t="e">
        <f t="shared" si="75"/>
        <v>#N/A</v>
      </c>
      <c r="W343" s="74" t="e">
        <f t="shared" si="76"/>
        <v>#N/A</v>
      </c>
      <c r="X343" s="74" t="e">
        <f t="shared" si="77"/>
        <v>#N/A</v>
      </c>
      <c r="Y343" s="74" t="e">
        <f t="shared" si="78"/>
        <v>#N/A</v>
      </c>
    </row>
    <row r="344" spans="1:25">
      <c r="A344" s="88">
        <f>'Batch input'!A343</f>
        <v>0</v>
      </c>
      <c r="B344">
        <f>'Batch input'!B343</f>
        <v>0</v>
      </c>
      <c r="C344" t="e">
        <f>VLOOKUP($A344,Data!$D$3:$CJ$128,30,FALSE)</f>
        <v>#N/A</v>
      </c>
      <c r="D344" s="74" t="e">
        <f>VLOOKUP($A344,Data!$D$3:$CJ$128,64,FALSE)</f>
        <v>#N/A</v>
      </c>
      <c r="E344" s="74" t="e">
        <f>VLOOKUP($A344,Data!$D$3:$CJ$128,66,FALSE)</f>
        <v>#N/A</v>
      </c>
      <c r="F344" s="74" t="e">
        <f>VLOOKUP($A344,Data!$D$3:$CJ$128,67,FALSE)</f>
        <v>#N/A</v>
      </c>
      <c r="G344" s="78" t="e">
        <f>VLOOKUP($A344,Data!$D$3:$CJ$128,68,FALSE)</f>
        <v>#N/A</v>
      </c>
      <c r="H344" s="78" t="e">
        <f>VLOOKUP($A344,Data!$D$3:$CJ$128,69,FALSE)</f>
        <v>#N/A</v>
      </c>
      <c r="I344" s="74" t="e">
        <f>VLOOKUP($A344,Data!$D$3:$CJ$128,70,FALSE)</f>
        <v>#N/A</v>
      </c>
      <c r="J344" s="74" t="e">
        <f>VLOOKUP($A344,Data!$D$3:$CJ$128,71,FALSE)</f>
        <v>#N/A</v>
      </c>
      <c r="K344" s="74" t="e">
        <f>VLOOKUP($A344,Data!$D$3:$CJ$128,72,FALSE)</f>
        <v>#N/A</v>
      </c>
      <c r="L344" s="74" t="e">
        <f>VLOOKUP($A344,Data!$D$3:$CJ$128,73,FALSE)</f>
        <v>#N/A</v>
      </c>
      <c r="M344" s="74" t="e">
        <f>VLOOKUP($A344,Data!$D$3:$CJ$128,74,FALSE)</f>
        <v>#N/A</v>
      </c>
      <c r="N344" s="78" t="e">
        <f t="shared" si="67"/>
        <v>#N/A</v>
      </c>
      <c r="O344" s="78" t="e">
        <f t="shared" si="68"/>
        <v>#N/A</v>
      </c>
      <c r="P344" s="78" t="e">
        <f t="shared" si="69"/>
        <v>#N/A</v>
      </c>
      <c r="Q344" s="78" t="e">
        <f t="shared" si="70"/>
        <v>#N/A</v>
      </c>
      <c r="R344" s="78" t="e">
        <f t="shared" si="71"/>
        <v>#N/A</v>
      </c>
      <c r="S344" s="78" t="e">
        <f t="shared" si="72"/>
        <v>#N/A</v>
      </c>
      <c r="T344" s="74" t="e">
        <f t="shared" si="73"/>
        <v>#N/A</v>
      </c>
      <c r="U344" s="74" t="e">
        <f t="shared" si="74"/>
        <v>#N/A</v>
      </c>
      <c r="V344" s="74" t="e">
        <f t="shared" si="75"/>
        <v>#N/A</v>
      </c>
      <c r="W344" s="74" t="e">
        <f t="shared" si="76"/>
        <v>#N/A</v>
      </c>
      <c r="X344" s="74" t="e">
        <f t="shared" si="77"/>
        <v>#N/A</v>
      </c>
      <c r="Y344" s="74" t="e">
        <f t="shared" si="78"/>
        <v>#N/A</v>
      </c>
    </row>
    <row r="345" spans="1:25">
      <c r="A345" s="88">
        <f>'Batch input'!A344</f>
        <v>0</v>
      </c>
      <c r="B345">
        <f>'Batch input'!B344</f>
        <v>0</v>
      </c>
      <c r="C345" t="e">
        <f>VLOOKUP($A345,Data!$D$3:$CJ$128,30,FALSE)</f>
        <v>#N/A</v>
      </c>
      <c r="D345" s="74" t="e">
        <f>VLOOKUP($A345,Data!$D$3:$CJ$128,64,FALSE)</f>
        <v>#N/A</v>
      </c>
      <c r="E345" s="74" t="e">
        <f>VLOOKUP($A345,Data!$D$3:$CJ$128,66,FALSE)</f>
        <v>#N/A</v>
      </c>
      <c r="F345" s="74" t="e">
        <f>VLOOKUP($A345,Data!$D$3:$CJ$128,67,FALSE)</f>
        <v>#N/A</v>
      </c>
      <c r="G345" s="78" t="e">
        <f>VLOOKUP($A345,Data!$D$3:$CJ$128,68,FALSE)</f>
        <v>#N/A</v>
      </c>
      <c r="H345" s="78" t="e">
        <f>VLOOKUP($A345,Data!$D$3:$CJ$128,69,FALSE)</f>
        <v>#N/A</v>
      </c>
      <c r="I345" s="74" t="e">
        <f>VLOOKUP($A345,Data!$D$3:$CJ$128,70,FALSE)</f>
        <v>#N/A</v>
      </c>
      <c r="J345" s="74" t="e">
        <f>VLOOKUP($A345,Data!$D$3:$CJ$128,71,FALSE)</f>
        <v>#N/A</v>
      </c>
      <c r="K345" s="74" t="e">
        <f>VLOOKUP($A345,Data!$D$3:$CJ$128,72,FALSE)</f>
        <v>#N/A</v>
      </c>
      <c r="L345" s="74" t="e">
        <f>VLOOKUP($A345,Data!$D$3:$CJ$128,73,FALSE)</f>
        <v>#N/A</v>
      </c>
      <c r="M345" s="74" t="e">
        <f>VLOOKUP($A345,Data!$D$3:$CJ$128,74,FALSE)</f>
        <v>#N/A</v>
      </c>
      <c r="N345" s="78" t="e">
        <f t="shared" si="67"/>
        <v>#N/A</v>
      </c>
      <c r="O345" s="78" t="e">
        <f t="shared" si="68"/>
        <v>#N/A</v>
      </c>
      <c r="P345" s="78" t="e">
        <f t="shared" si="69"/>
        <v>#N/A</v>
      </c>
      <c r="Q345" s="78" t="e">
        <f t="shared" si="70"/>
        <v>#N/A</v>
      </c>
      <c r="R345" s="78" t="e">
        <f t="shared" si="71"/>
        <v>#N/A</v>
      </c>
      <c r="S345" s="78" t="e">
        <f t="shared" si="72"/>
        <v>#N/A</v>
      </c>
      <c r="T345" s="74" t="e">
        <f t="shared" si="73"/>
        <v>#N/A</v>
      </c>
      <c r="U345" s="74" t="e">
        <f t="shared" si="74"/>
        <v>#N/A</v>
      </c>
      <c r="V345" s="74" t="e">
        <f t="shared" si="75"/>
        <v>#N/A</v>
      </c>
      <c r="W345" s="74" t="e">
        <f t="shared" si="76"/>
        <v>#N/A</v>
      </c>
      <c r="X345" s="74" t="e">
        <f t="shared" si="77"/>
        <v>#N/A</v>
      </c>
      <c r="Y345" s="74" t="e">
        <f t="shared" si="78"/>
        <v>#N/A</v>
      </c>
    </row>
    <row r="346" spans="1:25">
      <c r="A346" s="88">
        <f>'Batch input'!A345</f>
        <v>0</v>
      </c>
      <c r="B346">
        <f>'Batch input'!B345</f>
        <v>0</v>
      </c>
      <c r="C346" t="e">
        <f>VLOOKUP($A346,Data!$D$3:$CJ$128,30,FALSE)</f>
        <v>#N/A</v>
      </c>
      <c r="D346" s="74" t="e">
        <f>VLOOKUP($A346,Data!$D$3:$CJ$128,64,FALSE)</f>
        <v>#N/A</v>
      </c>
      <c r="E346" s="74" t="e">
        <f>VLOOKUP($A346,Data!$D$3:$CJ$128,66,FALSE)</f>
        <v>#N/A</v>
      </c>
      <c r="F346" s="74" t="e">
        <f>VLOOKUP($A346,Data!$D$3:$CJ$128,67,FALSE)</f>
        <v>#N/A</v>
      </c>
      <c r="G346" s="78" t="e">
        <f>VLOOKUP($A346,Data!$D$3:$CJ$128,68,FALSE)</f>
        <v>#N/A</v>
      </c>
      <c r="H346" s="78" t="e">
        <f>VLOOKUP($A346,Data!$D$3:$CJ$128,69,FALSE)</f>
        <v>#N/A</v>
      </c>
      <c r="I346" s="74" t="e">
        <f>VLOOKUP($A346,Data!$D$3:$CJ$128,70,FALSE)</f>
        <v>#N/A</v>
      </c>
      <c r="J346" s="74" t="e">
        <f>VLOOKUP($A346,Data!$D$3:$CJ$128,71,FALSE)</f>
        <v>#N/A</v>
      </c>
      <c r="K346" s="74" t="e">
        <f>VLOOKUP($A346,Data!$D$3:$CJ$128,72,FALSE)</f>
        <v>#N/A</v>
      </c>
      <c r="L346" s="74" t="e">
        <f>VLOOKUP($A346,Data!$D$3:$CJ$128,73,FALSE)</f>
        <v>#N/A</v>
      </c>
      <c r="M346" s="74" t="e">
        <f>VLOOKUP($A346,Data!$D$3:$CJ$128,74,FALSE)</f>
        <v>#N/A</v>
      </c>
      <c r="N346" s="78" t="e">
        <f t="shared" si="67"/>
        <v>#N/A</v>
      </c>
      <c r="O346" s="78" t="e">
        <f t="shared" si="68"/>
        <v>#N/A</v>
      </c>
      <c r="P346" s="78" t="e">
        <f t="shared" si="69"/>
        <v>#N/A</v>
      </c>
      <c r="Q346" s="78" t="e">
        <f t="shared" si="70"/>
        <v>#N/A</v>
      </c>
      <c r="R346" s="78" t="e">
        <f t="shared" si="71"/>
        <v>#N/A</v>
      </c>
      <c r="S346" s="78" t="e">
        <f t="shared" si="72"/>
        <v>#N/A</v>
      </c>
      <c r="T346" s="74" t="e">
        <f t="shared" si="73"/>
        <v>#N/A</v>
      </c>
      <c r="U346" s="74" t="e">
        <f t="shared" si="74"/>
        <v>#N/A</v>
      </c>
      <c r="V346" s="74" t="e">
        <f t="shared" si="75"/>
        <v>#N/A</v>
      </c>
      <c r="W346" s="74" t="e">
        <f t="shared" si="76"/>
        <v>#N/A</v>
      </c>
      <c r="X346" s="74" t="e">
        <f t="shared" si="77"/>
        <v>#N/A</v>
      </c>
      <c r="Y346" s="74" t="e">
        <f t="shared" si="78"/>
        <v>#N/A</v>
      </c>
    </row>
    <row r="347" spans="1:25">
      <c r="A347" s="88">
        <f>'Batch input'!A346</f>
        <v>0</v>
      </c>
      <c r="B347">
        <f>'Batch input'!B346</f>
        <v>0</v>
      </c>
      <c r="C347" t="e">
        <f>VLOOKUP($A347,Data!$D$3:$CJ$128,30,FALSE)</f>
        <v>#N/A</v>
      </c>
      <c r="D347" s="74" t="e">
        <f>VLOOKUP($A347,Data!$D$3:$CJ$128,64,FALSE)</f>
        <v>#N/A</v>
      </c>
      <c r="E347" s="74" t="e">
        <f>VLOOKUP($A347,Data!$D$3:$CJ$128,66,FALSE)</f>
        <v>#N/A</v>
      </c>
      <c r="F347" s="74" t="e">
        <f>VLOOKUP($A347,Data!$D$3:$CJ$128,67,FALSE)</f>
        <v>#N/A</v>
      </c>
      <c r="G347" s="78" t="e">
        <f>VLOOKUP($A347,Data!$D$3:$CJ$128,68,FALSE)</f>
        <v>#N/A</v>
      </c>
      <c r="H347" s="78" t="e">
        <f>VLOOKUP($A347,Data!$D$3:$CJ$128,69,FALSE)</f>
        <v>#N/A</v>
      </c>
      <c r="I347" s="74" t="e">
        <f>VLOOKUP($A347,Data!$D$3:$CJ$128,70,FALSE)</f>
        <v>#N/A</v>
      </c>
      <c r="J347" s="74" t="e">
        <f>VLOOKUP($A347,Data!$D$3:$CJ$128,71,FALSE)</f>
        <v>#N/A</v>
      </c>
      <c r="K347" s="74" t="e">
        <f>VLOOKUP($A347,Data!$D$3:$CJ$128,72,FALSE)</f>
        <v>#N/A</v>
      </c>
      <c r="L347" s="74" t="e">
        <f>VLOOKUP($A347,Data!$D$3:$CJ$128,73,FALSE)</f>
        <v>#N/A</v>
      </c>
      <c r="M347" s="74" t="e">
        <f>VLOOKUP($A347,Data!$D$3:$CJ$128,74,FALSE)</f>
        <v>#N/A</v>
      </c>
      <c r="N347" s="78" t="e">
        <f t="shared" si="67"/>
        <v>#N/A</v>
      </c>
      <c r="O347" s="78" t="e">
        <f t="shared" si="68"/>
        <v>#N/A</v>
      </c>
      <c r="P347" s="78" t="e">
        <f t="shared" si="69"/>
        <v>#N/A</v>
      </c>
      <c r="Q347" s="78" t="e">
        <f t="shared" si="70"/>
        <v>#N/A</v>
      </c>
      <c r="R347" s="78" t="e">
        <f t="shared" si="71"/>
        <v>#N/A</v>
      </c>
      <c r="S347" s="78" t="e">
        <f t="shared" si="72"/>
        <v>#N/A</v>
      </c>
      <c r="T347" s="74" t="e">
        <f t="shared" si="73"/>
        <v>#N/A</v>
      </c>
      <c r="U347" s="74" t="e">
        <f t="shared" si="74"/>
        <v>#N/A</v>
      </c>
      <c r="V347" s="74" t="e">
        <f t="shared" si="75"/>
        <v>#N/A</v>
      </c>
      <c r="W347" s="74" t="e">
        <f t="shared" si="76"/>
        <v>#N/A</v>
      </c>
      <c r="X347" s="74" t="e">
        <f t="shared" si="77"/>
        <v>#N/A</v>
      </c>
      <c r="Y347" s="74" t="e">
        <f t="shared" si="78"/>
        <v>#N/A</v>
      </c>
    </row>
    <row r="348" spans="1:25">
      <c r="A348" s="88">
        <f>'Batch input'!A347</f>
        <v>0</v>
      </c>
      <c r="B348">
        <f>'Batch input'!B347</f>
        <v>0</v>
      </c>
      <c r="C348" t="e">
        <f>VLOOKUP($A348,Data!$D$3:$CJ$128,30,FALSE)</f>
        <v>#N/A</v>
      </c>
      <c r="D348" s="74" t="e">
        <f>VLOOKUP($A348,Data!$D$3:$CJ$128,64,FALSE)</f>
        <v>#N/A</v>
      </c>
      <c r="E348" s="74" t="e">
        <f>VLOOKUP($A348,Data!$D$3:$CJ$128,66,FALSE)</f>
        <v>#N/A</v>
      </c>
      <c r="F348" s="74" t="e">
        <f>VLOOKUP($A348,Data!$D$3:$CJ$128,67,FALSE)</f>
        <v>#N/A</v>
      </c>
      <c r="G348" s="78" t="e">
        <f>VLOOKUP($A348,Data!$D$3:$CJ$128,68,FALSE)</f>
        <v>#N/A</v>
      </c>
      <c r="H348" s="78" t="e">
        <f>VLOOKUP($A348,Data!$D$3:$CJ$128,69,FALSE)</f>
        <v>#N/A</v>
      </c>
      <c r="I348" s="74" t="e">
        <f>VLOOKUP($A348,Data!$D$3:$CJ$128,70,FALSE)</f>
        <v>#N/A</v>
      </c>
      <c r="J348" s="74" t="e">
        <f>VLOOKUP($A348,Data!$D$3:$CJ$128,71,FALSE)</f>
        <v>#N/A</v>
      </c>
      <c r="K348" s="74" t="e">
        <f>VLOOKUP($A348,Data!$D$3:$CJ$128,72,FALSE)</f>
        <v>#N/A</v>
      </c>
      <c r="L348" s="74" t="e">
        <f>VLOOKUP($A348,Data!$D$3:$CJ$128,73,FALSE)</f>
        <v>#N/A</v>
      </c>
      <c r="M348" s="74" t="e">
        <f>VLOOKUP($A348,Data!$D$3:$CJ$128,74,FALSE)</f>
        <v>#N/A</v>
      </c>
      <c r="N348" s="78" t="e">
        <f t="shared" si="67"/>
        <v>#N/A</v>
      </c>
      <c r="O348" s="78" t="e">
        <f t="shared" si="68"/>
        <v>#N/A</v>
      </c>
      <c r="P348" s="78" t="e">
        <f t="shared" si="69"/>
        <v>#N/A</v>
      </c>
      <c r="Q348" s="78" t="e">
        <f t="shared" si="70"/>
        <v>#N/A</v>
      </c>
      <c r="R348" s="78" t="e">
        <f t="shared" si="71"/>
        <v>#N/A</v>
      </c>
      <c r="S348" s="78" t="e">
        <f t="shared" si="72"/>
        <v>#N/A</v>
      </c>
      <c r="T348" s="74" t="e">
        <f t="shared" si="73"/>
        <v>#N/A</v>
      </c>
      <c r="U348" s="74" t="e">
        <f t="shared" si="74"/>
        <v>#N/A</v>
      </c>
      <c r="V348" s="74" t="e">
        <f t="shared" si="75"/>
        <v>#N/A</v>
      </c>
      <c r="W348" s="74" t="e">
        <f t="shared" si="76"/>
        <v>#N/A</v>
      </c>
      <c r="X348" s="74" t="e">
        <f t="shared" si="77"/>
        <v>#N/A</v>
      </c>
      <c r="Y348" s="74" t="e">
        <f t="shared" si="78"/>
        <v>#N/A</v>
      </c>
    </row>
    <row r="349" spans="1:25">
      <c r="A349" s="88">
        <f>'Batch input'!A348</f>
        <v>0</v>
      </c>
      <c r="B349">
        <f>'Batch input'!B348</f>
        <v>0</v>
      </c>
      <c r="C349" t="e">
        <f>VLOOKUP($A349,Data!$D$3:$CJ$128,30,FALSE)</f>
        <v>#N/A</v>
      </c>
      <c r="D349" s="74" t="e">
        <f>VLOOKUP($A349,Data!$D$3:$CJ$128,64,FALSE)</f>
        <v>#N/A</v>
      </c>
      <c r="E349" s="74" t="e">
        <f>VLOOKUP($A349,Data!$D$3:$CJ$128,66,FALSE)</f>
        <v>#N/A</v>
      </c>
      <c r="F349" s="74" t="e">
        <f>VLOOKUP($A349,Data!$D$3:$CJ$128,67,FALSE)</f>
        <v>#N/A</v>
      </c>
      <c r="G349" s="78" t="e">
        <f>VLOOKUP($A349,Data!$D$3:$CJ$128,68,FALSE)</f>
        <v>#N/A</v>
      </c>
      <c r="H349" s="78" t="e">
        <f>VLOOKUP($A349,Data!$D$3:$CJ$128,69,FALSE)</f>
        <v>#N/A</v>
      </c>
      <c r="I349" s="74" t="e">
        <f>VLOOKUP($A349,Data!$D$3:$CJ$128,70,FALSE)</f>
        <v>#N/A</v>
      </c>
      <c r="J349" s="74" t="e">
        <f>VLOOKUP($A349,Data!$D$3:$CJ$128,71,FALSE)</f>
        <v>#N/A</v>
      </c>
      <c r="K349" s="74" t="e">
        <f>VLOOKUP($A349,Data!$D$3:$CJ$128,72,FALSE)</f>
        <v>#N/A</v>
      </c>
      <c r="L349" s="74" t="e">
        <f>VLOOKUP($A349,Data!$D$3:$CJ$128,73,FALSE)</f>
        <v>#N/A</v>
      </c>
      <c r="M349" s="74" t="e">
        <f>VLOOKUP($A349,Data!$D$3:$CJ$128,74,FALSE)</f>
        <v>#N/A</v>
      </c>
      <c r="N349" s="78" t="e">
        <f t="shared" ref="N349:N412" si="79">I349</f>
        <v>#N/A</v>
      </c>
      <c r="O349" s="78" t="e">
        <f t="shared" ref="O349:O412" si="80">(((D349/1000)*H349)+((G349/1000)*M349)+(J349/1000))</f>
        <v>#N/A</v>
      </c>
      <c r="P349" s="78" t="e">
        <f t="shared" ref="P349:P412" si="81">(F349/1000)*H349</f>
        <v>#N/A</v>
      </c>
      <c r="Q349" s="78" t="e">
        <f t="shared" ref="Q349:Q412" si="82">K349/1000</f>
        <v>#N/A</v>
      </c>
      <c r="R349" s="78" t="e">
        <f t="shared" ref="R349:R412" si="83">L349/1000</f>
        <v>#N/A</v>
      </c>
      <c r="S349" s="78" t="e">
        <f t="shared" ref="S349:S412" si="84">(E349/1000)*H349</f>
        <v>#N/A</v>
      </c>
      <c r="T349" s="74" t="e">
        <f t="shared" ref="T349:T412" si="85">$B349*N349</f>
        <v>#N/A</v>
      </c>
      <c r="U349" s="74" t="e">
        <f t="shared" ref="U349:U412" si="86">$B349*O349</f>
        <v>#N/A</v>
      </c>
      <c r="V349" s="74" t="e">
        <f t="shared" ref="V349:V412" si="87">$B349*P349</f>
        <v>#N/A</v>
      </c>
      <c r="W349" s="74" t="e">
        <f t="shared" ref="W349:W412" si="88">$B349*Q349</f>
        <v>#N/A</v>
      </c>
      <c r="X349" s="74" t="e">
        <f t="shared" ref="X349:X412" si="89">$B349*R349</f>
        <v>#N/A</v>
      </c>
      <c r="Y349" s="74" t="e">
        <f t="shared" ref="Y349:Y412" si="90">$B349*S349</f>
        <v>#N/A</v>
      </c>
    </row>
    <row r="350" spans="1:25">
      <c r="A350" s="88">
        <f>'Batch input'!A349</f>
        <v>0</v>
      </c>
      <c r="B350">
        <f>'Batch input'!B349</f>
        <v>0</v>
      </c>
      <c r="C350" t="e">
        <f>VLOOKUP($A350,Data!$D$3:$CJ$128,30,FALSE)</f>
        <v>#N/A</v>
      </c>
      <c r="D350" s="74" t="e">
        <f>VLOOKUP($A350,Data!$D$3:$CJ$128,64,FALSE)</f>
        <v>#N/A</v>
      </c>
      <c r="E350" s="74" t="e">
        <f>VLOOKUP($A350,Data!$D$3:$CJ$128,66,FALSE)</f>
        <v>#N/A</v>
      </c>
      <c r="F350" s="74" t="e">
        <f>VLOOKUP($A350,Data!$D$3:$CJ$128,67,FALSE)</f>
        <v>#N/A</v>
      </c>
      <c r="G350" s="78" t="e">
        <f>VLOOKUP($A350,Data!$D$3:$CJ$128,68,FALSE)</f>
        <v>#N/A</v>
      </c>
      <c r="H350" s="78" t="e">
        <f>VLOOKUP($A350,Data!$D$3:$CJ$128,69,FALSE)</f>
        <v>#N/A</v>
      </c>
      <c r="I350" s="74" t="e">
        <f>VLOOKUP($A350,Data!$D$3:$CJ$128,70,FALSE)</f>
        <v>#N/A</v>
      </c>
      <c r="J350" s="74" t="e">
        <f>VLOOKUP($A350,Data!$D$3:$CJ$128,71,FALSE)</f>
        <v>#N/A</v>
      </c>
      <c r="K350" s="74" t="e">
        <f>VLOOKUP($A350,Data!$D$3:$CJ$128,72,FALSE)</f>
        <v>#N/A</v>
      </c>
      <c r="L350" s="74" t="e">
        <f>VLOOKUP($A350,Data!$D$3:$CJ$128,73,FALSE)</f>
        <v>#N/A</v>
      </c>
      <c r="M350" s="74" t="e">
        <f>VLOOKUP($A350,Data!$D$3:$CJ$128,74,FALSE)</f>
        <v>#N/A</v>
      </c>
      <c r="N350" s="78" t="e">
        <f t="shared" si="79"/>
        <v>#N/A</v>
      </c>
      <c r="O350" s="78" t="e">
        <f t="shared" si="80"/>
        <v>#N/A</v>
      </c>
      <c r="P350" s="78" t="e">
        <f t="shared" si="81"/>
        <v>#N/A</v>
      </c>
      <c r="Q350" s="78" t="e">
        <f t="shared" si="82"/>
        <v>#N/A</v>
      </c>
      <c r="R350" s="78" t="e">
        <f t="shared" si="83"/>
        <v>#N/A</v>
      </c>
      <c r="S350" s="78" t="e">
        <f t="shared" si="84"/>
        <v>#N/A</v>
      </c>
      <c r="T350" s="74" t="e">
        <f t="shared" si="85"/>
        <v>#N/A</v>
      </c>
      <c r="U350" s="74" t="e">
        <f t="shared" si="86"/>
        <v>#N/A</v>
      </c>
      <c r="V350" s="74" t="e">
        <f t="shared" si="87"/>
        <v>#N/A</v>
      </c>
      <c r="W350" s="74" t="e">
        <f t="shared" si="88"/>
        <v>#N/A</v>
      </c>
      <c r="X350" s="74" t="e">
        <f t="shared" si="89"/>
        <v>#N/A</v>
      </c>
      <c r="Y350" s="74" t="e">
        <f t="shared" si="90"/>
        <v>#N/A</v>
      </c>
    </row>
    <row r="351" spans="1:25">
      <c r="A351" s="88">
        <f>'Batch input'!A350</f>
        <v>0</v>
      </c>
      <c r="B351">
        <f>'Batch input'!B350</f>
        <v>0</v>
      </c>
      <c r="C351" t="e">
        <f>VLOOKUP($A351,Data!$D$3:$CJ$128,30,FALSE)</f>
        <v>#N/A</v>
      </c>
      <c r="D351" s="74" t="e">
        <f>VLOOKUP($A351,Data!$D$3:$CJ$128,64,FALSE)</f>
        <v>#N/A</v>
      </c>
      <c r="E351" s="74" t="e">
        <f>VLOOKUP($A351,Data!$D$3:$CJ$128,66,FALSE)</f>
        <v>#N/A</v>
      </c>
      <c r="F351" s="74" t="e">
        <f>VLOOKUP($A351,Data!$D$3:$CJ$128,67,FALSE)</f>
        <v>#N/A</v>
      </c>
      <c r="G351" s="78" t="e">
        <f>VLOOKUP($A351,Data!$D$3:$CJ$128,68,FALSE)</f>
        <v>#N/A</v>
      </c>
      <c r="H351" s="78" t="e">
        <f>VLOOKUP($A351,Data!$D$3:$CJ$128,69,FALSE)</f>
        <v>#N/A</v>
      </c>
      <c r="I351" s="74" t="e">
        <f>VLOOKUP($A351,Data!$D$3:$CJ$128,70,FALSE)</f>
        <v>#N/A</v>
      </c>
      <c r="J351" s="74" t="e">
        <f>VLOOKUP($A351,Data!$D$3:$CJ$128,71,FALSE)</f>
        <v>#N/A</v>
      </c>
      <c r="K351" s="74" t="e">
        <f>VLOOKUP($A351,Data!$D$3:$CJ$128,72,FALSE)</f>
        <v>#N/A</v>
      </c>
      <c r="L351" s="74" t="e">
        <f>VLOOKUP($A351,Data!$D$3:$CJ$128,73,FALSE)</f>
        <v>#N/A</v>
      </c>
      <c r="M351" s="74" t="e">
        <f>VLOOKUP($A351,Data!$D$3:$CJ$128,74,FALSE)</f>
        <v>#N/A</v>
      </c>
      <c r="N351" s="78" t="e">
        <f t="shared" si="79"/>
        <v>#N/A</v>
      </c>
      <c r="O351" s="78" t="e">
        <f t="shared" si="80"/>
        <v>#N/A</v>
      </c>
      <c r="P351" s="78" t="e">
        <f t="shared" si="81"/>
        <v>#N/A</v>
      </c>
      <c r="Q351" s="78" t="e">
        <f t="shared" si="82"/>
        <v>#N/A</v>
      </c>
      <c r="R351" s="78" t="e">
        <f t="shared" si="83"/>
        <v>#N/A</v>
      </c>
      <c r="S351" s="78" t="e">
        <f t="shared" si="84"/>
        <v>#N/A</v>
      </c>
      <c r="T351" s="74" t="e">
        <f t="shared" si="85"/>
        <v>#N/A</v>
      </c>
      <c r="U351" s="74" t="e">
        <f t="shared" si="86"/>
        <v>#N/A</v>
      </c>
      <c r="V351" s="74" t="e">
        <f t="shared" si="87"/>
        <v>#N/A</v>
      </c>
      <c r="W351" s="74" t="e">
        <f t="shared" si="88"/>
        <v>#N/A</v>
      </c>
      <c r="X351" s="74" t="e">
        <f t="shared" si="89"/>
        <v>#N/A</v>
      </c>
      <c r="Y351" s="74" t="e">
        <f t="shared" si="90"/>
        <v>#N/A</v>
      </c>
    </row>
    <row r="352" spans="1:25">
      <c r="A352" s="88">
        <f>'Batch input'!A351</f>
        <v>0</v>
      </c>
      <c r="B352">
        <f>'Batch input'!B351</f>
        <v>0</v>
      </c>
      <c r="C352" t="e">
        <f>VLOOKUP($A352,Data!$D$3:$CJ$128,30,FALSE)</f>
        <v>#N/A</v>
      </c>
      <c r="D352" s="74" t="e">
        <f>VLOOKUP($A352,Data!$D$3:$CJ$128,64,FALSE)</f>
        <v>#N/A</v>
      </c>
      <c r="E352" s="74" t="e">
        <f>VLOOKUP($A352,Data!$D$3:$CJ$128,66,FALSE)</f>
        <v>#N/A</v>
      </c>
      <c r="F352" s="74" t="e">
        <f>VLOOKUP($A352,Data!$D$3:$CJ$128,67,FALSE)</f>
        <v>#N/A</v>
      </c>
      <c r="G352" s="78" t="e">
        <f>VLOOKUP($A352,Data!$D$3:$CJ$128,68,FALSE)</f>
        <v>#N/A</v>
      </c>
      <c r="H352" s="78" t="e">
        <f>VLOOKUP($A352,Data!$D$3:$CJ$128,69,FALSE)</f>
        <v>#N/A</v>
      </c>
      <c r="I352" s="74" t="e">
        <f>VLOOKUP($A352,Data!$D$3:$CJ$128,70,FALSE)</f>
        <v>#N/A</v>
      </c>
      <c r="J352" s="74" t="e">
        <f>VLOOKUP($A352,Data!$D$3:$CJ$128,71,FALSE)</f>
        <v>#N/A</v>
      </c>
      <c r="K352" s="74" t="e">
        <f>VLOOKUP($A352,Data!$D$3:$CJ$128,72,FALSE)</f>
        <v>#N/A</v>
      </c>
      <c r="L352" s="74" t="e">
        <f>VLOOKUP($A352,Data!$D$3:$CJ$128,73,FALSE)</f>
        <v>#N/A</v>
      </c>
      <c r="M352" s="74" t="e">
        <f>VLOOKUP($A352,Data!$D$3:$CJ$128,74,FALSE)</f>
        <v>#N/A</v>
      </c>
      <c r="N352" s="78" t="e">
        <f t="shared" si="79"/>
        <v>#N/A</v>
      </c>
      <c r="O352" s="78" t="e">
        <f t="shared" si="80"/>
        <v>#N/A</v>
      </c>
      <c r="P352" s="78" t="e">
        <f t="shared" si="81"/>
        <v>#N/A</v>
      </c>
      <c r="Q352" s="78" t="e">
        <f t="shared" si="82"/>
        <v>#N/A</v>
      </c>
      <c r="R352" s="78" t="e">
        <f t="shared" si="83"/>
        <v>#N/A</v>
      </c>
      <c r="S352" s="78" t="e">
        <f t="shared" si="84"/>
        <v>#N/A</v>
      </c>
      <c r="T352" s="74" t="e">
        <f t="shared" si="85"/>
        <v>#N/A</v>
      </c>
      <c r="U352" s="74" t="e">
        <f t="shared" si="86"/>
        <v>#N/A</v>
      </c>
      <c r="V352" s="74" t="e">
        <f t="shared" si="87"/>
        <v>#N/A</v>
      </c>
      <c r="W352" s="74" t="e">
        <f t="shared" si="88"/>
        <v>#N/A</v>
      </c>
      <c r="X352" s="74" t="e">
        <f t="shared" si="89"/>
        <v>#N/A</v>
      </c>
      <c r="Y352" s="74" t="e">
        <f t="shared" si="90"/>
        <v>#N/A</v>
      </c>
    </row>
    <row r="353" spans="1:25">
      <c r="A353" s="88">
        <f>'Batch input'!A352</f>
        <v>0</v>
      </c>
      <c r="B353">
        <f>'Batch input'!B352</f>
        <v>0</v>
      </c>
      <c r="C353" t="e">
        <f>VLOOKUP($A353,Data!$D$3:$CJ$128,30,FALSE)</f>
        <v>#N/A</v>
      </c>
      <c r="D353" s="74" t="e">
        <f>VLOOKUP($A353,Data!$D$3:$CJ$128,64,FALSE)</f>
        <v>#N/A</v>
      </c>
      <c r="E353" s="74" t="e">
        <f>VLOOKUP($A353,Data!$D$3:$CJ$128,66,FALSE)</f>
        <v>#N/A</v>
      </c>
      <c r="F353" s="74" t="e">
        <f>VLOOKUP($A353,Data!$D$3:$CJ$128,67,FALSE)</f>
        <v>#N/A</v>
      </c>
      <c r="G353" s="78" t="e">
        <f>VLOOKUP($A353,Data!$D$3:$CJ$128,68,FALSE)</f>
        <v>#N/A</v>
      </c>
      <c r="H353" s="78" t="e">
        <f>VLOOKUP($A353,Data!$D$3:$CJ$128,69,FALSE)</f>
        <v>#N/A</v>
      </c>
      <c r="I353" s="74" t="e">
        <f>VLOOKUP($A353,Data!$D$3:$CJ$128,70,FALSE)</f>
        <v>#N/A</v>
      </c>
      <c r="J353" s="74" t="e">
        <f>VLOOKUP($A353,Data!$D$3:$CJ$128,71,FALSE)</f>
        <v>#N/A</v>
      </c>
      <c r="K353" s="74" t="e">
        <f>VLOOKUP($A353,Data!$D$3:$CJ$128,72,FALSE)</f>
        <v>#N/A</v>
      </c>
      <c r="L353" s="74" t="e">
        <f>VLOOKUP($A353,Data!$D$3:$CJ$128,73,FALSE)</f>
        <v>#N/A</v>
      </c>
      <c r="M353" s="74" t="e">
        <f>VLOOKUP($A353,Data!$D$3:$CJ$128,74,FALSE)</f>
        <v>#N/A</v>
      </c>
      <c r="N353" s="78" t="e">
        <f t="shared" si="79"/>
        <v>#N/A</v>
      </c>
      <c r="O353" s="78" t="e">
        <f t="shared" si="80"/>
        <v>#N/A</v>
      </c>
      <c r="P353" s="78" t="e">
        <f t="shared" si="81"/>
        <v>#N/A</v>
      </c>
      <c r="Q353" s="78" t="e">
        <f t="shared" si="82"/>
        <v>#N/A</v>
      </c>
      <c r="R353" s="78" t="e">
        <f t="shared" si="83"/>
        <v>#N/A</v>
      </c>
      <c r="S353" s="78" t="e">
        <f t="shared" si="84"/>
        <v>#N/A</v>
      </c>
      <c r="T353" s="74" t="e">
        <f t="shared" si="85"/>
        <v>#N/A</v>
      </c>
      <c r="U353" s="74" t="e">
        <f t="shared" si="86"/>
        <v>#N/A</v>
      </c>
      <c r="V353" s="74" t="e">
        <f t="shared" si="87"/>
        <v>#N/A</v>
      </c>
      <c r="W353" s="74" t="e">
        <f t="shared" si="88"/>
        <v>#N/A</v>
      </c>
      <c r="X353" s="74" t="e">
        <f t="shared" si="89"/>
        <v>#N/A</v>
      </c>
      <c r="Y353" s="74" t="e">
        <f t="shared" si="90"/>
        <v>#N/A</v>
      </c>
    </row>
    <row r="354" spans="1:25">
      <c r="A354" s="88">
        <f>'Batch input'!A353</f>
        <v>0</v>
      </c>
      <c r="B354">
        <f>'Batch input'!B353</f>
        <v>0</v>
      </c>
      <c r="C354" t="e">
        <f>VLOOKUP($A354,Data!$D$3:$CJ$128,30,FALSE)</f>
        <v>#N/A</v>
      </c>
      <c r="D354" s="74" t="e">
        <f>VLOOKUP($A354,Data!$D$3:$CJ$128,64,FALSE)</f>
        <v>#N/A</v>
      </c>
      <c r="E354" s="74" t="e">
        <f>VLOOKUP($A354,Data!$D$3:$CJ$128,66,FALSE)</f>
        <v>#N/A</v>
      </c>
      <c r="F354" s="74" t="e">
        <f>VLOOKUP($A354,Data!$D$3:$CJ$128,67,FALSE)</f>
        <v>#N/A</v>
      </c>
      <c r="G354" s="78" t="e">
        <f>VLOOKUP($A354,Data!$D$3:$CJ$128,68,FALSE)</f>
        <v>#N/A</v>
      </c>
      <c r="H354" s="78" t="e">
        <f>VLOOKUP($A354,Data!$D$3:$CJ$128,69,FALSE)</f>
        <v>#N/A</v>
      </c>
      <c r="I354" s="74" t="e">
        <f>VLOOKUP($A354,Data!$D$3:$CJ$128,70,FALSE)</f>
        <v>#N/A</v>
      </c>
      <c r="J354" s="74" t="e">
        <f>VLOOKUP($A354,Data!$D$3:$CJ$128,71,FALSE)</f>
        <v>#N/A</v>
      </c>
      <c r="K354" s="74" t="e">
        <f>VLOOKUP($A354,Data!$D$3:$CJ$128,72,FALSE)</f>
        <v>#N/A</v>
      </c>
      <c r="L354" s="74" t="e">
        <f>VLOOKUP($A354,Data!$D$3:$CJ$128,73,FALSE)</f>
        <v>#N/A</v>
      </c>
      <c r="M354" s="74" t="e">
        <f>VLOOKUP($A354,Data!$D$3:$CJ$128,74,FALSE)</f>
        <v>#N/A</v>
      </c>
      <c r="N354" s="78" t="e">
        <f t="shared" si="79"/>
        <v>#N/A</v>
      </c>
      <c r="O354" s="78" t="e">
        <f t="shared" si="80"/>
        <v>#N/A</v>
      </c>
      <c r="P354" s="78" t="e">
        <f t="shared" si="81"/>
        <v>#N/A</v>
      </c>
      <c r="Q354" s="78" t="e">
        <f t="shared" si="82"/>
        <v>#N/A</v>
      </c>
      <c r="R354" s="78" t="e">
        <f t="shared" si="83"/>
        <v>#N/A</v>
      </c>
      <c r="S354" s="78" t="e">
        <f t="shared" si="84"/>
        <v>#N/A</v>
      </c>
      <c r="T354" s="74" t="e">
        <f t="shared" si="85"/>
        <v>#N/A</v>
      </c>
      <c r="U354" s="74" t="e">
        <f t="shared" si="86"/>
        <v>#N/A</v>
      </c>
      <c r="V354" s="74" t="e">
        <f t="shared" si="87"/>
        <v>#N/A</v>
      </c>
      <c r="W354" s="74" t="e">
        <f t="shared" si="88"/>
        <v>#N/A</v>
      </c>
      <c r="X354" s="74" t="e">
        <f t="shared" si="89"/>
        <v>#N/A</v>
      </c>
      <c r="Y354" s="74" t="e">
        <f t="shared" si="90"/>
        <v>#N/A</v>
      </c>
    </row>
    <row r="355" spans="1:25">
      <c r="A355" s="88">
        <f>'Batch input'!A354</f>
        <v>0</v>
      </c>
      <c r="B355">
        <f>'Batch input'!B354</f>
        <v>0</v>
      </c>
      <c r="C355" t="e">
        <f>VLOOKUP($A355,Data!$D$3:$CJ$128,30,FALSE)</f>
        <v>#N/A</v>
      </c>
      <c r="D355" s="74" t="e">
        <f>VLOOKUP($A355,Data!$D$3:$CJ$128,64,FALSE)</f>
        <v>#N/A</v>
      </c>
      <c r="E355" s="74" t="e">
        <f>VLOOKUP($A355,Data!$D$3:$CJ$128,66,FALSE)</f>
        <v>#N/A</v>
      </c>
      <c r="F355" s="74" t="e">
        <f>VLOOKUP($A355,Data!$D$3:$CJ$128,67,FALSE)</f>
        <v>#N/A</v>
      </c>
      <c r="G355" s="78" t="e">
        <f>VLOOKUP($A355,Data!$D$3:$CJ$128,68,FALSE)</f>
        <v>#N/A</v>
      </c>
      <c r="H355" s="78" t="e">
        <f>VLOOKUP($A355,Data!$D$3:$CJ$128,69,FALSE)</f>
        <v>#N/A</v>
      </c>
      <c r="I355" s="74" t="e">
        <f>VLOOKUP($A355,Data!$D$3:$CJ$128,70,FALSE)</f>
        <v>#N/A</v>
      </c>
      <c r="J355" s="74" t="e">
        <f>VLOOKUP($A355,Data!$D$3:$CJ$128,71,FALSE)</f>
        <v>#N/A</v>
      </c>
      <c r="K355" s="74" t="e">
        <f>VLOOKUP($A355,Data!$D$3:$CJ$128,72,FALSE)</f>
        <v>#N/A</v>
      </c>
      <c r="L355" s="74" t="e">
        <f>VLOOKUP($A355,Data!$D$3:$CJ$128,73,FALSE)</f>
        <v>#N/A</v>
      </c>
      <c r="M355" s="74" t="e">
        <f>VLOOKUP($A355,Data!$D$3:$CJ$128,74,FALSE)</f>
        <v>#N/A</v>
      </c>
      <c r="N355" s="78" t="e">
        <f t="shared" si="79"/>
        <v>#N/A</v>
      </c>
      <c r="O355" s="78" t="e">
        <f t="shared" si="80"/>
        <v>#N/A</v>
      </c>
      <c r="P355" s="78" t="e">
        <f t="shared" si="81"/>
        <v>#N/A</v>
      </c>
      <c r="Q355" s="78" t="e">
        <f t="shared" si="82"/>
        <v>#N/A</v>
      </c>
      <c r="R355" s="78" t="e">
        <f t="shared" si="83"/>
        <v>#N/A</v>
      </c>
      <c r="S355" s="78" t="e">
        <f t="shared" si="84"/>
        <v>#N/A</v>
      </c>
      <c r="T355" s="74" t="e">
        <f t="shared" si="85"/>
        <v>#N/A</v>
      </c>
      <c r="U355" s="74" t="e">
        <f t="shared" si="86"/>
        <v>#N/A</v>
      </c>
      <c r="V355" s="74" t="e">
        <f t="shared" si="87"/>
        <v>#N/A</v>
      </c>
      <c r="W355" s="74" t="e">
        <f t="shared" si="88"/>
        <v>#N/A</v>
      </c>
      <c r="X355" s="74" t="e">
        <f t="shared" si="89"/>
        <v>#N/A</v>
      </c>
      <c r="Y355" s="74" t="e">
        <f t="shared" si="90"/>
        <v>#N/A</v>
      </c>
    </row>
    <row r="356" spans="1:25">
      <c r="A356" s="88">
        <f>'Batch input'!A355</f>
        <v>0</v>
      </c>
      <c r="B356">
        <f>'Batch input'!B355</f>
        <v>0</v>
      </c>
      <c r="C356" t="e">
        <f>VLOOKUP($A356,Data!$D$3:$CJ$128,30,FALSE)</f>
        <v>#N/A</v>
      </c>
      <c r="D356" s="74" t="e">
        <f>VLOOKUP($A356,Data!$D$3:$CJ$128,64,FALSE)</f>
        <v>#N/A</v>
      </c>
      <c r="E356" s="74" t="e">
        <f>VLOOKUP($A356,Data!$D$3:$CJ$128,66,FALSE)</f>
        <v>#N/A</v>
      </c>
      <c r="F356" s="74" t="e">
        <f>VLOOKUP($A356,Data!$D$3:$CJ$128,67,FALSE)</f>
        <v>#N/A</v>
      </c>
      <c r="G356" s="78" t="e">
        <f>VLOOKUP($A356,Data!$D$3:$CJ$128,68,FALSE)</f>
        <v>#N/A</v>
      </c>
      <c r="H356" s="78" t="e">
        <f>VLOOKUP($A356,Data!$D$3:$CJ$128,69,FALSE)</f>
        <v>#N/A</v>
      </c>
      <c r="I356" s="74" t="e">
        <f>VLOOKUP($A356,Data!$D$3:$CJ$128,70,FALSE)</f>
        <v>#N/A</v>
      </c>
      <c r="J356" s="74" t="e">
        <f>VLOOKUP($A356,Data!$D$3:$CJ$128,71,FALSE)</f>
        <v>#N/A</v>
      </c>
      <c r="K356" s="74" t="e">
        <f>VLOOKUP($A356,Data!$D$3:$CJ$128,72,FALSE)</f>
        <v>#N/A</v>
      </c>
      <c r="L356" s="74" t="e">
        <f>VLOOKUP($A356,Data!$D$3:$CJ$128,73,FALSE)</f>
        <v>#N/A</v>
      </c>
      <c r="M356" s="74" t="e">
        <f>VLOOKUP($A356,Data!$D$3:$CJ$128,74,FALSE)</f>
        <v>#N/A</v>
      </c>
      <c r="N356" s="78" t="e">
        <f t="shared" si="79"/>
        <v>#N/A</v>
      </c>
      <c r="O356" s="78" t="e">
        <f t="shared" si="80"/>
        <v>#N/A</v>
      </c>
      <c r="P356" s="78" t="e">
        <f t="shared" si="81"/>
        <v>#N/A</v>
      </c>
      <c r="Q356" s="78" t="e">
        <f t="shared" si="82"/>
        <v>#N/A</v>
      </c>
      <c r="R356" s="78" t="e">
        <f t="shared" si="83"/>
        <v>#N/A</v>
      </c>
      <c r="S356" s="78" t="e">
        <f t="shared" si="84"/>
        <v>#N/A</v>
      </c>
      <c r="T356" s="74" t="e">
        <f t="shared" si="85"/>
        <v>#N/A</v>
      </c>
      <c r="U356" s="74" t="e">
        <f t="shared" si="86"/>
        <v>#N/A</v>
      </c>
      <c r="V356" s="74" t="e">
        <f t="shared" si="87"/>
        <v>#N/A</v>
      </c>
      <c r="W356" s="74" t="e">
        <f t="shared" si="88"/>
        <v>#N/A</v>
      </c>
      <c r="X356" s="74" t="e">
        <f t="shared" si="89"/>
        <v>#N/A</v>
      </c>
      <c r="Y356" s="74" t="e">
        <f t="shared" si="90"/>
        <v>#N/A</v>
      </c>
    </row>
    <row r="357" spans="1:25">
      <c r="A357" s="88">
        <f>'Batch input'!A356</f>
        <v>0</v>
      </c>
      <c r="B357">
        <f>'Batch input'!B356</f>
        <v>0</v>
      </c>
      <c r="C357" t="e">
        <f>VLOOKUP($A357,Data!$D$3:$CJ$128,30,FALSE)</f>
        <v>#N/A</v>
      </c>
      <c r="D357" s="74" t="e">
        <f>VLOOKUP($A357,Data!$D$3:$CJ$128,64,FALSE)</f>
        <v>#N/A</v>
      </c>
      <c r="E357" s="74" t="e">
        <f>VLOOKUP($A357,Data!$D$3:$CJ$128,66,FALSE)</f>
        <v>#N/A</v>
      </c>
      <c r="F357" s="74" t="e">
        <f>VLOOKUP($A357,Data!$D$3:$CJ$128,67,FALSE)</f>
        <v>#N/A</v>
      </c>
      <c r="G357" s="78" t="e">
        <f>VLOOKUP($A357,Data!$D$3:$CJ$128,68,FALSE)</f>
        <v>#N/A</v>
      </c>
      <c r="H357" s="78" t="e">
        <f>VLOOKUP($A357,Data!$D$3:$CJ$128,69,FALSE)</f>
        <v>#N/A</v>
      </c>
      <c r="I357" s="74" t="e">
        <f>VLOOKUP($A357,Data!$D$3:$CJ$128,70,FALSE)</f>
        <v>#N/A</v>
      </c>
      <c r="J357" s="74" t="e">
        <f>VLOOKUP($A357,Data!$D$3:$CJ$128,71,FALSE)</f>
        <v>#N/A</v>
      </c>
      <c r="K357" s="74" t="e">
        <f>VLOOKUP($A357,Data!$D$3:$CJ$128,72,FALSE)</f>
        <v>#N/A</v>
      </c>
      <c r="L357" s="74" t="e">
        <f>VLOOKUP($A357,Data!$D$3:$CJ$128,73,FALSE)</f>
        <v>#N/A</v>
      </c>
      <c r="M357" s="74" t="e">
        <f>VLOOKUP($A357,Data!$D$3:$CJ$128,74,FALSE)</f>
        <v>#N/A</v>
      </c>
      <c r="N357" s="78" t="e">
        <f t="shared" si="79"/>
        <v>#N/A</v>
      </c>
      <c r="O357" s="78" t="e">
        <f t="shared" si="80"/>
        <v>#N/A</v>
      </c>
      <c r="P357" s="78" t="e">
        <f t="shared" si="81"/>
        <v>#N/A</v>
      </c>
      <c r="Q357" s="78" t="e">
        <f t="shared" si="82"/>
        <v>#N/A</v>
      </c>
      <c r="R357" s="78" t="e">
        <f t="shared" si="83"/>
        <v>#N/A</v>
      </c>
      <c r="S357" s="78" t="e">
        <f t="shared" si="84"/>
        <v>#N/A</v>
      </c>
      <c r="T357" s="74" t="e">
        <f t="shared" si="85"/>
        <v>#N/A</v>
      </c>
      <c r="U357" s="74" t="e">
        <f t="shared" si="86"/>
        <v>#N/A</v>
      </c>
      <c r="V357" s="74" t="e">
        <f t="shared" si="87"/>
        <v>#N/A</v>
      </c>
      <c r="W357" s="74" t="e">
        <f t="shared" si="88"/>
        <v>#N/A</v>
      </c>
      <c r="X357" s="74" t="e">
        <f t="shared" si="89"/>
        <v>#N/A</v>
      </c>
      <c r="Y357" s="74" t="e">
        <f t="shared" si="90"/>
        <v>#N/A</v>
      </c>
    </row>
    <row r="358" spans="1:25">
      <c r="A358" s="88">
        <f>'Batch input'!A357</f>
        <v>0</v>
      </c>
      <c r="B358">
        <f>'Batch input'!B357</f>
        <v>0</v>
      </c>
      <c r="C358" t="e">
        <f>VLOOKUP($A358,Data!$D$3:$CJ$128,30,FALSE)</f>
        <v>#N/A</v>
      </c>
      <c r="D358" s="74" t="e">
        <f>VLOOKUP($A358,Data!$D$3:$CJ$128,64,FALSE)</f>
        <v>#N/A</v>
      </c>
      <c r="E358" s="74" t="e">
        <f>VLOOKUP($A358,Data!$D$3:$CJ$128,66,FALSE)</f>
        <v>#N/A</v>
      </c>
      <c r="F358" s="74" t="e">
        <f>VLOOKUP($A358,Data!$D$3:$CJ$128,67,FALSE)</f>
        <v>#N/A</v>
      </c>
      <c r="G358" s="78" t="e">
        <f>VLOOKUP($A358,Data!$D$3:$CJ$128,68,FALSE)</f>
        <v>#N/A</v>
      </c>
      <c r="H358" s="78" t="e">
        <f>VLOOKUP($A358,Data!$D$3:$CJ$128,69,FALSE)</f>
        <v>#N/A</v>
      </c>
      <c r="I358" s="74" t="e">
        <f>VLOOKUP($A358,Data!$D$3:$CJ$128,70,FALSE)</f>
        <v>#N/A</v>
      </c>
      <c r="J358" s="74" t="e">
        <f>VLOOKUP($A358,Data!$D$3:$CJ$128,71,FALSE)</f>
        <v>#N/A</v>
      </c>
      <c r="K358" s="74" t="e">
        <f>VLOOKUP($A358,Data!$D$3:$CJ$128,72,FALSE)</f>
        <v>#N/A</v>
      </c>
      <c r="L358" s="74" t="e">
        <f>VLOOKUP($A358,Data!$D$3:$CJ$128,73,FALSE)</f>
        <v>#N/A</v>
      </c>
      <c r="M358" s="74" t="e">
        <f>VLOOKUP($A358,Data!$D$3:$CJ$128,74,FALSE)</f>
        <v>#N/A</v>
      </c>
      <c r="N358" s="78" t="e">
        <f t="shared" si="79"/>
        <v>#N/A</v>
      </c>
      <c r="O358" s="78" t="e">
        <f t="shared" si="80"/>
        <v>#N/A</v>
      </c>
      <c r="P358" s="78" t="e">
        <f t="shared" si="81"/>
        <v>#N/A</v>
      </c>
      <c r="Q358" s="78" t="e">
        <f t="shared" si="82"/>
        <v>#N/A</v>
      </c>
      <c r="R358" s="78" t="e">
        <f t="shared" si="83"/>
        <v>#N/A</v>
      </c>
      <c r="S358" s="78" t="e">
        <f t="shared" si="84"/>
        <v>#N/A</v>
      </c>
      <c r="T358" s="74" t="e">
        <f t="shared" si="85"/>
        <v>#N/A</v>
      </c>
      <c r="U358" s="74" t="e">
        <f t="shared" si="86"/>
        <v>#N/A</v>
      </c>
      <c r="V358" s="74" t="e">
        <f t="shared" si="87"/>
        <v>#N/A</v>
      </c>
      <c r="W358" s="74" t="e">
        <f t="shared" si="88"/>
        <v>#N/A</v>
      </c>
      <c r="X358" s="74" t="e">
        <f t="shared" si="89"/>
        <v>#N/A</v>
      </c>
      <c r="Y358" s="74" t="e">
        <f t="shared" si="90"/>
        <v>#N/A</v>
      </c>
    </row>
    <row r="359" spans="1:25">
      <c r="A359" s="88">
        <f>'Batch input'!A358</f>
        <v>0</v>
      </c>
      <c r="B359">
        <f>'Batch input'!B358</f>
        <v>0</v>
      </c>
      <c r="C359" t="e">
        <f>VLOOKUP($A359,Data!$D$3:$CJ$128,30,FALSE)</f>
        <v>#N/A</v>
      </c>
      <c r="D359" s="74" t="e">
        <f>VLOOKUP($A359,Data!$D$3:$CJ$128,64,FALSE)</f>
        <v>#N/A</v>
      </c>
      <c r="E359" s="74" t="e">
        <f>VLOOKUP($A359,Data!$D$3:$CJ$128,66,FALSE)</f>
        <v>#N/A</v>
      </c>
      <c r="F359" s="74" t="e">
        <f>VLOOKUP($A359,Data!$D$3:$CJ$128,67,FALSE)</f>
        <v>#N/A</v>
      </c>
      <c r="G359" s="78" t="e">
        <f>VLOOKUP($A359,Data!$D$3:$CJ$128,68,FALSE)</f>
        <v>#N/A</v>
      </c>
      <c r="H359" s="78" t="e">
        <f>VLOOKUP($A359,Data!$D$3:$CJ$128,69,FALSE)</f>
        <v>#N/A</v>
      </c>
      <c r="I359" s="74" t="e">
        <f>VLOOKUP($A359,Data!$D$3:$CJ$128,70,FALSE)</f>
        <v>#N/A</v>
      </c>
      <c r="J359" s="74" t="e">
        <f>VLOOKUP($A359,Data!$D$3:$CJ$128,71,FALSE)</f>
        <v>#N/A</v>
      </c>
      <c r="K359" s="74" t="e">
        <f>VLOOKUP($A359,Data!$D$3:$CJ$128,72,FALSE)</f>
        <v>#N/A</v>
      </c>
      <c r="L359" s="74" t="e">
        <f>VLOOKUP($A359,Data!$D$3:$CJ$128,73,FALSE)</f>
        <v>#N/A</v>
      </c>
      <c r="M359" s="74" t="e">
        <f>VLOOKUP($A359,Data!$D$3:$CJ$128,74,FALSE)</f>
        <v>#N/A</v>
      </c>
      <c r="N359" s="78" t="e">
        <f t="shared" si="79"/>
        <v>#N/A</v>
      </c>
      <c r="O359" s="78" t="e">
        <f t="shared" si="80"/>
        <v>#N/A</v>
      </c>
      <c r="P359" s="78" t="e">
        <f t="shared" si="81"/>
        <v>#N/A</v>
      </c>
      <c r="Q359" s="78" t="e">
        <f t="shared" si="82"/>
        <v>#N/A</v>
      </c>
      <c r="R359" s="78" t="e">
        <f t="shared" si="83"/>
        <v>#N/A</v>
      </c>
      <c r="S359" s="78" t="e">
        <f t="shared" si="84"/>
        <v>#N/A</v>
      </c>
      <c r="T359" s="74" t="e">
        <f t="shared" si="85"/>
        <v>#N/A</v>
      </c>
      <c r="U359" s="74" t="e">
        <f t="shared" si="86"/>
        <v>#N/A</v>
      </c>
      <c r="V359" s="74" t="e">
        <f t="shared" si="87"/>
        <v>#N/A</v>
      </c>
      <c r="W359" s="74" t="e">
        <f t="shared" si="88"/>
        <v>#N/A</v>
      </c>
      <c r="X359" s="74" t="e">
        <f t="shared" si="89"/>
        <v>#N/A</v>
      </c>
      <c r="Y359" s="74" t="e">
        <f t="shared" si="90"/>
        <v>#N/A</v>
      </c>
    </row>
    <row r="360" spans="1:25">
      <c r="A360" s="88">
        <f>'Batch input'!A359</f>
        <v>0</v>
      </c>
      <c r="B360">
        <f>'Batch input'!B359</f>
        <v>0</v>
      </c>
      <c r="C360" t="e">
        <f>VLOOKUP($A360,Data!$D$3:$CJ$128,30,FALSE)</f>
        <v>#N/A</v>
      </c>
      <c r="D360" s="74" t="e">
        <f>VLOOKUP($A360,Data!$D$3:$CJ$128,64,FALSE)</f>
        <v>#N/A</v>
      </c>
      <c r="E360" s="74" t="e">
        <f>VLOOKUP($A360,Data!$D$3:$CJ$128,66,FALSE)</f>
        <v>#N/A</v>
      </c>
      <c r="F360" s="74" t="e">
        <f>VLOOKUP($A360,Data!$D$3:$CJ$128,67,FALSE)</f>
        <v>#N/A</v>
      </c>
      <c r="G360" s="78" t="e">
        <f>VLOOKUP($A360,Data!$D$3:$CJ$128,68,FALSE)</f>
        <v>#N/A</v>
      </c>
      <c r="H360" s="78" t="e">
        <f>VLOOKUP($A360,Data!$D$3:$CJ$128,69,FALSE)</f>
        <v>#N/A</v>
      </c>
      <c r="I360" s="74" t="e">
        <f>VLOOKUP($A360,Data!$D$3:$CJ$128,70,FALSE)</f>
        <v>#N/A</v>
      </c>
      <c r="J360" s="74" t="e">
        <f>VLOOKUP($A360,Data!$D$3:$CJ$128,71,FALSE)</f>
        <v>#N/A</v>
      </c>
      <c r="K360" s="74" t="e">
        <f>VLOOKUP($A360,Data!$D$3:$CJ$128,72,FALSE)</f>
        <v>#N/A</v>
      </c>
      <c r="L360" s="74" t="e">
        <f>VLOOKUP($A360,Data!$D$3:$CJ$128,73,FALSE)</f>
        <v>#N/A</v>
      </c>
      <c r="M360" s="74" t="e">
        <f>VLOOKUP($A360,Data!$D$3:$CJ$128,74,FALSE)</f>
        <v>#N/A</v>
      </c>
      <c r="N360" s="78" t="e">
        <f t="shared" si="79"/>
        <v>#N/A</v>
      </c>
      <c r="O360" s="78" t="e">
        <f t="shared" si="80"/>
        <v>#N/A</v>
      </c>
      <c r="P360" s="78" t="e">
        <f t="shared" si="81"/>
        <v>#N/A</v>
      </c>
      <c r="Q360" s="78" t="e">
        <f t="shared" si="82"/>
        <v>#N/A</v>
      </c>
      <c r="R360" s="78" t="e">
        <f t="shared" si="83"/>
        <v>#N/A</v>
      </c>
      <c r="S360" s="78" t="e">
        <f t="shared" si="84"/>
        <v>#N/A</v>
      </c>
      <c r="T360" s="74" t="e">
        <f t="shared" si="85"/>
        <v>#N/A</v>
      </c>
      <c r="U360" s="74" t="e">
        <f t="shared" si="86"/>
        <v>#N/A</v>
      </c>
      <c r="V360" s="74" t="e">
        <f t="shared" si="87"/>
        <v>#N/A</v>
      </c>
      <c r="W360" s="74" t="e">
        <f t="shared" si="88"/>
        <v>#N/A</v>
      </c>
      <c r="X360" s="74" t="e">
        <f t="shared" si="89"/>
        <v>#N/A</v>
      </c>
      <c r="Y360" s="74" t="e">
        <f t="shared" si="90"/>
        <v>#N/A</v>
      </c>
    </row>
    <row r="361" spans="1:25">
      <c r="A361" s="88">
        <f>'Batch input'!A360</f>
        <v>0</v>
      </c>
      <c r="B361">
        <f>'Batch input'!B360</f>
        <v>0</v>
      </c>
      <c r="C361" t="e">
        <f>VLOOKUP($A361,Data!$D$3:$CJ$128,30,FALSE)</f>
        <v>#N/A</v>
      </c>
      <c r="D361" s="74" t="e">
        <f>VLOOKUP($A361,Data!$D$3:$CJ$128,64,FALSE)</f>
        <v>#N/A</v>
      </c>
      <c r="E361" s="74" t="e">
        <f>VLOOKUP($A361,Data!$D$3:$CJ$128,66,FALSE)</f>
        <v>#N/A</v>
      </c>
      <c r="F361" s="74" t="e">
        <f>VLOOKUP($A361,Data!$D$3:$CJ$128,67,FALSE)</f>
        <v>#N/A</v>
      </c>
      <c r="G361" s="78" t="e">
        <f>VLOOKUP($A361,Data!$D$3:$CJ$128,68,FALSE)</f>
        <v>#N/A</v>
      </c>
      <c r="H361" s="78" t="e">
        <f>VLOOKUP($A361,Data!$D$3:$CJ$128,69,FALSE)</f>
        <v>#N/A</v>
      </c>
      <c r="I361" s="74" t="e">
        <f>VLOOKUP($A361,Data!$D$3:$CJ$128,70,FALSE)</f>
        <v>#N/A</v>
      </c>
      <c r="J361" s="74" t="e">
        <f>VLOOKUP($A361,Data!$D$3:$CJ$128,71,FALSE)</f>
        <v>#N/A</v>
      </c>
      <c r="K361" s="74" t="e">
        <f>VLOOKUP($A361,Data!$D$3:$CJ$128,72,FALSE)</f>
        <v>#N/A</v>
      </c>
      <c r="L361" s="74" t="e">
        <f>VLOOKUP($A361,Data!$D$3:$CJ$128,73,FALSE)</f>
        <v>#N/A</v>
      </c>
      <c r="M361" s="74" t="e">
        <f>VLOOKUP($A361,Data!$D$3:$CJ$128,74,FALSE)</f>
        <v>#N/A</v>
      </c>
      <c r="N361" s="78" t="e">
        <f t="shared" si="79"/>
        <v>#N/A</v>
      </c>
      <c r="O361" s="78" t="e">
        <f t="shared" si="80"/>
        <v>#N/A</v>
      </c>
      <c r="P361" s="78" t="e">
        <f t="shared" si="81"/>
        <v>#N/A</v>
      </c>
      <c r="Q361" s="78" t="e">
        <f t="shared" si="82"/>
        <v>#N/A</v>
      </c>
      <c r="R361" s="78" t="e">
        <f t="shared" si="83"/>
        <v>#N/A</v>
      </c>
      <c r="S361" s="78" t="e">
        <f t="shared" si="84"/>
        <v>#N/A</v>
      </c>
      <c r="T361" s="74" t="e">
        <f t="shared" si="85"/>
        <v>#N/A</v>
      </c>
      <c r="U361" s="74" t="e">
        <f t="shared" si="86"/>
        <v>#N/A</v>
      </c>
      <c r="V361" s="74" t="e">
        <f t="shared" si="87"/>
        <v>#N/A</v>
      </c>
      <c r="W361" s="74" t="e">
        <f t="shared" si="88"/>
        <v>#N/A</v>
      </c>
      <c r="X361" s="74" t="e">
        <f t="shared" si="89"/>
        <v>#N/A</v>
      </c>
      <c r="Y361" s="74" t="e">
        <f t="shared" si="90"/>
        <v>#N/A</v>
      </c>
    </row>
    <row r="362" spans="1:25">
      <c r="A362" s="88">
        <f>'Batch input'!A361</f>
        <v>0</v>
      </c>
      <c r="B362">
        <f>'Batch input'!B361</f>
        <v>0</v>
      </c>
      <c r="C362" t="e">
        <f>VLOOKUP($A362,Data!$D$3:$CJ$128,30,FALSE)</f>
        <v>#N/A</v>
      </c>
      <c r="D362" s="74" t="e">
        <f>VLOOKUP($A362,Data!$D$3:$CJ$128,64,FALSE)</f>
        <v>#N/A</v>
      </c>
      <c r="E362" s="74" t="e">
        <f>VLOOKUP($A362,Data!$D$3:$CJ$128,66,FALSE)</f>
        <v>#N/A</v>
      </c>
      <c r="F362" s="74" t="e">
        <f>VLOOKUP($A362,Data!$D$3:$CJ$128,67,FALSE)</f>
        <v>#N/A</v>
      </c>
      <c r="G362" s="78" t="e">
        <f>VLOOKUP($A362,Data!$D$3:$CJ$128,68,FALSE)</f>
        <v>#N/A</v>
      </c>
      <c r="H362" s="78" t="e">
        <f>VLOOKUP($A362,Data!$D$3:$CJ$128,69,FALSE)</f>
        <v>#N/A</v>
      </c>
      <c r="I362" s="74" t="e">
        <f>VLOOKUP($A362,Data!$D$3:$CJ$128,70,FALSE)</f>
        <v>#N/A</v>
      </c>
      <c r="J362" s="74" t="e">
        <f>VLOOKUP($A362,Data!$D$3:$CJ$128,71,FALSE)</f>
        <v>#N/A</v>
      </c>
      <c r="K362" s="74" t="e">
        <f>VLOOKUP($A362,Data!$D$3:$CJ$128,72,FALSE)</f>
        <v>#N/A</v>
      </c>
      <c r="L362" s="74" t="e">
        <f>VLOOKUP($A362,Data!$D$3:$CJ$128,73,FALSE)</f>
        <v>#N/A</v>
      </c>
      <c r="M362" s="74" t="e">
        <f>VLOOKUP($A362,Data!$D$3:$CJ$128,74,FALSE)</f>
        <v>#N/A</v>
      </c>
      <c r="N362" s="78" t="e">
        <f t="shared" si="79"/>
        <v>#N/A</v>
      </c>
      <c r="O362" s="78" t="e">
        <f t="shared" si="80"/>
        <v>#N/A</v>
      </c>
      <c r="P362" s="78" t="e">
        <f t="shared" si="81"/>
        <v>#N/A</v>
      </c>
      <c r="Q362" s="78" t="e">
        <f t="shared" si="82"/>
        <v>#N/A</v>
      </c>
      <c r="R362" s="78" t="e">
        <f t="shared" si="83"/>
        <v>#N/A</v>
      </c>
      <c r="S362" s="78" t="e">
        <f t="shared" si="84"/>
        <v>#N/A</v>
      </c>
      <c r="T362" s="74" t="e">
        <f t="shared" si="85"/>
        <v>#N/A</v>
      </c>
      <c r="U362" s="74" t="e">
        <f t="shared" si="86"/>
        <v>#N/A</v>
      </c>
      <c r="V362" s="74" t="e">
        <f t="shared" si="87"/>
        <v>#N/A</v>
      </c>
      <c r="W362" s="74" t="e">
        <f t="shared" si="88"/>
        <v>#N/A</v>
      </c>
      <c r="X362" s="74" t="e">
        <f t="shared" si="89"/>
        <v>#N/A</v>
      </c>
      <c r="Y362" s="74" t="e">
        <f t="shared" si="90"/>
        <v>#N/A</v>
      </c>
    </row>
    <row r="363" spans="1:25">
      <c r="A363" s="88">
        <f>'Batch input'!A362</f>
        <v>0</v>
      </c>
      <c r="B363">
        <f>'Batch input'!B362</f>
        <v>0</v>
      </c>
      <c r="C363" t="e">
        <f>VLOOKUP($A363,Data!$D$3:$CJ$128,30,FALSE)</f>
        <v>#N/A</v>
      </c>
      <c r="D363" s="74" t="e">
        <f>VLOOKUP($A363,Data!$D$3:$CJ$128,64,FALSE)</f>
        <v>#N/A</v>
      </c>
      <c r="E363" s="74" t="e">
        <f>VLOOKUP($A363,Data!$D$3:$CJ$128,66,FALSE)</f>
        <v>#N/A</v>
      </c>
      <c r="F363" s="74" t="e">
        <f>VLOOKUP($A363,Data!$D$3:$CJ$128,67,FALSE)</f>
        <v>#N/A</v>
      </c>
      <c r="G363" s="78" t="e">
        <f>VLOOKUP($A363,Data!$D$3:$CJ$128,68,FALSE)</f>
        <v>#N/A</v>
      </c>
      <c r="H363" s="78" t="e">
        <f>VLOOKUP($A363,Data!$D$3:$CJ$128,69,FALSE)</f>
        <v>#N/A</v>
      </c>
      <c r="I363" s="74" t="e">
        <f>VLOOKUP($A363,Data!$D$3:$CJ$128,70,FALSE)</f>
        <v>#N/A</v>
      </c>
      <c r="J363" s="74" t="e">
        <f>VLOOKUP($A363,Data!$D$3:$CJ$128,71,FALSE)</f>
        <v>#N/A</v>
      </c>
      <c r="K363" s="74" t="e">
        <f>VLOOKUP($A363,Data!$D$3:$CJ$128,72,FALSE)</f>
        <v>#N/A</v>
      </c>
      <c r="L363" s="74" t="e">
        <f>VLOOKUP($A363,Data!$D$3:$CJ$128,73,FALSE)</f>
        <v>#N/A</v>
      </c>
      <c r="M363" s="74" t="e">
        <f>VLOOKUP($A363,Data!$D$3:$CJ$128,74,FALSE)</f>
        <v>#N/A</v>
      </c>
      <c r="N363" s="78" t="e">
        <f t="shared" si="79"/>
        <v>#N/A</v>
      </c>
      <c r="O363" s="78" t="e">
        <f t="shared" si="80"/>
        <v>#N/A</v>
      </c>
      <c r="P363" s="78" t="e">
        <f t="shared" si="81"/>
        <v>#N/A</v>
      </c>
      <c r="Q363" s="78" t="e">
        <f t="shared" si="82"/>
        <v>#N/A</v>
      </c>
      <c r="R363" s="78" t="e">
        <f t="shared" si="83"/>
        <v>#N/A</v>
      </c>
      <c r="S363" s="78" t="e">
        <f t="shared" si="84"/>
        <v>#N/A</v>
      </c>
      <c r="T363" s="74" t="e">
        <f t="shared" si="85"/>
        <v>#N/A</v>
      </c>
      <c r="U363" s="74" t="e">
        <f t="shared" si="86"/>
        <v>#N/A</v>
      </c>
      <c r="V363" s="74" t="e">
        <f t="shared" si="87"/>
        <v>#N/A</v>
      </c>
      <c r="W363" s="74" t="e">
        <f t="shared" si="88"/>
        <v>#N/A</v>
      </c>
      <c r="X363" s="74" t="e">
        <f t="shared" si="89"/>
        <v>#N/A</v>
      </c>
      <c r="Y363" s="74" t="e">
        <f t="shared" si="90"/>
        <v>#N/A</v>
      </c>
    </row>
    <row r="364" spans="1:25">
      <c r="A364" s="88">
        <f>'Batch input'!A363</f>
        <v>0</v>
      </c>
      <c r="B364">
        <f>'Batch input'!B363</f>
        <v>0</v>
      </c>
      <c r="C364" t="e">
        <f>VLOOKUP($A364,Data!$D$3:$CJ$128,30,FALSE)</f>
        <v>#N/A</v>
      </c>
      <c r="D364" s="74" t="e">
        <f>VLOOKUP($A364,Data!$D$3:$CJ$128,64,FALSE)</f>
        <v>#N/A</v>
      </c>
      <c r="E364" s="74" t="e">
        <f>VLOOKUP($A364,Data!$D$3:$CJ$128,66,FALSE)</f>
        <v>#N/A</v>
      </c>
      <c r="F364" s="74" t="e">
        <f>VLOOKUP($A364,Data!$D$3:$CJ$128,67,FALSE)</f>
        <v>#N/A</v>
      </c>
      <c r="G364" s="78" t="e">
        <f>VLOOKUP($A364,Data!$D$3:$CJ$128,68,FALSE)</f>
        <v>#N/A</v>
      </c>
      <c r="H364" s="78" t="e">
        <f>VLOOKUP($A364,Data!$D$3:$CJ$128,69,FALSE)</f>
        <v>#N/A</v>
      </c>
      <c r="I364" s="74" t="e">
        <f>VLOOKUP($A364,Data!$D$3:$CJ$128,70,FALSE)</f>
        <v>#N/A</v>
      </c>
      <c r="J364" s="74" t="e">
        <f>VLOOKUP($A364,Data!$D$3:$CJ$128,71,FALSE)</f>
        <v>#N/A</v>
      </c>
      <c r="K364" s="74" t="e">
        <f>VLOOKUP($A364,Data!$D$3:$CJ$128,72,FALSE)</f>
        <v>#N/A</v>
      </c>
      <c r="L364" s="74" t="e">
        <f>VLOOKUP($A364,Data!$D$3:$CJ$128,73,FALSE)</f>
        <v>#N/A</v>
      </c>
      <c r="M364" s="74" t="e">
        <f>VLOOKUP($A364,Data!$D$3:$CJ$128,74,FALSE)</f>
        <v>#N/A</v>
      </c>
      <c r="N364" s="78" t="e">
        <f t="shared" si="79"/>
        <v>#N/A</v>
      </c>
      <c r="O364" s="78" t="e">
        <f t="shared" si="80"/>
        <v>#N/A</v>
      </c>
      <c r="P364" s="78" t="e">
        <f t="shared" si="81"/>
        <v>#N/A</v>
      </c>
      <c r="Q364" s="78" t="e">
        <f t="shared" si="82"/>
        <v>#N/A</v>
      </c>
      <c r="R364" s="78" t="e">
        <f t="shared" si="83"/>
        <v>#N/A</v>
      </c>
      <c r="S364" s="78" t="e">
        <f t="shared" si="84"/>
        <v>#N/A</v>
      </c>
      <c r="T364" s="74" t="e">
        <f t="shared" si="85"/>
        <v>#N/A</v>
      </c>
      <c r="U364" s="74" t="e">
        <f t="shared" si="86"/>
        <v>#N/A</v>
      </c>
      <c r="V364" s="74" t="e">
        <f t="shared" si="87"/>
        <v>#N/A</v>
      </c>
      <c r="W364" s="74" t="e">
        <f t="shared" si="88"/>
        <v>#N/A</v>
      </c>
      <c r="X364" s="74" t="e">
        <f t="shared" si="89"/>
        <v>#N/A</v>
      </c>
      <c r="Y364" s="74" t="e">
        <f t="shared" si="90"/>
        <v>#N/A</v>
      </c>
    </row>
    <row r="365" spans="1:25">
      <c r="A365" s="88">
        <f>'Batch input'!A364</f>
        <v>0</v>
      </c>
      <c r="B365">
        <f>'Batch input'!B364</f>
        <v>0</v>
      </c>
      <c r="C365" t="e">
        <f>VLOOKUP($A365,Data!$D$3:$CJ$128,30,FALSE)</f>
        <v>#N/A</v>
      </c>
      <c r="D365" s="74" t="e">
        <f>VLOOKUP($A365,Data!$D$3:$CJ$128,64,FALSE)</f>
        <v>#N/A</v>
      </c>
      <c r="E365" s="74" t="e">
        <f>VLOOKUP($A365,Data!$D$3:$CJ$128,66,FALSE)</f>
        <v>#N/A</v>
      </c>
      <c r="F365" s="74" t="e">
        <f>VLOOKUP($A365,Data!$D$3:$CJ$128,67,FALSE)</f>
        <v>#N/A</v>
      </c>
      <c r="G365" s="78" t="e">
        <f>VLOOKUP($A365,Data!$D$3:$CJ$128,68,FALSE)</f>
        <v>#N/A</v>
      </c>
      <c r="H365" s="78" t="e">
        <f>VLOOKUP($A365,Data!$D$3:$CJ$128,69,FALSE)</f>
        <v>#N/A</v>
      </c>
      <c r="I365" s="74" t="e">
        <f>VLOOKUP($A365,Data!$D$3:$CJ$128,70,FALSE)</f>
        <v>#N/A</v>
      </c>
      <c r="J365" s="74" t="e">
        <f>VLOOKUP($A365,Data!$D$3:$CJ$128,71,FALSE)</f>
        <v>#N/A</v>
      </c>
      <c r="K365" s="74" t="e">
        <f>VLOOKUP($A365,Data!$D$3:$CJ$128,72,FALSE)</f>
        <v>#N/A</v>
      </c>
      <c r="L365" s="74" t="e">
        <f>VLOOKUP($A365,Data!$D$3:$CJ$128,73,FALSE)</f>
        <v>#N/A</v>
      </c>
      <c r="M365" s="74" t="e">
        <f>VLOOKUP($A365,Data!$D$3:$CJ$128,74,FALSE)</f>
        <v>#N/A</v>
      </c>
      <c r="N365" s="78" t="e">
        <f t="shared" si="79"/>
        <v>#N/A</v>
      </c>
      <c r="O365" s="78" t="e">
        <f t="shared" si="80"/>
        <v>#N/A</v>
      </c>
      <c r="P365" s="78" t="e">
        <f t="shared" si="81"/>
        <v>#N/A</v>
      </c>
      <c r="Q365" s="78" t="e">
        <f t="shared" si="82"/>
        <v>#N/A</v>
      </c>
      <c r="R365" s="78" t="e">
        <f t="shared" si="83"/>
        <v>#N/A</v>
      </c>
      <c r="S365" s="78" t="e">
        <f t="shared" si="84"/>
        <v>#N/A</v>
      </c>
      <c r="T365" s="74" t="e">
        <f t="shared" si="85"/>
        <v>#N/A</v>
      </c>
      <c r="U365" s="74" t="e">
        <f t="shared" si="86"/>
        <v>#N/A</v>
      </c>
      <c r="V365" s="74" t="e">
        <f t="shared" si="87"/>
        <v>#N/A</v>
      </c>
      <c r="W365" s="74" t="e">
        <f t="shared" si="88"/>
        <v>#N/A</v>
      </c>
      <c r="X365" s="74" t="e">
        <f t="shared" si="89"/>
        <v>#N/A</v>
      </c>
      <c r="Y365" s="74" t="e">
        <f t="shared" si="90"/>
        <v>#N/A</v>
      </c>
    </row>
    <row r="366" spans="1:25">
      <c r="A366" s="88">
        <f>'Batch input'!A365</f>
        <v>0</v>
      </c>
      <c r="B366">
        <f>'Batch input'!B365</f>
        <v>0</v>
      </c>
      <c r="C366" t="e">
        <f>VLOOKUP($A366,Data!$D$3:$CJ$128,30,FALSE)</f>
        <v>#N/A</v>
      </c>
      <c r="D366" s="74" t="e">
        <f>VLOOKUP($A366,Data!$D$3:$CJ$128,64,FALSE)</f>
        <v>#N/A</v>
      </c>
      <c r="E366" s="74" t="e">
        <f>VLOOKUP($A366,Data!$D$3:$CJ$128,66,FALSE)</f>
        <v>#N/A</v>
      </c>
      <c r="F366" s="74" t="e">
        <f>VLOOKUP($A366,Data!$D$3:$CJ$128,67,FALSE)</f>
        <v>#N/A</v>
      </c>
      <c r="G366" s="78" t="e">
        <f>VLOOKUP($A366,Data!$D$3:$CJ$128,68,FALSE)</f>
        <v>#N/A</v>
      </c>
      <c r="H366" s="78" t="e">
        <f>VLOOKUP($A366,Data!$D$3:$CJ$128,69,FALSE)</f>
        <v>#N/A</v>
      </c>
      <c r="I366" s="74" t="e">
        <f>VLOOKUP($A366,Data!$D$3:$CJ$128,70,FALSE)</f>
        <v>#N/A</v>
      </c>
      <c r="J366" s="74" t="e">
        <f>VLOOKUP($A366,Data!$D$3:$CJ$128,71,FALSE)</f>
        <v>#N/A</v>
      </c>
      <c r="K366" s="74" t="e">
        <f>VLOOKUP($A366,Data!$D$3:$CJ$128,72,FALSE)</f>
        <v>#N/A</v>
      </c>
      <c r="L366" s="74" t="e">
        <f>VLOOKUP($A366,Data!$D$3:$CJ$128,73,FALSE)</f>
        <v>#N/A</v>
      </c>
      <c r="M366" s="74" t="e">
        <f>VLOOKUP($A366,Data!$D$3:$CJ$128,74,FALSE)</f>
        <v>#N/A</v>
      </c>
      <c r="N366" s="78" t="e">
        <f t="shared" si="79"/>
        <v>#N/A</v>
      </c>
      <c r="O366" s="78" t="e">
        <f t="shared" si="80"/>
        <v>#N/A</v>
      </c>
      <c r="P366" s="78" t="e">
        <f t="shared" si="81"/>
        <v>#N/A</v>
      </c>
      <c r="Q366" s="78" t="e">
        <f t="shared" si="82"/>
        <v>#N/A</v>
      </c>
      <c r="R366" s="78" t="e">
        <f t="shared" si="83"/>
        <v>#N/A</v>
      </c>
      <c r="S366" s="78" t="e">
        <f t="shared" si="84"/>
        <v>#N/A</v>
      </c>
      <c r="T366" s="74" t="e">
        <f t="shared" si="85"/>
        <v>#N/A</v>
      </c>
      <c r="U366" s="74" t="e">
        <f t="shared" si="86"/>
        <v>#N/A</v>
      </c>
      <c r="V366" s="74" t="e">
        <f t="shared" si="87"/>
        <v>#N/A</v>
      </c>
      <c r="W366" s="74" t="e">
        <f t="shared" si="88"/>
        <v>#N/A</v>
      </c>
      <c r="X366" s="74" t="e">
        <f t="shared" si="89"/>
        <v>#N/A</v>
      </c>
      <c r="Y366" s="74" t="e">
        <f t="shared" si="90"/>
        <v>#N/A</v>
      </c>
    </row>
    <row r="367" spans="1:25">
      <c r="A367" s="88">
        <f>'Batch input'!A366</f>
        <v>0</v>
      </c>
      <c r="B367">
        <f>'Batch input'!B366</f>
        <v>0</v>
      </c>
      <c r="C367" t="e">
        <f>VLOOKUP($A367,Data!$D$3:$CJ$128,30,FALSE)</f>
        <v>#N/A</v>
      </c>
      <c r="D367" s="74" t="e">
        <f>VLOOKUP($A367,Data!$D$3:$CJ$128,64,FALSE)</f>
        <v>#N/A</v>
      </c>
      <c r="E367" s="74" t="e">
        <f>VLOOKUP($A367,Data!$D$3:$CJ$128,66,FALSE)</f>
        <v>#N/A</v>
      </c>
      <c r="F367" s="74" t="e">
        <f>VLOOKUP($A367,Data!$D$3:$CJ$128,67,FALSE)</f>
        <v>#N/A</v>
      </c>
      <c r="G367" s="78" t="e">
        <f>VLOOKUP($A367,Data!$D$3:$CJ$128,68,FALSE)</f>
        <v>#N/A</v>
      </c>
      <c r="H367" s="78" t="e">
        <f>VLOOKUP($A367,Data!$D$3:$CJ$128,69,FALSE)</f>
        <v>#N/A</v>
      </c>
      <c r="I367" s="74" t="e">
        <f>VLOOKUP($A367,Data!$D$3:$CJ$128,70,FALSE)</f>
        <v>#N/A</v>
      </c>
      <c r="J367" s="74" t="e">
        <f>VLOOKUP($A367,Data!$D$3:$CJ$128,71,FALSE)</f>
        <v>#N/A</v>
      </c>
      <c r="K367" s="74" t="e">
        <f>VLOOKUP($A367,Data!$D$3:$CJ$128,72,FALSE)</f>
        <v>#N/A</v>
      </c>
      <c r="L367" s="74" t="e">
        <f>VLOOKUP($A367,Data!$D$3:$CJ$128,73,FALSE)</f>
        <v>#N/A</v>
      </c>
      <c r="M367" s="74" t="e">
        <f>VLOOKUP($A367,Data!$D$3:$CJ$128,74,FALSE)</f>
        <v>#N/A</v>
      </c>
      <c r="N367" s="78" t="e">
        <f t="shared" si="79"/>
        <v>#N/A</v>
      </c>
      <c r="O367" s="78" t="e">
        <f t="shared" si="80"/>
        <v>#N/A</v>
      </c>
      <c r="P367" s="78" t="e">
        <f t="shared" si="81"/>
        <v>#N/A</v>
      </c>
      <c r="Q367" s="78" t="e">
        <f t="shared" si="82"/>
        <v>#N/A</v>
      </c>
      <c r="R367" s="78" t="e">
        <f t="shared" si="83"/>
        <v>#N/A</v>
      </c>
      <c r="S367" s="78" t="e">
        <f t="shared" si="84"/>
        <v>#N/A</v>
      </c>
      <c r="T367" s="74" t="e">
        <f t="shared" si="85"/>
        <v>#N/A</v>
      </c>
      <c r="U367" s="74" t="e">
        <f t="shared" si="86"/>
        <v>#N/A</v>
      </c>
      <c r="V367" s="74" t="e">
        <f t="shared" si="87"/>
        <v>#N/A</v>
      </c>
      <c r="W367" s="74" t="e">
        <f t="shared" si="88"/>
        <v>#N/A</v>
      </c>
      <c r="X367" s="74" t="e">
        <f t="shared" si="89"/>
        <v>#N/A</v>
      </c>
      <c r="Y367" s="74" t="e">
        <f t="shared" si="90"/>
        <v>#N/A</v>
      </c>
    </row>
    <row r="368" spans="1:25">
      <c r="A368" s="88">
        <f>'Batch input'!A367</f>
        <v>0</v>
      </c>
      <c r="B368">
        <f>'Batch input'!B367</f>
        <v>0</v>
      </c>
      <c r="C368" t="e">
        <f>VLOOKUP($A368,Data!$D$3:$CJ$128,30,FALSE)</f>
        <v>#N/A</v>
      </c>
      <c r="D368" s="74" t="e">
        <f>VLOOKUP($A368,Data!$D$3:$CJ$128,64,FALSE)</f>
        <v>#N/A</v>
      </c>
      <c r="E368" s="74" t="e">
        <f>VLOOKUP($A368,Data!$D$3:$CJ$128,66,FALSE)</f>
        <v>#N/A</v>
      </c>
      <c r="F368" s="74" t="e">
        <f>VLOOKUP($A368,Data!$D$3:$CJ$128,67,FALSE)</f>
        <v>#N/A</v>
      </c>
      <c r="G368" s="78" t="e">
        <f>VLOOKUP($A368,Data!$D$3:$CJ$128,68,FALSE)</f>
        <v>#N/A</v>
      </c>
      <c r="H368" s="78" t="e">
        <f>VLOOKUP($A368,Data!$D$3:$CJ$128,69,FALSE)</f>
        <v>#N/A</v>
      </c>
      <c r="I368" s="74" t="e">
        <f>VLOOKUP($A368,Data!$D$3:$CJ$128,70,FALSE)</f>
        <v>#N/A</v>
      </c>
      <c r="J368" s="74" t="e">
        <f>VLOOKUP($A368,Data!$D$3:$CJ$128,71,FALSE)</f>
        <v>#N/A</v>
      </c>
      <c r="K368" s="74" t="e">
        <f>VLOOKUP($A368,Data!$D$3:$CJ$128,72,FALSE)</f>
        <v>#N/A</v>
      </c>
      <c r="L368" s="74" t="e">
        <f>VLOOKUP($A368,Data!$D$3:$CJ$128,73,FALSE)</f>
        <v>#N/A</v>
      </c>
      <c r="M368" s="74" t="e">
        <f>VLOOKUP($A368,Data!$D$3:$CJ$128,74,FALSE)</f>
        <v>#N/A</v>
      </c>
      <c r="N368" s="78" t="e">
        <f t="shared" si="79"/>
        <v>#N/A</v>
      </c>
      <c r="O368" s="78" t="e">
        <f t="shared" si="80"/>
        <v>#N/A</v>
      </c>
      <c r="P368" s="78" t="e">
        <f t="shared" si="81"/>
        <v>#N/A</v>
      </c>
      <c r="Q368" s="78" t="e">
        <f t="shared" si="82"/>
        <v>#N/A</v>
      </c>
      <c r="R368" s="78" t="e">
        <f t="shared" si="83"/>
        <v>#N/A</v>
      </c>
      <c r="S368" s="78" t="e">
        <f t="shared" si="84"/>
        <v>#N/A</v>
      </c>
      <c r="T368" s="74" t="e">
        <f t="shared" si="85"/>
        <v>#N/A</v>
      </c>
      <c r="U368" s="74" t="e">
        <f t="shared" si="86"/>
        <v>#N/A</v>
      </c>
      <c r="V368" s="74" t="e">
        <f t="shared" si="87"/>
        <v>#N/A</v>
      </c>
      <c r="W368" s="74" t="e">
        <f t="shared" si="88"/>
        <v>#N/A</v>
      </c>
      <c r="X368" s="74" t="e">
        <f t="shared" si="89"/>
        <v>#N/A</v>
      </c>
      <c r="Y368" s="74" t="e">
        <f t="shared" si="90"/>
        <v>#N/A</v>
      </c>
    </row>
    <row r="369" spans="1:25">
      <c r="A369" s="88">
        <f>'Batch input'!A368</f>
        <v>0</v>
      </c>
      <c r="B369">
        <f>'Batch input'!B368</f>
        <v>0</v>
      </c>
      <c r="C369" t="e">
        <f>VLOOKUP($A369,Data!$D$3:$CJ$128,30,FALSE)</f>
        <v>#N/A</v>
      </c>
      <c r="D369" s="74" t="e">
        <f>VLOOKUP($A369,Data!$D$3:$CJ$128,64,FALSE)</f>
        <v>#N/A</v>
      </c>
      <c r="E369" s="74" t="e">
        <f>VLOOKUP($A369,Data!$D$3:$CJ$128,66,FALSE)</f>
        <v>#N/A</v>
      </c>
      <c r="F369" s="74" t="e">
        <f>VLOOKUP($A369,Data!$D$3:$CJ$128,67,FALSE)</f>
        <v>#N/A</v>
      </c>
      <c r="G369" s="78" t="e">
        <f>VLOOKUP($A369,Data!$D$3:$CJ$128,68,FALSE)</f>
        <v>#N/A</v>
      </c>
      <c r="H369" s="78" t="e">
        <f>VLOOKUP($A369,Data!$D$3:$CJ$128,69,FALSE)</f>
        <v>#N/A</v>
      </c>
      <c r="I369" s="74" t="e">
        <f>VLOOKUP($A369,Data!$D$3:$CJ$128,70,FALSE)</f>
        <v>#N/A</v>
      </c>
      <c r="J369" s="74" t="e">
        <f>VLOOKUP($A369,Data!$D$3:$CJ$128,71,FALSE)</f>
        <v>#N/A</v>
      </c>
      <c r="K369" s="74" t="e">
        <f>VLOOKUP($A369,Data!$D$3:$CJ$128,72,FALSE)</f>
        <v>#N/A</v>
      </c>
      <c r="L369" s="74" t="e">
        <f>VLOOKUP($A369,Data!$D$3:$CJ$128,73,FALSE)</f>
        <v>#N/A</v>
      </c>
      <c r="M369" s="74" t="e">
        <f>VLOOKUP($A369,Data!$D$3:$CJ$128,74,FALSE)</f>
        <v>#N/A</v>
      </c>
      <c r="N369" s="78" t="e">
        <f t="shared" si="79"/>
        <v>#N/A</v>
      </c>
      <c r="O369" s="78" t="e">
        <f t="shared" si="80"/>
        <v>#N/A</v>
      </c>
      <c r="P369" s="78" t="e">
        <f t="shared" si="81"/>
        <v>#N/A</v>
      </c>
      <c r="Q369" s="78" t="e">
        <f t="shared" si="82"/>
        <v>#N/A</v>
      </c>
      <c r="R369" s="78" t="e">
        <f t="shared" si="83"/>
        <v>#N/A</v>
      </c>
      <c r="S369" s="78" t="e">
        <f t="shared" si="84"/>
        <v>#N/A</v>
      </c>
      <c r="T369" s="74" t="e">
        <f t="shared" si="85"/>
        <v>#N/A</v>
      </c>
      <c r="U369" s="74" t="e">
        <f t="shared" si="86"/>
        <v>#N/A</v>
      </c>
      <c r="V369" s="74" t="e">
        <f t="shared" si="87"/>
        <v>#N/A</v>
      </c>
      <c r="W369" s="74" t="e">
        <f t="shared" si="88"/>
        <v>#N/A</v>
      </c>
      <c r="X369" s="74" t="e">
        <f t="shared" si="89"/>
        <v>#N/A</v>
      </c>
      <c r="Y369" s="74" t="e">
        <f t="shared" si="90"/>
        <v>#N/A</v>
      </c>
    </row>
    <row r="370" spans="1:25">
      <c r="A370" s="88">
        <f>'Batch input'!A369</f>
        <v>0</v>
      </c>
      <c r="B370">
        <f>'Batch input'!B369</f>
        <v>0</v>
      </c>
      <c r="C370" t="e">
        <f>VLOOKUP($A370,Data!$D$3:$CJ$128,30,FALSE)</f>
        <v>#N/A</v>
      </c>
      <c r="D370" s="74" t="e">
        <f>VLOOKUP($A370,Data!$D$3:$CJ$128,64,FALSE)</f>
        <v>#N/A</v>
      </c>
      <c r="E370" s="74" t="e">
        <f>VLOOKUP($A370,Data!$D$3:$CJ$128,66,FALSE)</f>
        <v>#N/A</v>
      </c>
      <c r="F370" s="74" t="e">
        <f>VLOOKUP($A370,Data!$D$3:$CJ$128,67,FALSE)</f>
        <v>#N/A</v>
      </c>
      <c r="G370" s="78" t="e">
        <f>VLOOKUP($A370,Data!$D$3:$CJ$128,68,FALSE)</f>
        <v>#N/A</v>
      </c>
      <c r="H370" s="78" t="e">
        <f>VLOOKUP($A370,Data!$D$3:$CJ$128,69,FALSE)</f>
        <v>#N/A</v>
      </c>
      <c r="I370" s="74" t="e">
        <f>VLOOKUP($A370,Data!$D$3:$CJ$128,70,FALSE)</f>
        <v>#N/A</v>
      </c>
      <c r="J370" s="74" t="e">
        <f>VLOOKUP($A370,Data!$D$3:$CJ$128,71,FALSE)</f>
        <v>#N/A</v>
      </c>
      <c r="K370" s="74" t="e">
        <f>VLOOKUP($A370,Data!$D$3:$CJ$128,72,FALSE)</f>
        <v>#N/A</v>
      </c>
      <c r="L370" s="74" t="e">
        <f>VLOOKUP($A370,Data!$D$3:$CJ$128,73,FALSE)</f>
        <v>#N/A</v>
      </c>
      <c r="M370" s="74" t="e">
        <f>VLOOKUP($A370,Data!$D$3:$CJ$128,74,FALSE)</f>
        <v>#N/A</v>
      </c>
      <c r="N370" s="78" t="e">
        <f t="shared" si="79"/>
        <v>#N/A</v>
      </c>
      <c r="O370" s="78" t="e">
        <f t="shared" si="80"/>
        <v>#N/A</v>
      </c>
      <c r="P370" s="78" t="e">
        <f t="shared" si="81"/>
        <v>#N/A</v>
      </c>
      <c r="Q370" s="78" t="e">
        <f t="shared" si="82"/>
        <v>#N/A</v>
      </c>
      <c r="R370" s="78" t="e">
        <f t="shared" si="83"/>
        <v>#N/A</v>
      </c>
      <c r="S370" s="78" t="e">
        <f t="shared" si="84"/>
        <v>#N/A</v>
      </c>
      <c r="T370" s="74" t="e">
        <f t="shared" si="85"/>
        <v>#N/A</v>
      </c>
      <c r="U370" s="74" t="e">
        <f t="shared" si="86"/>
        <v>#N/A</v>
      </c>
      <c r="V370" s="74" t="e">
        <f t="shared" si="87"/>
        <v>#N/A</v>
      </c>
      <c r="W370" s="74" t="e">
        <f t="shared" si="88"/>
        <v>#N/A</v>
      </c>
      <c r="X370" s="74" t="e">
        <f t="shared" si="89"/>
        <v>#N/A</v>
      </c>
      <c r="Y370" s="74" t="e">
        <f t="shared" si="90"/>
        <v>#N/A</v>
      </c>
    </row>
    <row r="371" spans="1:25">
      <c r="A371" s="88">
        <f>'Batch input'!A370</f>
        <v>0</v>
      </c>
      <c r="B371">
        <f>'Batch input'!B370</f>
        <v>0</v>
      </c>
      <c r="C371" t="e">
        <f>VLOOKUP($A371,Data!$D$3:$CJ$128,30,FALSE)</f>
        <v>#N/A</v>
      </c>
      <c r="D371" s="74" t="e">
        <f>VLOOKUP($A371,Data!$D$3:$CJ$128,64,FALSE)</f>
        <v>#N/A</v>
      </c>
      <c r="E371" s="74" t="e">
        <f>VLOOKUP($A371,Data!$D$3:$CJ$128,66,FALSE)</f>
        <v>#N/A</v>
      </c>
      <c r="F371" s="74" t="e">
        <f>VLOOKUP($A371,Data!$D$3:$CJ$128,67,FALSE)</f>
        <v>#N/A</v>
      </c>
      <c r="G371" s="78" t="e">
        <f>VLOOKUP($A371,Data!$D$3:$CJ$128,68,FALSE)</f>
        <v>#N/A</v>
      </c>
      <c r="H371" s="78" t="e">
        <f>VLOOKUP($A371,Data!$D$3:$CJ$128,69,FALSE)</f>
        <v>#N/A</v>
      </c>
      <c r="I371" s="74" t="e">
        <f>VLOOKUP($A371,Data!$D$3:$CJ$128,70,FALSE)</f>
        <v>#N/A</v>
      </c>
      <c r="J371" s="74" t="e">
        <f>VLOOKUP($A371,Data!$D$3:$CJ$128,71,FALSE)</f>
        <v>#N/A</v>
      </c>
      <c r="K371" s="74" t="e">
        <f>VLOOKUP($A371,Data!$D$3:$CJ$128,72,FALSE)</f>
        <v>#N/A</v>
      </c>
      <c r="L371" s="74" t="e">
        <f>VLOOKUP($A371,Data!$D$3:$CJ$128,73,FALSE)</f>
        <v>#N/A</v>
      </c>
      <c r="M371" s="74" t="e">
        <f>VLOOKUP($A371,Data!$D$3:$CJ$128,74,FALSE)</f>
        <v>#N/A</v>
      </c>
      <c r="N371" s="78" t="e">
        <f t="shared" si="79"/>
        <v>#N/A</v>
      </c>
      <c r="O371" s="78" t="e">
        <f t="shared" si="80"/>
        <v>#N/A</v>
      </c>
      <c r="P371" s="78" t="e">
        <f t="shared" si="81"/>
        <v>#N/A</v>
      </c>
      <c r="Q371" s="78" t="e">
        <f t="shared" si="82"/>
        <v>#N/A</v>
      </c>
      <c r="R371" s="78" t="e">
        <f t="shared" si="83"/>
        <v>#N/A</v>
      </c>
      <c r="S371" s="78" t="e">
        <f t="shared" si="84"/>
        <v>#N/A</v>
      </c>
      <c r="T371" s="74" t="e">
        <f t="shared" si="85"/>
        <v>#N/A</v>
      </c>
      <c r="U371" s="74" t="e">
        <f t="shared" si="86"/>
        <v>#N/A</v>
      </c>
      <c r="V371" s="74" t="e">
        <f t="shared" si="87"/>
        <v>#N/A</v>
      </c>
      <c r="W371" s="74" t="e">
        <f t="shared" si="88"/>
        <v>#N/A</v>
      </c>
      <c r="X371" s="74" t="e">
        <f t="shared" si="89"/>
        <v>#N/A</v>
      </c>
      <c r="Y371" s="74" t="e">
        <f t="shared" si="90"/>
        <v>#N/A</v>
      </c>
    </row>
    <row r="372" spans="1:25">
      <c r="A372" s="88">
        <f>'Batch input'!A371</f>
        <v>0</v>
      </c>
      <c r="B372">
        <f>'Batch input'!B371</f>
        <v>0</v>
      </c>
      <c r="C372" t="e">
        <f>VLOOKUP($A372,Data!$D$3:$CJ$128,30,FALSE)</f>
        <v>#N/A</v>
      </c>
      <c r="D372" s="74" t="e">
        <f>VLOOKUP($A372,Data!$D$3:$CJ$128,64,FALSE)</f>
        <v>#N/A</v>
      </c>
      <c r="E372" s="74" t="e">
        <f>VLOOKUP($A372,Data!$D$3:$CJ$128,66,FALSE)</f>
        <v>#N/A</v>
      </c>
      <c r="F372" s="74" t="e">
        <f>VLOOKUP($A372,Data!$D$3:$CJ$128,67,FALSE)</f>
        <v>#N/A</v>
      </c>
      <c r="G372" s="78" t="e">
        <f>VLOOKUP($A372,Data!$D$3:$CJ$128,68,FALSE)</f>
        <v>#N/A</v>
      </c>
      <c r="H372" s="78" t="e">
        <f>VLOOKUP($A372,Data!$D$3:$CJ$128,69,FALSE)</f>
        <v>#N/A</v>
      </c>
      <c r="I372" s="74" t="e">
        <f>VLOOKUP($A372,Data!$D$3:$CJ$128,70,FALSE)</f>
        <v>#N/A</v>
      </c>
      <c r="J372" s="74" t="e">
        <f>VLOOKUP($A372,Data!$D$3:$CJ$128,71,FALSE)</f>
        <v>#N/A</v>
      </c>
      <c r="K372" s="74" t="e">
        <f>VLOOKUP($A372,Data!$D$3:$CJ$128,72,FALSE)</f>
        <v>#N/A</v>
      </c>
      <c r="L372" s="74" t="e">
        <f>VLOOKUP($A372,Data!$D$3:$CJ$128,73,FALSE)</f>
        <v>#N/A</v>
      </c>
      <c r="M372" s="74" t="e">
        <f>VLOOKUP($A372,Data!$D$3:$CJ$128,74,FALSE)</f>
        <v>#N/A</v>
      </c>
      <c r="N372" s="78" t="e">
        <f t="shared" si="79"/>
        <v>#N/A</v>
      </c>
      <c r="O372" s="78" t="e">
        <f t="shared" si="80"/>
        <v>#N/A</v>
      </c>
      <c r="P372" s="78" t="e">
        <f t="shared" si="81"/>
        <v>#N/A</v>
      </c>
      <c r="Q372" s="78" t="e">
        <f t="shared" si="82"/>
        <v>#N/A</v>
      </c>
      <c r="R372" s="78" t="e">
        <f t="shared" si="83"/>
        <v>#N/A</v>
      </c>
      <c r="S372" s="78" t="e">
        <f t="shared" si="84"/>
        <v>#N/A</v>
      </c>
      <c r="T372" s="74" t="e">
        <f t="shared" si="85"/>
        <v>#N/A</v>
      </c>
      <c r="U372" s="74" t="e">
        <f t="shared" si="86"/>
        <v>#N/A</v>
      </c>
      <c r="V372" s="74" t="e">
        <f t="shared" si="87"/>
        <v>#N/A</v>
      </c>
      <c r="W372" s="74" t="e">
        <f t="shared" si="88"/>
        <v>#N/A</v>
      </c>
      <c r="X372" s="74" t="e">
        <f t="shared" si="89"/>
        <v>#N/A</v>
      </c>
      <c r="Y372" s="74" t="e">
        <f t="shared" si="90"/>
        <v>#N/A</v>
      </c>
    </row>
    <row r="373" spans="1:25">
      <c r="A373" s="88">
        <f>'Batch input'!A372</f>
        <v>0</v>
      </c>
      <c r="B373">
        <f>'Batch input'!B372</f>
        <v>0</v>
      </c>
      <c r="C373" t="e">
        <f>VLOOKUP($A373,Data!$D$3:$CJ$128,30,FALSE)</f>
        <v>#N/A</v>
      </c>
      <c r="D373" s="74" t="e">
        <f>VLOOKUP($A373,Data!$D$3:$CJ$128,64,FALSE)</f>
        <v>#N/A</v>
      </c>
      <c r="E373" s="74" t="e">
        <f>VLOOKUP($A373,Data!$D$3:$CJ$128,66,FALSE)</f>
        <v>#N/A</v>
      </c>
      <c r="F373" s="74" t="e">
        <f>VLOOKUP($A373,Data!$D$3:$CJ$128,67,FALSE)</f>
        <v>#N/A</v>
      </c>
      <c r="G373" s="78" t="e">
        <f>VLOOKUP($A373,Data!$D$3:$CJ$128,68,FALSE)</f>
        <v>#N/A</v>
      </c>
      <c r="H373" s="78" t="e">
        <f>VLOOKUP($A373,Data!$D$3:$CJ$128,69,FALSE)</f>
        <v>#N/A</v>
      </c>
      <c r="I373" s="74" t="e">
        <f>VLOOKUP($A373,Data!$D$3:$CJ$128,70,FALSE)</f>
        <v>#N/A</v>
      </c>
      <c r="J373" s="74" t="e">
        <f>VLOOKUP($A373,Data!$D$3:$CJ$128,71,FALSE)</f>
        <v>#N/A</v>
      </c>
      <c r="K373" s="74" t="e">
        <f>VLOOKUP($A373,Data!$D$3:$CJ$128,72,FALSE)</f>
        <v>#N/A</v>
      </c>
      <c r="L373" s="74" t="e">
        <f>VLOOKUP($A373,Data!$D$3:$CJ$128,73,FALSE)</f>
        <v>#N/A</v>
      </c>
      <c r="M373" s="74" t="e">
        <f>VLOOKUP($A373,Data!$D$3:$CJ$128,74,FALSE)</f>
        <v>#N/A</v>
      </c>
      <c r="N373" s="78" t="e">
        <f t="shared" si="79"/>
        <v>#N/A</v>
      </c>
      <c r="O373" s="78" t="e">
        <f t="shared" si="80"/>
        <v>#N/A</v>
      </c>
      <c r="P373" s="78" t="e">
        <f t="shared" si="81"/>
        <v>#N/A</v>
      </c>
      <c r="Q373" s="78" t="e">
        <f t="shared" si="82"/>
        <v>#N/A</v>
      </c>
      <c r="R373" s="78" t="e">
        <f t="shared" si="83"/>
        <v>#N/A</v>
      </c>
      <c r="S373" s="78" t="e">
        <f t="shared" si="84"/>
        <v>#N/A</v>
      </c>
      <c r="T373" s="74" t="e">
        <f t="shared" si="85"/>
        <v>#N/A</v>
      </c>
      <c r="U373" s="74" t="e">
        <f t="shared" si="86"/>
        <v>#N/A</v>
      </c>
      <c r="V373" s="74" t="e">
        <f t="shared" si="87"/>
        <v>#N/A</v>
      </c>
      <c r="W373" s="74" t="e">
        <f t="shared" si="88"/>
        <v>#N/A</v>
      </c>
      <c r="X373" s="74" t="e">
        <f t="shared" si="89"/>
        <v>#N/A</v>
      </c>
      <c r="Y373" s="74" t="e">
        <f t="shared" si="90"/>
        <v>#N/A</v>
      </c>
    </row>
    <row r="374" spans="1:25">
      <c r="A374" s="88">
        <f>'Batch input'!A373</f>
        <v>0</v>
      </c>
      <c r="B374">
        <f>'Batch input'!B373</f>
        <v>0</v>
      </c>
      <c r="C374" t="e">
        <f>VLOOKUP($A374,Data!$D$3:$CJ$128,30,FALSE)</f>
        <v>#N/A</v>
      </c>
      <c r="D374" s="74" t="e">
        <f>VLOOKUP($A374,Data!$D$3:$CJ$128,64,FALSE)</f>
        <v>#N/A</v>
      </c>
      <c r="E374" s="74" t="e">
        <f>VLOOKUP($A374,Data!$D$3:$CJ$128,66,FALSE)</f>
        <v>#N/A</v>
      </c>
      <c r="F374" s="74" t="e">
        <f>VLOOKUP($A374,Data!$D$3:$CJ$128,67,FALSE)</f>
        <v>#N/A</v>
      </c>
      <c r="G374" s="78" t="e">
        <f>VLOOKUP($A374,Data!$D$3:$CJ$128,68,FALSE)</f>
        <v>#N/A</v>
      </c>
      <c r="H374" s="78" t="e">
        <f>VLOOKUP($A374,Data!$D$3:$CJ$128,69,FALSE)</f>
        <v>#N/A</v>
      </c>
      <c r="I374" s="74" t="e">
        <f>VLOOKUP($A374,Data!$D$3:$CJ$128,70,FALSE)</f>
        <v>#N/A</v>
      </c>
      <c r="J374" s="74" t="e">
        <f>VLOOKUP($A374,Data!$D$3:$CJ$128,71,FALSE)</f>
        <v>#N/A</v>
      </c>
      <c r="K374" s="74" t="e">
        <f>VLOOKUP($A374,Data!$D$3:$CJ$128,72,FALSE)</f>
        <v>#N/A</v>
      </c>
      <c r="L374" s="74" t="e">
        <f>VLOOKUP($A374,Data!$D$3:$CJ$128,73,FALSE)</f>
        <v>#N/A</v>
      </c>
      <c r="M374" s="74" t="e">
        <f>VLOOKUP($A374,Data!$D$3:$CJ$128,74,FALSE)</f>
        <v>#N/A</v>
      </c>
      <c r="N374" s="78" t="e">
        <f t="shared" si="79"/>
        <v>#N/A</v>
      </c>
      <c r="O374" s="78" t="e">
        <f t="shared" si="80"/>
        <v>#N/A</v>
      </c>
      <c r="P374" s="78" t="e">
        <f t="shared" si="81"/>
        <v>#N/A</v>
      </c>
      <c r="Q374" s="78" t="e">
        <f t="shared" si="82"/>
        <v>#N/A</v>
      </c>
      <c r="R374" s="78" t="e">
        <f t="shared" si="83"/>
        <v>#N/A</v>
      </c>
      <c r="S374" s="78" t="e">
        <f t="shared" si="84"/>
        <v>#N/A</v>
      </c>
      <c r="T374" s="74" t="e">
        <f t="shared" si="85"/>
        <v>#N/A</v>
      </c>
      <c r="U374" s="74" t="e">
        <f t="shared" si="86"/>
        <v>#N/A</v>
      </c>
      <c r="V374" s="74" t="e">
        <f t="shared" si="87"/>
        <v>#N/A</v>
      </c>
      <c r="W374" s="74" t="e">
        <f t="shared" si="88"/>
        <v>#N/A</v>
      </c>
      <c r="X374" s="74" t="e">
        <f t="shared" si="89"/>
        <v>#N/A</v>
      </c>
      <c r="Y374" s="74" t="e">
        <f t="shared" si="90"/>
        <v>#N/A</v>
      </c>
    </row>
    <row r="375" spans="1:25">
      <c r="A375" s="88">
        <f>'Batch input'!A374</f>
        <v>0</v>
      </c>
      <c r="B375">
        <f>'Batch input'!B374</f>
        <v>0</v>
      </c>
      <c r="C375" t="e">
        <f>VLOOKUP($A375,Data!$D$3:$CJ$128,30,FALSE)</f>
        <v>#N/A</v>
      </c>
      <c r="D375" s="74" t="e">
        <f>VLOOKUP($A375,Data!$D$3:$CJ$128,64,FALSE)</f>
        <v>#N/A</v>
      </c>
      <c r="E375" s="74" t="e">
        <f>VLOOKUP($A375,Data!$D$3:$CJ$128,66,FALSE)</f>
        <v>#N/A</v>
      </c>
      <c r="F375" s="74" t="e">
        <f>VLOOKUP($A375,Data!$D$3:$CJ$128,67,FALSE)</f>
        <v>#N/A</v>
      </c>
      <c r="G375" s="78" t="e">
        <f>VLOOKUP($A375,Data!$D$3:$CJ$128,68,FALSE)</f>
        <v>#N/A</v>
      </c>
      <c r="H375" s="78" t="e">
        <f>VLOOKUP($A375,Data!$D$3:$CJ$128,69,FALSE)</f>
        <v>#N/A</v>
      </c>
      <c r="I375" s="74" t="e">
        <f>VLOOKUP($A375,Data!$D$3:$CJ$128,70,FALSE)</f>
        <v>#N/A</v>
      </c>
      <c r="J375" s="74" t="e">
        <f>VLOOKUP($A375,Data!$D$3:$CJ$128,71,FALSE)</f>
        <v>#N/A</v>
      </c>
      <c r="K375" s="74" t="e">
        <f>VLOOKUP($A375,Data!$D$3:$CJ$128,72,FALSE)</f>
        <v>#N/A</v>
      </c>
      <c r="L375" s="74" t="e">
        <f>VLOOKUP($A375,Data!$D$3:$CJ$128,73,FALSE)</f>
        <v>#N/A</v>
      </c>
      <c r="M375" s="74" t="e">
        <f>VLOOKUP($A375,Data!$D$3:$CJ$128,74,FALSE)</f>
        <v>#N/A</v>
      </c>
      <c r="N375" s="78" t="e">
        <f t="shared" si="79"/>
        <v>#N/A</v>
      </c>
      <c r="O375" s="78" t="e">
        <f t="shared" si="80"/>
        <v>#N/A</v>
      </c>
      <c r="P375" s="78" t="e">
        <f t="shared" si="81"/>
        <v>#N/A</v>
      </c>
      <c r="Q375" s="78" t="e">
        <f t="shared" si="82"/>
        <v>#N/A</v>
      </c>
      <c r="R375" s="78" t="e">
        <f t="shared" si="83"/>
        <v>#N/A</v>
      </c>
      <c r="S375" s="78" t="e">
        <f t="shared" si="84"/>
        <v>#N/A</v>
      </c>
      <c r="T375" s="74" t="e">
        <f t="shared" si="85"/>
        <v>#N/A</v>
      </c>
      <c r="U375" s="74" t="e">
        <f t="shared" si="86"/>
        <v>#N/A</v>
      </c>
      <c r="V375" s="74" t="e">
        <f t="shared" si="87"/>
        <v>#N/A</v>
      </c>
      <c r="W375" s="74" t="e">
        <f t="shared" si="88"/>
        <v>#N/A</v>
      </c>
      <c r="X375" s="74" t="e">
        <f t="shared" si="89"/>
        <v>#N/A</v>
      </c>
      <c r="Y375" s="74" t="e">
        <f t="shared" si="90"/>
        <v>#N/A</v>
      </c>
    </row>
    <row r="376" spans="1:25">
      <c r="A376" s="88">
        <f>'Batch input'!A375</f>
        <v>0</v>
      </c>
      <c r="B376">
        <f>'Batch input'!B375</f>
        <v>0</v>
      </c>
      <c r="C376" t="e">
        <f>VLOOKUP($A376,Data!$D$3:$CJ$128,30,FALSE)</f>
        <v>#N/A</v>
      </c>
      <c r="D376" s="74" t="e">
        <f>VLOOKUP($A376,Data!$D$3:$CJ$128,64,FALSE)</f>
        <v>#N/A</v>
      </c>
      <c r="E376" s="74" t="e">
        <f>VLOOKUP($A376,Data!$D$3:$CJ$128,66,FALSE)</f>
        <v>#N/A</v>
      </c>
      <c r="F376" s="74" t="e">
        <f>VLOOKUP($A376,Data!$D$3:$CJ$128,67,FALSE)</f>
        <v>#N/A</v>
      </c>
      <c r="G376" s="78" t="e">
        <f>VLOOKUP($A376,Data!$D$3:$CJ$128,68,FALSE)</f>
        <v>#N/A</v>
      </c>
      <c r="H376" s="78" t="e">
        <f>VLOOKUP($A376,Data!$D$3:$CJ$128,69,FALSE)</f>
        <v>#N/A</v>
      </c>
      <c r="I376" s="74" t="e">
        <f>VLOOKUP($A376,Data!$D$3:$CJ$128,70,FALSE)</f>
        <v>#N/A</v>
      </c>
      <c r="J376" s="74" t="e">
        <f>VLOOKUP($A376,Data!$D$3:$CJ$128,71,FALSE)</f>
        <v>#N/A</v>
      </c>
      <c r="K376" s="74" t="e">
        <f>VLOOKUP($A376,Data!$D$3:$CJ$128,72,FALSE)</f>
        <v>#N/A</v>
      </c>
      <c r="L376" s="74" t="e">
        <f>VLOOKUP($A376,Data!$D$3:$CJ$128,73,FALSE)</f>
        <v>#N/A</v>
      </c>
      <c r="M376" s="74" t="e">
        <f>VLOOKUP($A376,Data!$D$3:$CJ$128,74,FALSE)</f>
        <v>#N/A</v>
      </c>
      <c r="N376" s="78" t="e">
        <f t="shared" si="79"/>
        <v>#N/A</v>
      </c>
      <c r="O376" s="78" t="e">
        <f t="shared" si="80"/>
        <v>#N/A</v>
      </c>
      <c r="P376" s="78" t="e">
        <f t="shared" si="81"/>
        <v>#N/A</v>
      </c>
      <c r="Q376" s="78" t="e">
        <f t="shared" si="82"/>
        <v>#N/A</v>
      </c>
      <c r="R376" s="78" t="e">
        <f t="shared" si="83"/>
        <v>#N/A</v>
      </c>
      <c r="S376" s="78" t="e">
        <f t="shared" si="84"/>
        <v>#N/A</v>
      </c>
      <c r="T376" s="74" t="e">
        <f t="shared" si="85"/>
        <v>#N/A</v>
      </c>
      <c r="U376" s="74" t="e">
        <f t="shared" si="86"/>
        <v>#N/A</v>
      </c>
      <c r="V376" s="74" t="e">
        <f t="shared" si="87"/>
        <v>#N/A</v>
      </c>
      <c r="W376" s="74" t="e">
        <f t="shared" si="88"/>
        <v>#N/A</v>
      </c>
      <c r="X376" s="74" t="e">
        <f t="shared" si="89"/>
        <v>#N/A</v>
      </c>
      <c r="Y376" s="74" t="e">
        <f t="shared" si="90"/>
        <v>#N/A</v>
      </c>
    </row>
    <row r="377" spans="1:25">
      <c r="A377" s="88">
        <f>'Batch input'!A376</f>
        <v>0</v>
      </c>
      <c r="B377">
        <f>'Batch input'!B376</f>
        <v>0</v>
      </c>
      <c r="C377" t="e">
        <f>VLOOKUP($A377,Data!$D$3:$CJ$128,30,FALSE)</f>
        <v>#N/A</v>
      </c>
      <c r="D377" s="74" t="e">
        <f>VLOOKUP($A377,Data!$D$3:$CJ$128,64,FALSE)</f>
        <v>#N/A</v>
      </c>
      <c r="E377" s="74" t="e">
        <f>VLOOKUP($A377,Data!$D$3:$CJ$128,66,FALSE)</f>
        <v>#N/A</v>
      </c>
      <c r="F377" s="74" t="e">
        <f>VLOOKUP($A377,Data!$D$3:$CJ$128,67,FALSE)</f>
        <v>#N/A</v>
      </c>
      <c r="G377" s="78" t="e">
        <f>VLOOKUP($A377,Data!$D$3:$CJ$128,68,FALSE)</f>
        <v>#N/A</v>
      </c>
      <c r="H377" s="78" t="e">
        <f>VLOOKUP($A377,Data!$D$3:$CJ$128,69,FALSE)</f>
        <v>#N/A</v>
      </c>
      <c r="I377" s="74" t="e">
        <f>VLOOKUP($A377,Data!$D$3:$CJ$128,70,FALSE)</f>
        <v>#N/A</v>
      </c>
      <c r="J377" s="74" t="e">
        <f>VLOOKUP($A377,Data!$D$3:$CJ$128,71,FALSE)</f>
        <v>#N/A</v>
      </c>
      <c r="K377" s="74" t="e">
        <f>VLOOKUP($A377,Data!$D$3:$CJ$128,72,FALSE)</f>
        <v>#N/A</v>
      </c>
      <c r="L377" s="74" t="e">
        <f>VLOOKUP($A377,Data!$D$3:$CJ$128,73,FALSE)</f>
        <v>#N/A</v>
      </c>
      <c r="M377" s="74" t="e">
        <f>VLOOKUP($A377,Data!$D$3:$CJ$128,74,FALSE)</f>
        <v>#N/A</v>
      </c>
      <c r="N377" s="78" t="e">
        <f t="shared" si="79"/>
        <v>#N/A</v>
      </c>
      <c r="O377" s="78" t="e">
        <f t="shared" si="80"/>
        <v>#N/A</v>
      </c>
      <c r="P377" s="78" t="e">
        <f t="shared" si="81"/>
        <v>#N/A</v>
      </c>
      <c r="Q377" s="78" t="e">
        <f t="shared" si="82"/>
        <v>#N/A</v>
      </c>
      <c r="R377" s="78" t="e">
        <f t="shared" si="83"/>
        <v>#N/A</v>
      </c>
      <c r="S377" s="78" t="e">
        <f t="shared" si="84"/>
        <v>#N/A</v>
      </c>
      <c r="T377" s="74" t="e">
        <f t="shared" si="85"/>
        <v>#N/A</v>
      </c>
      <c r="U377" s="74" t="e">
        <f t="shared" si="86"/>
        <v>#N/A</v>
      </c>
      <c r="V377" s="74" t="e">
        <f t="shared" si="87"/>
        <v>#N/A</v>
      </c>
      <c r="W377" s="74" t="e">
        <f t="shared" si="88"/>
        <v>#N/A</v>
      </c>
      <c r="X377" s="74" t="e">
        <f t="shared" si="89"/>
        <v>#N/A</v>
      </c>
      <c r="Y377" s="74" t="e">
        <f t="shared" si="90"/>
        <v>#N/A</v>
      </c>
    </row>
    <row r="378" spans="1:25">
      <c r="A378" s="88">
        <f>'Batch input'!A377</f>
        <v>0</v>
      </c>
      <c r="B378">
        <f>'Batch input'!B377</f>
        <v>0</v>
      </c>
      <c r="C378" t="e">
        <f>VLOOKUP($A378,Data!$D$3:$CJ$128,30,FALSE)</f>
        <v>#N/A</v>
      </c>
      <c r="D378" s="74" t="e">
        <f>VLOOKUP($A378,Data!$D$3:$CJ$128,64,FALSE)</f>
        <v>#N/A</v>
      </c>
      <c r="E378" s="74" t="e">
        <f>VLOOKUP($A378,Data!$D$3:$CJ$128,66,FALSE)</f>
        <v>#N/A</v>
      </c>
      <c r="F378" s="74" t="e">
        <f>VLOOKUP($A378,Data!$D$3:$CJ$128,67,FALSE)</f>
        <v>#N/A</v>
      </c>
      <c r="G378" s="78" t="e">
        <f>VLOOKUP($A378,Data!$D$3:$CJ$128,68,FALSE)</f>
        <v>#N/A</v>
      </c>
      <c r="H378" s="78" t="e">
        <f>VLOOKUP($A378,Data!$D$3:$CJ$128,69,FALSE)</f>
        <v>#N/A</v>
      </c>
      <c r="I378" s="74" t="e">
        <f>VLOOKUP($A378,Data!$D$3:$CJ$128,70,FALSE)</f>
        <v>#N/A</v>
      </c>
      <c r="J378" s="74" t="e">
        <f>VLOOKUP($A378,Data!$D$3:$CJ$128,71,FALSE)</f>
        <v>#N/A</v>
      </c>
      <c r="K378" s="74" t="e">
        <f>VLOOKUP($A378,Data!$D$3:$CJ$128,72,FALSE)</f>
        <v>#N/A</v>
      </c>
      <c r="L378" s="74" t="e">
        <f>VLOOKUP($A378,Data!$D$3:$CJ$128,73,FALSE)</f>
        <v>#N/A</v>
      </c>
      <c r="M378" s="74" t="e">
        <f>VLOOKUP($A378,Data!$D$3:$CJ$128,74,FALSE)</f>
        <v>#N/A</v>
      </c>
      <c r="N378" s="78" t="e">
        <f t="shared" si="79"/>
        <v>#N/A</v>
      </c>
      <c r="O378" s="78" t="e">
        <f t="shared" si="80"/>
        <v>#N/A</v>
      </c>
      <c r="P378" s="78" t="e">
        <f t="shared" si="81"/>
        <v>#N/A</v>
      </c>
      <c r="Q378" s="78" t="e">
        <f t="shared" si="82"/>
        <v>#N/A</v>
      </c>
      <c r="R378" s="78" t="e">
        <f t="shared" si="83"/>
        <v>#N/A</v>
      </c>
      <c r="S378" s="78" t="e">
        <f t="shared" si="84"/>
        <v>#N/A</v>
      </c>
      <c r="T378" s="74" t="e">
        <f t="shared" si="85"/>
        <v>#N/A</v>
      </c>
      <c r="U378" s="74" t="e">
        <f t="shared" si="86"/>
        <v>#N/A</v>
      </c>
      <c r="V378" s="74" t="e">
        <f t="shared" si="87"/>
        <v>#N/A</v>
      </c>
      <c r="W378" s="74" t="e">
        <f t="shared" si="88"/>
        <v>#N/A</v>
      </c>
      <c r="X378" s="74" t="e">
        <f t="shared" si="89"/>
        <v>#N/A</v>
      </c>
      <c r="Y378" s="74" t="e">
        <f t="shared" si="90"/>
        <v>#N/A</v>
      </c>
    </row>
    <row r="379" spans="1:25">
      <c r="A379" s="88">
        <f>'Batch input'!A378</f>
        <v>0</v>
      </c>
      <c r="B379">
        <f>'Batch input'!B378</f>
        <v>0</v>
      </c>
      <c r="C379" t="e">
        <f>VLOOKUP($A379,Data!$D$3:$CJ$128,30,FALSE)</f>
        <v>#N/A</v>
      </c>
      <c r="D379" s="74" t="e">
        <f>VLOOKUP($A379,Data!$D$3:$CJ$128,64,FALSE)</f>
        <v>#N/A</v>
      </c>
      <c r="E379" s="74" t="e">
        <f>VLOOKUP($A379,Data!$D$3:$CJ$128,66,FALSE)</f>
        <v>#N/A</v>
      </c>
      <c r="F379" s="74" t="e">
        <f>VLOOKUP($A379,Data!$D$3:$CJ$128,67,FALSE)</f>
        <v>#N/A</v>
      </c>
      <c r="G379" s="78" t="e">
        <f>VLOOKUP($A379,Data!$D$3:$CJ$128,68,FALSE)</f>
        <v>#N/A</v>
      </c>
      <c r="H379" s="78" t="e">
        <f>VLOOKUP($A379,Data!$D$3:$CJ$128,69,FALSE)</f>
        <v>#N/A</v>
      </c>
      <c r="I379" s="74" t="e">
        <f>VLOOKUP($A379,Data!$D$3:$CJ$128,70,FALSE)</f>
        <v>#N/A</v>
      </c>
      <c r="J379" s="74" t="e">
        <f>VLOOKUP($A379,Data!$D$3:$CJ$128,71,FALSE)</f>
        <v>#N/A</v>
      </c>
      <c r="K379" s="74" t="e">
        <f>VLOOKUP($A379,Data!$D$3:$CJ$128,72,FALSE)</f>
        <v>#N/A</v>
      </c>
      <c r="L379" s="74" t="e">
        <f>VLOOKUP($A379,Data!$D$3:$CJ$128,73,FALSE)</f>
        <v>#N/A</v>
      </c>
      <c r="M379" s="74" t="e">
        <f>VLOOKUP($A379,Data!$D$3:$CJ$128,74,FALSE)</f>
        <v>#N/A</v>
      </c>
      <c r="N379" s="78" t="e">
        <f t="shared" si="79"/>
        <v>#N/A</v>
      </c>
      <c r="O379" s="78" t="e">
        <f t="shared" si="80"/>
        <v>#N/A</v>
      </c>
      <c r="P379" s="78" t="e">
        <f t="shared" si="81"/>
        <v>#N/A</v>
      </c>
      <c r="Q379" s="78" t="e">
        <f t="shared" si="82"/>
        <v>#N/A</v>
      </c>
      <c r="R379" s="78" t="e">
        <f t="shared" si="83"/>
        <v>#N/A</v>
      </c>
      <c r="S379" s="78" t="e">
        <f t="shared" si="84"/>
        <v>#N/A</v>
      </c>
      <c r="T379" s="74" t="e">
        <f t="shared" si="85"/>
        <v>#N/A</v>
      </c>
      <c r="U379" s="74" t="e">
        <f t="shared" si="86"/>
        <v>#N/A</v>
      </c>
      <c r="V379" s="74" t="e">
        <f t="shared" si="87"/>
        <v>#N/A</v>
      </c>
      <c r="W379" s="74" t="e">
        <f t="shared" si="88"/>
        <v>#N/A</v>
      </c>
      <c r="X379" s="74" t="e">
        <f t="shared" si="89"/>
        <v>#N/A</v>
      </c>
      <c r="Y379" s="74" t="e">
        <f t="shared" si="90"/>
        <v>#N/A</v>
      </c>
    </row>
    <row r="380" spans="1:25">
      <c r="A380" s="88">
        <f>'Batch input'!A379</f>
        <v>0</v>
      </c>
      <c r="B380">
        <f>'Batch input'!B379</f>
        <v>0</v>
      </c>
      <c r="C380" t="e">
        <f>VLOOKUP($A380,Data!$D$3:$CJ$128,30,FALSE)</f>
        <v>#N/A</v>
      </c>
      <c r="D380" s="74" t="e">
        <f>VLOOKUP($A380,Data!$D$3:$CJ$128,64,FALSE)</f>
        <v>#N/A</v>
      </c>
      <c r="E380" s="74" t="e">
        <f>VLOOKUP($A380,Data!$D$3:$CJ$128,66,FALSE)</f>
        <v>#N/A</v>
      </c>
      <c r="F380" s="74" t="e">
        <f>VLOOKUP($A380,Data!$D$3:$CJ$128,67,FALSE)</f>
        <v>#N/A</v>
      </c>
      <c r="G380" s="78" t="e">
        <f>VLOOKUP($A380,Data!$D$3:$CJ$128,68,FALSE)</f>
        <v>#N/A</v>
      </c>
      <c r="H380" s="78" t="e">
        <f>VLOOKUP($A380,Data!$D$3:$CJ$128,69,FALSE)</f>
        <v>#N/A</v>
      </c>
      <c r="I380" s="74" t="e">
        <f>VLOOKUP($A380,Data!$D$3:$CJ$128,70,FALSE)</f>
        <v>#N/A</v>
      </c>
      <c r="J380" s="74" t="e">
        <f>VLOOKUP($A380,Data!$D$3:$CJ$128,71,FALSE)</f>
        <v>#N/A</v>
      </c>
      <c r="K380" s="74" t="e">
        <f>VLOOKUP($A380,Data!$D$3:$CJ$128,72,FALSE)</f>
        <v>#N/A</v>
      </c>
      <c r="L380" s="74" t="e">
        <f>VLOOKUP($A380,Data!$D$3:$CJ$128,73,FALSE)</f>
        <v>#N/A</v>
      </c>
      <c r="M380" s="74" t="e">
        <f>VLOOKUP($A380,Data!$D$3:$CJ$128,74,FALSE)</f>
        <v>#N/A</v>
      </c>
      <c r="N380" s="78" t="e">
        <f t="shared" si="79"/>
        <v>#N/A</v>
      </c>
      <c r="O380" s="78" t="e">
        <f t="shared" si="80"/>
        <v>#N/A</v>
      </c>
      <c r="P380" s="78" t="e">
        <f t="shared" si="81"/>
        <v>#N/A</v>
      </c>
      <c r="Q380" s="78" t="e">
        <f t="shared" si="82"/>
        <v>#N/A</v>
      </c>
      <c r="R380" s="78" t="e">
        <f t="shared" si="83"/>
        <v>#N/A</v>
      </c>
      <c r="S380" s="78" t="e">
        <f t="shared" si="84"/>
        <v>#N/A</v>
      </c>
      <c r="T380" s="74" t="e">
        <f t="shared" si="85"/>
        <v>#N/A</v>
      </c>
      <c r="U380" s="74" t="e">
        <f t="shared" si="86"/>
        <v>#N/A</v>
      </c>
      <c r="V380" s="74" t="e">
        <f t="shared" si="87"/>
        <v>#N/A</v>
      </c>
      <c r="W380" s="74" t="e">
        <f t="shared" si="88"/>
        <v>#N/A</v>
      </c>
      <c r="X380" s="74" t="e">
        <f t="shared" si="89"/>
        <v>#N/A</v>
      </c>
      <c r="Y380" s="74" t="e">
        <f t="shared" si="90"/>
        <v>#N/A</v>
      </c>
    </row>
    <row r="381" spans="1:25">
      <c r="A381" s="88">
        <f>'Batch input'!A380</f>
        <v>0</v>
      </c>
      <c r="B381">
        <f>'Batch input'!B380</f>
        <v>0</v>
      </c>
      <c r="C381" t="e">
        <f>VLOOKUP($A381,Data!$D$3:$CJ$128,30,FALSE)</f>
        <v>#N/A</v>
      </c>
      <c r="D381" s="74" t="e">
        <f>VLOOKUP($A381,Data!$D$3:$CJ$128,64,FALSE)</f>
        <v>#N/A</v>
      </c>
      <c r="E381" s="74" t="e">
        <f>VLOOKUP($A381,Data!$D$3:$CJ$128,66,FALSE)</f>
        <v>#N/A</v>
      </c>
      <c r="F381" s="74" t="e">
        <f>VLOOKUP($A381,Data!$D$3:$CJ$128,67,FALSE)</f>
        <v>#N/A</v>
      </c>
      <c r="G381" s="78" t="e">
        <f>VLOOKUP($A381,Data!$D$3:$CJ$128,68,FALSE)</f>
        <v>#N/A</v>
      </c>
      <c r="H381" s="78" t="e">
        <f>VLOOKUP($A381,Data!$D$3:$CJ$128,69,FALSE)</f>
        <v>#N/A</v>
      </c>
      <c r="I381" s="74" t="e">
        <f>VLOOKUP($A381,Data!$D$3:$CJ$128,70,FALSE)</f>
        <v>#N/A</v>
      </c>
      <c r="J381" s="74" t="e">
        <f>VLOOKUP($A381,Data!$D$3:$CJ$128,71,FALSE)</f>
        <v>#N/A</v>
      </c>
      <c r="K381" s="74" t="e">
        <f>VLOOKUP($A381,Data!$D$3:$CJ$128,72,FALSE)</f>
        <v>#N/A</v>
      </c>
      <c r="L381" s="74" t="e">
        <f>VLOOKUP($A381,Data!$D$3:$CJ$128,73,FALSE)</f>
        <v>#N/A</v>
      </c>
      <c r="M381" s="74" t="e">
        <f>VLOOKUP($A381,Data!$D$3:$CJ$128,74,FALSE)</f>
        <v>#N/A</v>
      </c>
      <c r="N381" s="78" t="e">
        <f t="shared" si="79"/>
        <v>#N/A</v>
      </c>
      <c r="O381" s="78" t="e">
        <f t="shared" si="80"/>
        <v>#N/A</v>
      </c>
      <c r="P381" s="78" t="e">
        <f t="shared" si="81"/>
        <v>#N/A</v>
      </c>
      <c r="Q381" s="78" t="e">
        <f t="shared" si="82"/>
        <v>#N/A</v>
      </c>
      <c r="R381" s="78" t="e">
        <f t="shared" si="83"/>
        <v>#N/A</v>
      </c>
      <c r="S381" s="78" t="e">
        <f t="shared" si="84"/>
        <v>#N/A</v>
      </c>
      <c r="T381" s="74" t="e">
        <f t="shared" si="85"/>
        <v>#N/A</v>
      </c>
      <c r="U381" s="74" t="e">
        <f t="shared" si="86"/>
        <v>#N/A</v>
      </c>
      <c r="V381" s="74" t="e">
        <f t="shared" si="87"/>
        <v>#N/A</v>
      </c>
      <c r="W381" s="74" t="e">
        <f t="shared" si="88"/>
        <v>#N/A</v>
      </c>
      <c r="X381" s="74" t="e">
        <f t="shared" si="89"/>
        <v>#N/A</v>
      </c>
      <c r="Y381" s="74" t="e">
        <f t="shared" si="90"/>
        <v>#N/A</v>
      </c>
    </row>
    <row r="382" spans="1:25">
      <c r="A382" s="88">
        <f>'Batch input'!A381</f>
        <v>0</v>
      </c>
      <c r="B382">
        <f>'Batch input'!B381</f>
        <v>0</v>
      </c>
      <c r="C382" t="e">
        <f>VLOOKUP($A382,Data!$D$3:$CJ$128,30,FALSE)</f>
        <v>#N/A</v>
      </c>
      <c r="D382" s="74" t="e">
        <f>VLOOKUP($A382,Data!$D$3:$CJ$128,64,FALSE)</f>
        <v>#N/A</v>
      </c>
      <c r="E382" s="74" t="e">
        <f>VLOOKUP($A382,Data!$D$3:$CJ$128,66,FALSE)</f>
        <v>#N/A</v>
      </c>
      <c r="F382" s="74" t="e">
        <f>VLOOKUP($A382,Data!$D$3:$CJ$128,67,FALSE)</f>
        <v>#N/A</v>
      </c>
      <c r="G382" s="78" t="e">
        <f>VLOOKUP($A382,Data!$D$3:$CJ$128,68,FALSE)</f>
        <v>#N/A</v>
      </c>
      <c r="H382" s="78" t="e">
        <f>VLOOKUP($A382,Data!$D$3:$CJ$128,69,FALSE)</f>
        <v>#N/A</v>
      </c>
      <c r="I382" s="74" t="e">
        <f>VLOOKUP($A382,Data!$D$3:$CJ$128,70,FALSE)</f>
        <v>#N/A</v>
      </c>
      <c r="J382" s="74" t="e">
        <f>VLOOKUP($A382,Data!$D$3:$CJ$128,71,FALSE)</f>
        <v>#N/A</v>
      </c>
      <c r="K382" s="74" t="e">
        <f>VLOOKUP($A382,Data!$D$3:$CJ$128,72,FALSE)</f>
        <v>#N/A</v>
      </c>
      <c r="L382" s="74" t="e">
        <f>VLOOKUP($A382,Data!$D$3:$CJ$128,73,FALSE)</f>
        <v>#N/A</v>
      </c>
      <c r="M382" s="74" t="e">
        <f>VLOOKUP($A382,Data!$D$3:$CJ$128,74,FALSE)</f>
        <v>#N/A</v>
      </c>
      <c r="N382" s="78" t="e">
        <f t="shared" si="79"/>
        <v>#N/A</v>
      </c>
      <c r="O382" s="78" t="e">
        <f t="shared" si="80"/>
        <v>#N/A</v>
      </c>
      <c r="P382" s="78" t="e">
        <f t="shared" si="81"/>
        <v>#N/A</v>
      </c>
      <c r="Q382" s="78" t="e">
        <f t="shared" si="82"/>
        <v>#N/A</v>
      </c>
      <c r="R382" s="78" t="e">
        <f t="shared" si="83"/>
        <v>#N/A</v>
      </c>
      <c r="S382" s="78" t="e">
        <f t="shared" si="84"/>
        <v>#N/A</v>
      </c>
      <c r="T382" s="74" t="e">
        <f t="shared" si="85"/>
        <v>#N/A</v>
      </c>
      <c r="U382" s="74" t="e">
        <f t="shared" si="86"/>
        <v>#N/A</v>
      </c>
      <c r="V382" s="74" t="e">
        <f t="shared" si="87"/>
        <v>#N/A</v>
      </c>
      <c r="W382" s="74" t="e">
        <f t="shared" si="88"/>
        <v>#N/A</v>
      </c>
      <c r="X382" s="74" t="e">
        <f t="shared" si="89"/>
        <v>#N/A</v>
      </c>
      <c r="Y382" s="74" t="e">
        <f t="shared" si="90"/>
        <v>#N/A</v>
      </c>
    </row>
    <row r="383" spans="1:25">
      <c r="A383" s="88">
        <f>'Batch input'!A382</f>
        <v>0</v>
      </c>
      <c r="B383">
        <f>'Batch input'!B382</f>
        <v>0</v>
      </c>
      <c r="C383" t="e">
        <f>VLOOKUP($A383,Data!$D$3:$CJ$128,30,FALSE)</f>
        <v>#N/A</v>
      </c>
      <c r="D383" s="74" t="e">
        <f>VLOOKUP($A383,Data!$D$3:$CJ$128,64,FALSE)</f>
        <v>#N/A</v>
      </c>
      <c r="E383" s="74" t="e">
        <f>VLOOKUP($A383,Data!$D$3:$CJ$128,66,FALSE)</f>
        <v>#N/A</v>
      </c>
      <c r="F383" s="74" t="e">
        <f>VLOOKUP($A383,Data!$D$3:$CJ$128,67,FALSE)</f>
        <v>#N/A</v>
      </c>
      <c r="G383" s="78" t="e">
        <f>VLOOKUP($A383,Data!$D$3:$CJ$128,68,FALSE)</f>
        <v>#N/A</v>
      </c>
      <c r="H383" s="78" t="e">
        <f>VLOOKUP($A383,Data!$D$3:$CJ$128,69,FALSE)</f>
        <v>#N/A</v>
      </c>
      <c r="I383" s="74" t="e">
        <f>VLOOKUP($A383,Data!$D$3:$CJ$128,70,FALSE)</f>
        <v>#N/A</v>
      </c>
      <c r="J383" s="74" t="e">
        <f>VLOOKUP($A383,Data!$D$3:$CJ$128,71,FALSE)</f>
        <v>#N/A</v>
      </c>
      <c r="K383" s="74" t="e">
        <f>VLOOKUP($A383,Data!$D$3:$CJ$128,72,FALSE)</f>
        <v>#N/A</v>
      </c>
      <c r="L383" s="74" t="e">
        <f>VLOOKUP($A383,Data!$D$3:$CJ$128,73,FALSE)</f>
        <v>#N/A</v>
      </c>
      <c r="M383" s="74" t="e">
        <f>VLOOKUP($A383,Data!$D$3:$CJ$128,74,FALSE)</f>
        <v>#N/A</v>
      </c>
      <c r="N383" s="78" t="e">
        <f t="shared" si="79"/>
        <v>#N/A</v>
      </c>
      <c r="O383" s="78" t="e">
        <f t="shared" si="80"/>
        <v>#N/A</v>
      </c>
      <c r="P383" s="78" t="e">
        <f t="shared" si="81"/>
        <v>#N/A</v>
      </c>
      <c r="Q383" s="78" t="e">
        <f t="shared" si="82"/>
        <v>#N/A</v>
      </c>
      <c r="R383" s="78" t="e">
        <f t="shared" si="83"/>
        <v>#N/A</v>
      </c>
      <c r="S383" s="78" t="e">
        <f t="shared" si="84"/>
        <v>#N/A</v>
      </c>
      <c r="T383" s="74" t="e">
        <f t="shared" si="85"/>
        <v>#N/A</v>
      </c>
      <c r="U383" s="74" t="e">
        <f t="shared" si="86"/>
        <v>#N/A</v>
      </c>
      <c r="V383" s="74" t="e">
        <f t="shared" si="87"/>
        <v>#N/A</v>
      </c>
      <c r="W383" s="74" t="e">
        <f t="shared" si="88"/>
        <v>#N/A</v>
      </c>
      <c r="X383" s="74" t="e">
        <f t="shared" si="89"/>
        <v>#N/A</v>
      </c>
      <c r="Y383" s="74" t="e">
        <f t="shared" si="90"/>
        <v>#N/A</v>
      </c>
    </row>
    <row r="384" spans="1:25">
      <c r="A384" s="88">
        <f>'Batch input'!A383</f>
        <v>0</v>
      </c>
      <c r="B384">
        <f>'Batch input'!B383</f>
        <v>0</v>
      </c>
      <c r="C384" t="e">
        <f>VLOOKUP($A384,Data!$D$3:$CJ$128,30,FALSE)</f>
        <v>#N/A</v>
      </c>
      <c r="D384" s="74" t="e">
        <f>VLOOKUP($A384,Data!$D$3:$CJ$128,64,FALSE)</f>
        <v>#N/A</v>
      </c>
      <c r="E384" s="74" t="e">
        <f>VLOOKUP($A384,Data!$D$3:$CJ$128,66,FALSE)</f>
        <v>#N/A</v>
      </c>
      <c r="F384" s="74" t="e">
        <f>VLOOKUP($A384,Data!$D$3:$CJ$128,67,FALSE)</f>
        <v>#N/A</v>
      </c>
      <c r="G384" s="78" t="e">
        <f>VLOOKUP($A384,Data!$D$3:$CJ$128,68,FALSE)</f>
        <v>#N/A</v>
      </c>
      <c r="H384" s="78" t="e">
        <f>VLOOKUP($A384,Data!$D$3:$CJ$128,69,FALSE)</f>
        <v>#N/A</v>
      </c>
      <c r="I384" s="74" t="e">
        <f>VLOOKUP($A384,Data!$D$3:$CJ$128,70,FALSE)</f>
        <v>#N/A</v>
      </c>
      <c r="J384" s="74" t="e">
        <f>VLOOKUP($A384,Data!$D$3:$CJ$128,71,FALSE)</f>
        <v>#N/A</v>
      </c>
      <c r="K384" s="74" t="e">
        <f>VLOOKUP($A384,Data!$D$3:$CJ$128,72,FALSE)</f>
        <v>#N/A</v>
      </c>
      <c r="L384" s="74" t="e">
        <f>VLOOKUP($A384,Data!$D$3:$CJ$128,73,FALSE)</f>
        <v>#N/A</v>
      </c>
      <c r="M384" s="74" t="e">
        <f>VLOOKUP($A384,Data!$D$3:$CJ$128,74,FALSE)</f>
        <v>#N/A</v>
      </c>
      <c r="N384" s="78" t="e">
        <f t="shared" si="79"/>
        <v>#N/A</v>
      </c>
      <c r="O384" s="78" t="e">
        <f t="shared" si="80"/>
        <v>#N/A</v>
      </c>
      <c r="P384" s="78" t="e">
        <f t="shared" si="81"/>
        <v>#N/A</v>
      </c>
      <c r="Q384" s="78" t="e">
        <f t="shared" si="82"/>
        <v>#N/A</v>
      </c>
      <c r="R384" s="78" t="e">
        <f t="shared" si="83"/>
        <v>#N/A</v>
      </c>
      <c r="S384" s="78" t="e">
        <f t="shared" si="84"/>
        <v>#N/A</v>
      </c>
      <c r="T384" s="74" t="e">
        <f t="shared" si="85"/>
        <v>#N/A</v>
      </c>
      <c r="U384" s="74" t="e">
        <f t="shared" si="86"/>
        <v>#N/A</v>
      </c>
      <c r="V384" s="74" t="e">
        <f t="shared" si="87"/>
        <v>#N/A</v>
      </c>
      <c r="W384" s="74" t="e">
        <f t="shared" si="88"/>
        <v>#N/A</v>
      </c>
      <c r="X384" s="74" t="e">
        <f t="shared" si="89"/>
        <v>#N/A</v>
      </c>
      <c r="Y384" s="74" t="e">
        <f t="shared" si="90"/>
        <v>#N/A</v>
      </c>
    </row>
    <row r="385" spans="1:25">
      <c r="A385" s="88">
        <f>'Batch input'!A384</f>
        <v>0</v>
      </c>
      <c r="B385">
        <f>'Batch input'!B384</f>
        <v>0</v>
      </c>
      <c r="C385" t="e">
        <f>VLOOKUP($A385,Data!$D$3:$CJ$128,30,FALSE)</f>
        <v>#N/A</v>
      </c>
      <c r="D385" s="74" t="e">
        <f>VLOOKUP($A385,Data!$D$3:$CJ$128,64,FALSE)</f>
        <v>#N/A</v>
      </c>
      <c r="E385" s="74" t="e">
        <f>VLOOKUP($A385,Data!$D$3:$CJ$128,66,FALSE)</f>
        <v>#N/A</v>
      </c>
      <c r="F385" s="74" t="e">
        <f>VLOOKUP($A385,Data!$D$3:$CJ$128,67,FALSE)</f>
        <v>#N/A</v>
      </c>
      <c r="G385" s="78" t="e">
        <f>VLOOKUP($A385,Data!$D$3:$CJ$128,68,FALSE)</f>
        <v>#N/A</v>
      </c>
      <c r="H385" s="78" t="e">
        <f>VLOOKUP($A385,Data!$D$3:$CJ$128,69,FALSE)</f>
        <v>#N/A</v>
      </c>
      <c r="I385" s="74" t="e">
        <f>VLOOKUP($A385,Data!$D$3:$CJ$128,70,FALSE)</f>
        <v>#N/A</v>
      </c>
      <c r="J385" s="74" t="e">
        <f>VLOOKUP($A385,Data!$D$3:$CJ$128,71,FALSE)</f>
        <v>#N/A</v>
      </c>
      <c r="K385" s="74" t="e">
        <f>VLOOKUP($A385,Data!$D$3:$CJ$128,72,FALSE)</f>
        <v>#N/A</v>
      </c>
      <c r="L385" s="74" t="e">
        <f>VLOOKUP($A385,Data!$D$3:$CJ$128,73,FALSE)</f>
        <v>#N/A</v>
      </c>
      <c r="M385" s="74" t="e">
        <f>VLOOKUP($A385,Data!$D$3:$CJ$128,74,FALSE)</f>
        <v>#N/A</v>
      </c>
      <c r="N385" s="78" t="e">
        <f t="shared" si="79"/>
        <v>#N/A</v>
      </c>
      <c r="O385" s="78" t="e">
        <f t="shared" si="80"/>
        <v>#N/A</v>
      </c>
      <c r="P385" s="78" t="e">
        <f t="shared" si="81"/>
        <v>#N/A</v>
      </c>
      <c r="Q385" s="78" t="e">
        <f t="shared" si="82"/>
        <v>#N/A</v>
      </c>
      <c r="R385" s="78" t="e">
        <f t="shared" si="83"/>
        <v>#N/A</v>
      </c>
      <c r="S385" s="78" t="e">
        <f t="shared" si="84"/>
        <v>#N/A</v>
      </c>
      <c r="T385" s="74" t="e">
        <f t="shared" si="85"/>
        <v>#N/A</v>
      </c>
      <c r="U385" s="74" t="e">
        <f t="shared" si="86"/>
        <v>#N/A</v>
      </c>
      <c r="V385" s="74" t="e">
        <f t="shared" si="87"/>
        <v>#N/A</v>
      </c>
      <c r="W385" s="74" t="e">
        <f t="shared" si="88"/>
        <v>#N/A</v>
      </c>
      <c r="X385" s="74" t="e">
        <f t="shared" si="89"/>
        <v>#N/A</v>
      </c>
      <c r="Y385" s="74" t="e">
        <f t="shared" si="90"/>
        <v>#N/A</v>
      </c>
    </row>
    <row r="386" spans="1:25">
      <c r="A386" s="88">
        <f>'Batch input'!A385</f>
        <v>0</v>
      </c>
      <c r="B386">
        <f>'Batch input'!B385</f>
        <v>0</v>
      </c>
      <c r="C386" t="e">
        <f>VLOOKUP($A386,Data!$D$3:$CJ$128,30,FALSE)</f>
        <v>#N/A</v>
      </c>
      <c r="D386" s="74" t="e">
        <f>VLOOKUP($A386,Data!$D$3:$CJ$128,64,FALSE)</f>
        <v>#N/A</v>
      </c>
      <c r="E386" s="74" t="e">
        <f>VLOOKUP($A386,Data!$D$3:$CJ$128,66,FALSE)</f>
        <v>#N/A</v>
      </c>
      <c r="F386" s="74" t="e">
        <f>VLOOKUP($A386,Data!$D$3:$CJ$128,67,FALSE)</f>
        <v>#N/A</v>
      </c>
      <c r="G386" s="78" t="e">
        <f>VLOOKUP($A386,Data!$D$3:$CJ$128,68,FALSE)</f>
        <v>#N/A</v>
      </c>
      <c r="H386" s="78" t="e">
        <f>VLOOKUP($A386,Data!$D$3:$CJ$128,69,FALSE)</f>
        <v>#N/A</v>
      </c>
      <c r="I386" s="74" t="e">
        <f>VLOOKUP($A386,Data!$D$3:$CJ$128,70,FALSE)</f>
        <v>#N/A</v>
      </c>
      <c r="J386" s="74" t="e">
        <f>VLOOKUP($A386,Data!$D$3:$CJ$128,71,FALSE)</f>
        <v>#N/A</v>
      </c>
      <c r="K386" s="74" t="e">
        <f>VLOOKUP($A386,Data!$D$3:$CJ$128,72,FALSE)</f>
        <v>#N/A</v>
      </c>
      <c r="L386" s="74" t="e">
        <f>VLOOKUP($A386,Data!$D$3:$CJ$128,73,FALSE)</f>
        <v>#N/A</v>
      </c>
      <c r="M386" s="74" t="e">
        <f>VLOOKUP($A386,Data!$D$3:$CJ$128,74,FALSE)</f>
        <v>#N/A</v>
      </c>
      <c r="N386" s="78" t="e">
        <f t="shared" si="79"/>
        <v>#N/A</v>
      </c>
      <c r="O386" s="78" t="e">
        <f t="shared" si="80"/>
        <v>#N/A</v>
      </c>
      <c r="P386" s="78" t="e">
        <f t="shared" si="81"/>
        <v>#N/A</v>
      </c>
      <c r="Q386" s="78" t="e">
        <f t="shared" si="82"/>
        <v>#N/A</v>
      </c>
      <c r="R386" s="78" t="e">
        <f t="shared" si="83"/>
        <v>#N/A</v>
      </c>
      <c r="S386" s="78" t="e">
        <f t="shared" si="84"/>
        <v>#N/A</v>
      </c>
      <c r="T386" s="74" t="e">
        <f t="shared" si="85"/>
        <v>#N/A</v>
      </c>
      <c r="U386" s="74" t="e">
        <f t="shared" si="86"/>
        <v>#N/A</v>
      </c>
      <c r="V386" s="74" t="e">
        <f t="shared" si="87"/>
        <v>#N/A</v>
      </c>
      <c r="W386" s="74" t="e">
        <f t="shared" si="88"/>
        <v>#N/A</v>
      </c>
      <c r="X386" s="74" t="e">
        <f t="shared" si="89"/>
        <v>#N/A</v>
      </c>
      <c r="Y386" s="74" t="e">
        <f t="shared" si="90"/>
        <v>#N/A</v>
      </c>
    </row>
    <row r="387" spans="1:25">
      <c r="A387" s="88">
        <f>'Batch input'!A386</f>
        <v>0</v>
      </c>
      <c r="B387">
        <f>'Batch input'!B386</f>
        <v>0</v>
      </c>
      <c r="C387" t="e">
        <f>VLOOKUP($A387,Data!$D$3:$CJ$128,30,FALSE)</f>
        <v>#N/A</v>
      </c>
      <c r="D387" s="74" t="e">
        <f>VLOOKUP($A387,Data!$D$3:$CJ$128,64,FALSE)</f>
        <v>#N/A</v>
      </c>
      <c r="E387" s="74" t="e">
        <f>VLOOKUP($A387,Data!$D$3:$CJ$128,66,FALSE)</f>
        <v>#N/A</v>
      </c>
      <c r="F387" s="74" t="e">
        <f>VLOOKUP($A387,Data!$D$3:$CJ$128,67,FALSE)</f>
        <v>#N/A</v>
      </c>
      <c r="G387" s="78" t="e">
        <f>VLOOKUP($A387,Data!$D$3:$CJ$128,68,FALSE)</f>
        <v>#N/A</v>
      </c>
      <c r="H387" s="78" t="e">
        <f>VLOOKUP($A387,Data!$D$3:$CJ$128,69,FALSE)</f>
        <v>#N/A</v>
      </c>
      <c r="I387" s="74" t="e">
        <f>VLOOKUP($A387,Data!$D$3:$CJ$128,70,FALSE)</f>
        <v>#N/A</v>
      </c>
      <c r="J387" s="74" t="e">
        <f>VLOOKUP($A387,Data!$D$3:$CJ$128,71,FALSE)</f>
        <v>#N/A</v>
      </c>
      <c r="K387" s="74" t="e">
        <f>VLOOKUP($A387,Data!$D$3:$CJ$128,72,FALSE)</f>
        <v>#N/A</v>
      </c>
      <c r="L387" s="74" t="e">
        <f>VLOOKUP($A387,Data!$D$3:$CJ$128,73,FALSE)</f>
        <v>#N/A</v>
      </c>
      <c r="M387" s="74" t="e">
        <f>VLOOKUP($A387,Data!$D$3:$CJ$128,74,FALSE)</f>
        <v>#N/A</v>
      </c>
      <c r="N387" s="78" t="e">
        <f t="shared" si="79"/>
        <v>#N/A</v>
      </c>
      <c r="O387" s="78" t="e">
        <f t="shared" si="80"/>
        <v>#N/A</v>
      </c>
      <c r="P387" s="78" t="e">
        <f t="shared" si="81"/>
        <v>#N/A</v>
      </c>
      <c r="Q387" s="78" t="e">
        <f t="shared" si="82"/>
        <v>#N/A</v>
      </c>
      <c r="R387" s="78" t="e">
        <f t="shared" si="83"/>
        <v>#N/A</v>
      </c>
      <c r="S387" s="78" t="e">
        <f t="shared" si="84"/>
        <v>#N/A</v>
      </c>
      <c r="T387" s="74" t="e">
        <f t="shared" si="85"/>
        <v>#N/A</v>
      </c>
      <c r="U387" s="74" t="e">
        <f t="shared" si="86"/>
        <v>#N/A</v>
      </c>
      <c r="V387" s="74" t="e">
        <f t="shared" si="87"/>
        <v>#N/A</v>
      </c>
      <c r="W387" s="74" t="e">
        <f t="shared" si="88"/>
        <v>#N/A</v>
      </c>
      <c r="X387" s="74" t="e">
        <f t="shared" si="89"/>
        <v>#N/A</v>
      </c>
      <c r="Y387" s="74" t="e">
        <f t="shared" si="90"/>
        <v>#N/A</v>
      </c>
    </row>
    <row r="388" spans="1:25">
      <c r="A388" s="88">
        <f>'Batch input'!A387</f>
        <v>0</v>
      </c>
      <c r="B388">
        <f>'Batch input'!B387</f>
        <v>0</v>
      </c>
      <c r="C388" t="e">
        <f>VLOOKUP($A388,Data!$D$3:$CJ$128,30,FALSE)</f>
        <v>#N/A</v>
      </c>
      <c r="D388" s="74" t="e">
        <f>VLOOKUP($A388,Data!$D$3:$CJ$128,64,FALSE)</f>
        <v>#N/A</v>
      </c>
      <c r="E388" s="74" t="e">
        <f>VLOOKUP($A388,Data!$D$3:$CJ$128,66,FALSE)</f>
        <v>#N/A</v>
      </c>
      <c r="F388" s="74" t="e">
        <f>VLOOKUP($A388,Data!$D$3:$CJ$128,67,FALSE)</f>
        <v>#N/A</v>
      </c>
      <c r="G388" s="78" t="e">
        <f>VLOOKUP($A388,Data!$D$3:$CJ$128,68,FALSE)</f>
        <v>#N/A</v>
      </c>
      <c r="H388" s="78" t="e">
        <f>VLOOKUP($A388,Data!$D$3:$CJ$128,69,FALSE)</f>
        <v>#N/A</v>
      </c>
      <c r="I388" s="74" t="e">
        <f>VLOOKUP($A388,Data!$D$3:$CJ$128,70,FALSE)</f>
        <v>#N/A</v>
      </c>
      <c r="J388" s="74" t="e">
        <f>VLOOKUP($A388,Data!$D$3:$CJ$128,71,FALSE)</f>
        <v>#N/A</v>
      </c>
      <c r="K388" s="74" t="e">
        <f>VLOOKUP($A388,Data!$D$3:$CJ$128,72,FALSE)</f>
        <v>#N/A</v>
      </c>
      <c r="L388" s="74" t="e">
        <f>VLOOKUP($A388,Data!$D$3:$CJ$128,73,FALSE)</f>
        <v>#N/A</v>
      </c>
      <c r="M388" s="74" t="e">
        <f>VLOOKUP($A388,Data!$D$3:$CJ$128,74,FALSE)</f>
        <v>#N/A</v>
      </c>
      <c r="N388" s="78" t="e">
        <f t="shared" si="79"/>
        <v>#N/A</v>
      </c>
      <c r="O388" s="78" t="e">
        <f t="shared" si="80"/>
        <v>#N/A</v>
      </c>
      <c r="P388" s="78" t="e">
        <f t="shared" si="81"/>
        <v>#N/A</v>
      </c>
      <c r="Q388" s="78" t="e">
        <f t="shared" si="82"/>
        <v>#N/A</v>
      </c>
      <c r="R388" s="78" t="e">
        <f t="shared" si="83"/>
        <v>#N/A</v>
      </c>
      <c r="S388" s="78" t="e">
        <f t="shared" si="84"/>
        <v>#N/A</v>
      </c>
      <c r="T388" s="74" t="e">
        <f t="shared" si="85"/>
        <v>#N/A</v>
      </c>
      <c r="U388" s="74" t="e">
        <f t="shared" si="86"/>
        <v>#N/A</v>
      </c>
      <c r="V388" s="74" t="e">
        <f t="shared" si="87"/>
        <v>#N/A</v>
      </c>
      <c r="W388" s="74" t="e">
        <f t="shared" si="88"/>
        <v>#N/A</v>
      </c>
      <c r="X388" s="74" t="e">
        <f t="shared" si="89"/>
        <v>#N/A</v>
      </c>
      <c r="Y388" s="74" t="e">
        <f t="shared" si="90"/>
        <v>#N/A</v>
      </c>
    </row>
    <row r="389" spans="1:25">
      <c r="A389" s="88">
        <f>'Batch input'!A388</f>
        <v>0</v>
      </c>
      <c r="B389">
        <f>'Batch input'!B388</f>
        <v>0</v>
      </c>
      <c r="C389" t="e">
        <f>VLOOKUP($A389,Data!$D$3:$CJ$128,30,FALSE)</f>
        <v>#N/A</v>
      </c>
      <c r="D389" s="74" t="e">
        <f>VLOOKUP($A389,Data!$D$3:$CJ$128,64,FALSE)</f>
        <v>#N/A</v>
      </c>
      <c r="E389" s="74" t="e">
        <f>VLOOKUP($A389,Data!$D$3:$CJ$128,66,FALSE)</f>
        <v>#N/A</v>
      </c>
      <c r="F389" s="74" t="e">
        <f>VLOOKUP($A389,Data!$D$3:$CJ$128,67,FALSE)</f>
        <v>#N/A</v>
      </c>
      <c r="G389" s="78" t="e">
        <f>VLOOKUP($A389,Data!$D$3:$CJ$128,68,FALSE)</f>
        <v>#N/A</v>
      </c>
      <c r="H389" s="78" t="e">
        <f>VLOOKUP($A389,Data!$D$3:$CJ$128,69,FALSE)</f>
        <v>#N/A</v>
      </c>
      <c r="I389" s="74" t="e">
        <f>VLOOKUP($A389,Data!$D$3:$CJ$128,70,FALSE)</f>
        <v>#N/A</v>
      </c>
      <c r="J389" s="74" t="e">
        <f>VLOOKUP($A389,Data!$D$3:$CJ$128,71,FALSE)</f>
        <v>#N/A</v>
      </c>
      <c r="K389" s="74" t="e">
        <f>VLOOKUP($A389,Data!$D$3:$CJ$128,72,FALSE)</f>
        <v>#N/A</v>
      </c>
      <c r="L389" s="74" t="e">
        <f>VLOOKUP($A389,Data!$D$3:$CJ$128,73,FALSE)</f>
        <v>#N/A</v>
      </c>
      <c r="M389" s="74" t="e">
        <f>VLOOKUP($A389,Data!$D$3:$CJ$128,74,FALSE)</f>
        <v>#N/A</v>
      </c>
      <c r="N389" s="78" t="e">
        <f t="shared" si="79"/>
        <v>#N/A</v>
      </c>
      <c r="O389" s="78" t="e">
        <f t="shared" si="80"/>
        <v>#N/A</v>
      </c>
      <c r="P389" s="78" t="e">
        <f t="shared" si="81"/>
        <v>#N/A</v>
      </c>
      <c r="Q389" s="78" t="e">
        <f t="shared" si="82"/>
        <v>#N/A</v>
      </c>
      <c r="R389" s="78" t="e">
        <f t="shared" si="83"/>
        <v>#N/A</v>
      </c>
      <c r="S389" s="78" t="e">
        <f t="shared" si="84"/>
        <v>#N/A</v>
      </c>
      <c r="T389" s="74" t="e">
        <f t="shared" si="85"/>
        <v>#N/A</v>
      </c>
      <c r="U389" s="74" t="e">
        <f t="shared" si="86"/>
        <v>#N/A</v>
      </c>
      <c r="V389" s="74" t="e">
        <f t="shared" si="87"/>
        <v>#N/A</v>
      </c>
      <c r="W389" s="74" t="e">
        <f t="shared" si="88"/>
        <v>#N/A</v>
      </c>
      <c r="X389" s="74" t="e">
        <f t="shared" si="89"/>
        <v>#N/A</v>
      </c>
      <c r="Y389" s="74" t="e">
        <f t="shared" si="90"/>
        <v>#N/A</v>
      </c>
    </row>
    <row r="390" spans="1:25">
      <c r="A390" s="88">
        <f>'Batch input'!A389</f>
        <v>0</v>
      </c>
      <c r="B390">
        <f>'Batch input'!B389</f>
        <v>0</v>
      </c>
      <c r="C390" t="e">
        <f>VLOOKUP($A390,Data!$D$3:$CJ$128,30,FALSE)</f>
        <v>#N/A</v>
      </c>
      <c r="D390" s="74" t="e">
        <f>VLOOKUP($A390,Data!$D$3:$CJ$128,64,FALSE)</f>
        <v>#N/A</v>
      </c>
      <c r="E390" s="74" t="e">
        <f>VLOOKUP($A390,Data!$D$3:$CJ$128,66,FALSE)</f>
        <v>#N/A</v>
      </c>
      <c r="F390" s="74" t="e">
        <f>VLOOKUP($A390,Data!$D$3:$CJ$128,67,FALSE)</f>
        <v>#N/A</v>
      </c>
      <c r="G390" s="78" t="e">
        <f>VLOOKUP($A390,Data!$D$3:$CJ$128,68,FALSE)</f>
        <v>#N/A</v>
      </c>
      <c r="H390" s="78" t="e">
        <f>VLOOKUP($A390,Data!$D$3:$CJ$128,69,FALSE)</f>
        <v>#N/A</v>
      </c>
      <c r="I390" s="74" t="e">
        <f>VLOOKUP($A390,Data!$D$3:$CJ$128,70,FALSE)</f>
        <v>#N/A</v>
      </c>
      <c r="J390" s="74" t="e">
        <f>VLOOKUP($A390,Data!$D$3:$CJ$128,71,FALSE)</f>
        <v>#N/A</v>
      </c>
      <c r="K390" s="74" t="e">
        <f>VLOOKUP($A390,Data!$D$3:$CJ$128,72,FALSE)</f>
        <v>#N/A</v>
      </c>
      <c r="L390" s="74" t="e">
        <f>VLOOKUP($A390,Data!$D$3:$CJ$128,73,FALSE)</f>
        <v>#N/A</v>
      </c>
      <c r="M390" s="74" t="e">
        <f>VLOOKUP($A390,Data!$D$3:$CJ$128,74,FALSE)</f>
        <v>#N/A</v>
      </c>
      <c r="N390" s="78" t="e">
        <f t="shared" si="79"/>
        <v>#N/A</v>
      </c>
      <c r="O390" s="78" t="e">
        <f t="shared" si="80"/>
        <v>#N/A</v>
      </c>
      <c r="P390" s="78" t="e">
        <f t="shared" si="81"/>
        <v>#N/A</v>
      </c>
      <c r="Q390" s="78" t="e">
        <f t="shared" si="82"/>
        <v>#N/A</v>
      </c>
      <c r="R390" s="78" t="e">
        <f t="shared" si="83"/>
        <v>#N/A</v>
      </c>
      <c r="S390" s="78" t="e">
        <f t="shared" si="84"/>
        <v>#N/A</v>
      </c>
      <c r="T390" s="74" t="e">
        <f t="shared" si="85"/>
        <v>#N/A</v>
      </c>
      <c r="U390" s="74" t="e">
        <f t="shared" si="86"/>
        <v>#N/A</v>
      </c>
      <c r="V390" s="74" t="e">
        <f t="shared" si="87"/>
        <v>#N/A</v>
      </c>
      <c r="W390" s="74" t="e">
        <f t="shared" si="88"/>
        <v>#N/A</v>
      </c>
      <c r="X390" s="74" t="e">
        <f t="shared" si="89"/>
        <v>#N/A</v>
      </c>
      <c r="Y390" s="74" t="e">
        <f t="shared" si="90"/>
        <v>#N/A</v>
      </c>
    </row>
    <row r="391" spans="1:25">
      <c r="A391" s="88">
        <f>'Batch input'!A390</f>
        <v>0</v>
      </c>
      <c r="B391">
        <f>'Batch input'!B390</f>
        <v>0</v>
      </c>
      <c r="C391" t="e">
        <f>VLOOKUP($A391,Data!$D$3:$CJ$128,30,FALSE)</f>
        <v>#N/A</v>
      </c>
      <c r="D391" s="74" t="e">
        <f>VLOOKUP($A391,Data!$D$3:$CJ$128,64,FALSE)</f>
        <v>#N/A</v>
      </c>
      <c r="E391" s="74" t="e">
        <f>VLOOKUP($A391,Data!$D$3:$CJ$128,66,FALSE)</f>
        <v>#N/A</v>
      </c>
      <c r="F391" s="74" t="e">
        <f>VLOOKUP($A391,Data!$D$3:$CJ$128,67,FALSE)</f>
        <v>#N/A</v>
      </c>
      <c r="G391" s="78" t="e">
        <f>VLOOKUP($A391,Data!$D$3:$CJ$128,68,FALSE)</f>
        <v>#N/A</v>
      </c>
      <c r="H391" s="78" t="e">
        <f>VLOOKUP($A391,Data!$D$3:$CJ$128,69,FALSE)</f>
        <v>#N/A</v>
      </c>
      <c r="I391" s="74" t="e">
        <f>VLOOKUP($A391,Data!$D$3:$CJ$128,70,FALSE)</f>
        <v>#N/A</v>
      </c>
      <c r="J391" s="74" t="e">
        <f>VLOOKUP($A391,Data!$D$3:$CJ$128,71,FALSE)</f>
        <v>#N/A</v>
      </c>
      <c r="K391" s="74" t="e">
        <f>VLOOKUP($A391,Data!$D$3:$CJ$128,72,FALSE)</f>
        <v>#N/A</v>
      </c>
      <c r="L391" s="74" t="e">
        <f>VLOOKUP($A391,Data!$D$3:$CJ$128,73,FALSE)</f>
        <v>#N/A</v>
      </c>
      <c r="M391" s="74" t="e">
        <f>VLOOKUP($A391,Data!$D$3:$CJ$128,74,FALSE)</f>
        <v>#N/A</v>
      </c>
      <c r="N391" s="78" t="e">
        <f t="shared" si="79"/>
        <v>#N/A</v>
      </c>
      <c r="O391" s="78" t="e">
        <f t="shared" si="80"/>
        <v>#N/A</v>
      </c>
      <c r="P391" s="78" t="e">
        <f t="shared" si="81"/>
        <v>#N/A</v>
      </c>
      <c r="Q391" s="78" t="e">
        <f t="shared" si="82"/>
        <v>#N/A</v>
      </c>
      <c r="R391" s="78" t="e">
        <f t="shared" si="83"/>
        <v>#N/A</v>
      </c>
      <c r="S391" s="78" t="e">
        <f t="shared" si="84"/>
        <v>#N/A</v>
      </c>
      <c r="T391" s="74" t="e">
        <f t="shared" si="85"/>
        <v>#N/A</v>
      </c>
      <c r="U391" s="74" t="e">
        <f t="shared" si="86"/>
        <v>#N/A</v>
      </c>
      <c r="V391" s="74" t="e">
        <f t="shared" si="87"/>
        <v>#N/A</v>
      </c>
      <c r="W391" s="74" t="e">
        <f t="shared" si="88"/>
        <v>#N/A</v>
      </c>
      <c r="X391" s="74" t="e">
        <f t="shared" si="89"/>
        <v>#N/A</v>
      </c>
      <c r="Y391" s="74" t="e">
        <f t="shared" si="90"/>
        <v>#N/A</v>
      </c>
    </row>
    <row r="392" spans="1:25">
      <c r="A392" s="88">
        <f>'Batch input'!A391</f>
        <v>0</v>
      </c>
      <c r="B392">
        <f>'Batch input'!B391</f>
        <v>0</v>
      </c>
      <c r="C392" t="e">
        <f>VLOOKUP($A392,Data!$D$3:$CJ$128,30,FALSE)</f>
        <v>#N/A</v>
      </c>
      <c r="D392" s="74" t="e">
        <f>VLOOKUP($A392,Data!$D$3:$CJ$128,64,FALSE)</f>
        <v>#N/A</v>
      </c>
      <c r="E392" s="74" t="e">
        <f>VLOOKUP($A392,Data!$D$3:$CJ$128,66,FALSE)</f>
        <v>#N/A</v>
      </c>
      <c r="F392" s="74" t="e">
        <f>VLOOKUP($A392,Data!$D$3:$CJ$128,67,FALSE)</f>
        <v>#N/A</v>
      </c>
      <c r="G392" s="78" t="e">
        <f>VLOOKUP($A392,Data!$D$3:$CJ$128,68,FALSE)</f>
        <v>#N/A</v>
      </c>
      <c r="H392" s="78" t="e">
        <f>VLOOKUP($A392,Data!$D$3:$CJ$128,69,FALSE)</f>
        <v>#N/A</v>
      </c>
      <c r="I392" s="74" t="e">
        <f>VLOOKUP($A392,Data!$D$3:$CJ$128,70,FALSE)</f>
        <v>#N/A</v>
      </c>
      <c r="J392" s="74" t="e">
        <f>VLOOKUP($A392,Data!$D$3:$CJ$128,71,FALSE)</f>
        <v>#N/A</v>
      </c>
      <c r="K392" s="74" t="e">
        <f>VLOOKUP($A392,Data!$D$3:$CJ$128,72,FALSE)</f>
        <v>#N/A</v>
      </c>
      <c r="L392" s="74" t="e">
        <f>VLOOKUP($A392,Data!$D$3:$CJ$128,73,FALSE)</f>
        <v>#N/A</v>
      </c>
      <c r="M392" s="74" t="e">
        <f>VLOOKUP($A392,Data!$D$3:$CJ$128,74,FALSE)</f>
        <v>#N/A</v>
      </c>
      <c r="N392" s="78" t="e">
        <f t="shared" si="79"/>
        <v>#N/A</v>
      </c>
      <c r="O392" s="78" t="e">
        <f t="shared" si="80"/>
        <v>#N/A</v>
      </c>
      <c r="P392" s="78" t="e">
        <f t="shared" si="81"/>
        <v>#N/A</v>
      </c>
      <c r="Q392" s="78" t="e">
        <f t="shared" si="82"/>
        <v>#N/A</v>
      </c>
      <c r="R392" s="78" t="e">
        <f t="shared" si="83"/>
        <v>#N/A</v>
      </c>
      <c r="S392" s="78" t="e">
        <f t="shared" si="84"/>
        <v>#N/A</v>
      </c>
      <c r="T392" s="74" t="e">
        <f t="shared" si="85"/>
        <v>#N/A</v>
      </c>
      <c r="U392" s="74" t="e">
        <f t="shared" si="86"/>
        <v>#N/A</v>
      </c>
      <c r="V392" s="74" t="e">
        <f t="shared" si="87"/>
        <v>#N/A</v>
      </c>
      <c r="W392" s="74" t="e">
        <f t="shared" si="88"/>
        <v>#N/A</v>
      </c>
      <c r="X392" s="74" t="e">
        <f t="shared" si="89"/>
        <v>#N/A</v>
      </c>
      <c r="Y392" s="74" t="e">
        <f t="shared" si="90"/>
        <v>#N/A</v>
      </c>
    </row>
    <row r="393" spans="1:25">
      <c r="A393" s="88">
        <f>'Batch input'!A392</f>
        <v>0</v>
      </c>
      <c r="B393">
        <f>'Batch input'!B392</f>
        <v>0</v>
      </c>
      <c r="C393" t="e">
        <f>VLOOKUP($A393,Data!$D$3:$CJ$128,30,FALSE)</f>
        <v>#N/A</v>
      </c>
      <c r="D393" s="74" t="e">
        <f>VLOOKUP($A393,Data!$D$3:$CJ$128,64,FALSE)</f>
        <v>#N/A</v>
      </c>
      <c r="E393" s="74" t="e">
        <f>VLOOKUP($A393,Data!$D$3:$CJ$128,66,FALSE)</f>
        <v>#N/A</v>
      </c>
      <c r="F393" s="74" t="e">
        <f>VLOOKUP($A393,Data!$D$3:$CJ$128,67,FALSE)</f>
        <v>#N/A</v>
      </c>
      <c r="G393" s="78" t="e">
        <f>VLOOKUP($A393,Data!$D$3:$CJ$128,68,FALSE)</f>
        <v>#N/A</v>
      </c>
      <c r="H393" s="78" t="e">
        <f>VLOOKUP($A393,Data!$D$3:$CJ$128,69,FALSE)</f>
        <v>#N/A</v>
      </c>
      <c r="I393" s="74" t="e">
        <f>VLOOKUP($A393,Data!$D$3:$CJ$128,70,FALSE)</f>
        <v>#N/A</v>
      </c>
      <c r="J393" s="74" t="e">
        <f>VLOOKUP($A393,Data!$D$3:$CJ$128,71,FALSE)</f>
        <v>#N/A</v>
      </c>
      <c r="K393" s="74" t="e">
        <f>VLOOKUP($A393,Data!$D$3:$CJ$128,72,FALSE)</f>
        <v>#N/A</v>
      </c>
      <c r="L393" s="74" t="e">
        <f>VLOOKUP($A393,Data!$D$3:$CJ$128,73,FALSE)</f>
        <v>#N/A</v>
      </c>
      <c r="M393" s="74" t="e">
        <f>VLOOKUP($A393,Data!$D$3:$CJ$128,74,FALSE)</f>
        <v>#N/A</v>
      </c>
      <c r="N393" s="78" t="e">
        <f t="shared" si="79"/>
        <v>#N/A</v>
      </c>
      <c r="O393" s="78" t="e">
        <f t="shared" si="80"/>
        <v>#N/A</v>
      </c>
      <c r="P393" s="78" t="e">
        <f t="shared" si="81"/>
        <v>#N/A</v>
      </c>
      <c r="Q393" s="78" t="e">
        <f t="shared" si="82"/>
        <v>#N/A</v>
      </c>
      <c r="R393" s="78" t="e">
        <f t="shared" si="83"/>
        <v>#N/A</v>
      </c>
      <c r="S393" s="78" t="e">
        <f t="shared" si="84"/>
        <v>#N/A</v>
      </c>
      <c r="T393" s="74" t="e">
        <f t="shared" si="85"/>
        <v>#N/A</v>
      </c>
      <c r="U393" s="74" t="e">
        <f t="shared" si="86"/>
        <v>#N/A</v>
      </c>
      <c r="V393" s="74" t="e">
        <f t="shared" si="87"/>
        <v>#N/A</v>
      </c>
      <c r="W393" s="74" t="e">
        <f t="shared" si="88"/>
        <v>#N/A</v>
      </c>
      <c r="X393" s="74" t="e">
        <f t="shared" si="89"/>
        <v>#N/A</v>
      </c>
      <c r="Y393" s="74" t="e">
        <f t="shared" si="90"/>
        <v>#N/A</v>
      </c>
    </row>
    <row r="394" spans="1:25">
      <c r="A394" s="88">
        <f>'Batch input'!A393</f>
        <v>0</v>
      </c>
      <c r="B394">
        <f>'Batch input'!B393</f>
        <v>0</v>
      </c>
      <c r="C394" t="e">
        <f>VLOOKUP($A394,Data!$D$3:$CJ$128,30,FALSE)</f>
        <v>#N/A</v>
      </c>
      <c r="D394" s="74" t="e">
        <f>VLOOKUP($A394,Data!$D$3:$CJ$128,64,FALSE)</f>
        <v>#N/A</v>
      </c>
      <c r="E394" s="74" t="e">
        <f>VLOOKUP($A394,Data!$D$3:$CJ$128,66,FALSE)</f>
        <v>#N/A</v>
      </c>
      <c r="F394" s="74" t="e">
        <f>VLOOKUP($A394,Data!$D$3:$CJ$128,67,FALSE)</f>
        <v>#N/A</v>
      </c>
      <c r="G394" s="78" t="e">
        <f>VLOOKUP($A394,Data!$D$3:$CJ$128,68,FALSE)</f>
        <v>#N/A</v>
      </c>
      <c r="H394" s="78" t="e">
        <f>VLOOKUP($A394,Data!$D$3:$CJ$128,69,FALSE)</f>
        <v>#N/A</v>
      </c>
      <c r="I394" s="74" t="e">
        <f>VLOOKUP($A394,Data!$D$3:$CJ$128,70,FALSE)</f>
        <v>#N/A</v>
      </c>
      <c r="J394" s="74" t="e">
        <f>VLOOKUP($A394,Data!$D$3:$CJ$128,71,FALSE)</f>
        <v>#N/A</v>
      </c>
      <c r="K394" s="74" t="e">
        <f>VLOOKUP($A394,Data!$D$3:$CJ$128,72,FALSE)</f>
        <v>#N/A</v>
      </c>
      <c r="L394" s="74" t="e">
        <f>VLOOKUP($A394,Data!$D$3:$CJ$128,73,FALSE)</f>
        <v>#N/A</v>
      </c>
      <c r="M394" s="74" t="e">
        <f>VLOOKUP($A394,Data!$D$3:$CJ$128,74,FALSE)</f>
        <v>#N/A</v>
      </c>
      <c r="N394" s="78" t="e">
        <f t="shared" si="79"/>
        <v>#N/A</v>
      </c>
      <c r="O394" s="78" t="e">
        <f t="shared" si="80"/>
        <v>#N/A</v>
      </c>
      <c r="P394" s="78" t="e">
        <f t="shared" si="81"/>
        <v>#N/A</v>
      </c>
      <c r="Q394" s="78" t="e">
        <f t="shared" si="82"/>
        <v>#N/A</v>
      </c>
      <c r="R394" s="78" t="e">
        <f t="shared" si="83"/>
        <v>#N/A</v>
      </c>
      <c r="S394" s="78" t="e">
        <f t="shared" si="84"/>
        <v>#N/A</v>
      </c>
      <c r="T394" s="74" t="e">
        <f t="shared" si="85"/>
        <v>#N/A</v>
      </c>
      <c r="U394" s="74" t="e">
        <f t="shared" si="86"/>
        <v>#N/A</v>
      </c>
      <c r="V394" s="74" t="e">
        <f t="shared" si="87"/>
        <v>#N/A</v>
      </c>
      <c r="W394" s="74" t="e">
        <f t="shared" si="88"/>
        <v>#N/A</v>
      </c>
      <c r="X394" s="74" t="e">
        <f t="shared" si="89"/>
        <v>#N/A</v>
      </c>
      <c r="Y394" s="74" t="e">
        <f t="shared" si="90"/>
        <v>#N/A</v>
      </c>
    </row>
    <row r="395" spans="1:25">
      <c r="A395" s="88">
        <f>'Batch input'!A394</f>
        <v>0</v>
      </c>
      <c r="B395">
        <f>'Batch input'!B394</f>
        <v>0</v>
      </c>
      <c r="C395" t="e">
        <f>VLOOKUP($A395,Data!$D$3:$CJ$128,30,FALSE)</f>
        <v>#N/A</v>
      </c>
      <c r="D395" s="74" t="e">
        <f>VLOOKUP($A395,Data!$D$3:$CJ$128,64,FALSE)</f>
        <v>#N/A</v>
      </c>
      <c r="E395" s="74" t="e">
        <f>VLOOKUP($A395,Data!$D$3:$CJ$128,66,FALSE)</f>
        <v>#N/A</v>
      </c>
      <c r="F395" s="74" t="e">
        <f>VLOOKUP($A395,Data!$D$3:$CJ$128,67,FALSE)</f>
        <v>#N/A</v>
      </c>
      <c r="G395" s="78" t="e">
        <f>VLOOKUP($A395,Data!$D$3:$CJ$128,68,FALSE)</f>
        <v>#N/A</v>
      </c>
      <c r="H395" s="78" t="e">
        <f>VLOOKUP($A395,Data!$D$3:$CJ$128,69,FALSE)</f>
        <v>#N/A</v>
      </c>
      <c r="I395" s="74" t="e">
        <f>VLOOKUP($A395,Data!$D$3:$CJ$128,70,FALSE)</f>
        <v>#N/A</v>
      </c>
      <c r="J395" s="74" t="e">
        <f>VLOOKUP($A395,Data!$D$3:$CJ$128,71,FALSE)</f>
        <v>#N/A</v>
      </c>
      <c r="K395" s="74" t="e">
        <f>VLOOKUP($A395,Data!$D$3:$CJ$128,72,FALSE)</f>
        <v>#N/A</v>
      </c>
      <c r="L395" s="74" t="e">
        <f>VLOOKUP($A395,Data!$D$3:$CJ$128,73,FALSE)</f>
        <v>#N/A</v>
      </c>
      <c r="M395" s="74" t="e">
        <f>VLOOKUP($A395,Data!$D$3:$CJ$128,74,FALSE)</f>
        <v>#N/A</v>
      </c>
      <c r="N395" s="78" t="e">
        <f t="shared" si="79"/>
        <v>#N/A</v>
      </c>
      <c r="O395" s="78" t="e">
        <f t="shared" si="80"/>
        <v>#N/A</v>
      </c>
      <c r="P395" s="78" t="e">
        <f t="shared" si="81"/>
        <v>#N/A</v>
      </c>
      <c r="Q395" s="78" t="e">
        <f t="shared" si="82"/>
        <v>#N/A</v>
      </c>
      <c r="R395" s="78" t="e">
        <f t="shared" si="83"/>
        <v>#N/A</v>
      </c>
      <c r="S395" s="78" t="e">
        <f t="shared" si="84"/>
        <v>#N/A</v>
      </c>
      <c r="T395" s="74" t="e">
        <f t="shared" si="85"/>
        <v>#N/A</v>
      </c>
      <c r="U395" s="74" t="e">
        <f t="shared" si="86"/>
        <v>#N/A</v>
      </c>
      <c r="V395" s="74" t="e">
        <f t="shared" si="87"/>
        <v>#N/A</v>
      </c>
      <c r="W395" s="74" t="e">
        <f t="shared" si="88"/>
        <v>#N/A</v>
      </c>
      <c r="X395" s="74" t="e">
        <f t="shared" si="89"/>
        <v>#N/A</v>
      </c>
      <c r="Y395" s="74" t="e">
        <f t="shared" si="90"/>
        <v>#N/A</v>
      </c>
    </row>
    <row r="396" spans="1:25">
      <c r="A396" s="88">
        <f>'Batch input'!A395</f>
        <v>0</v>
      </c>
      <c r="B396">
        <f>'Batch input'!B395</f>
        <v>0</v>
      </c>
      <c r="C396" t="e">
        <f>VLOOKUP($A396,Data!$D$3:$CJ$128,30,FALSE)</f>
        <v>#N/A</v>
      </c>
      <c r="D396" s="74" t="e">
        <f>VLOOKUP($A396,Data!$D$3:$CJ$128,64,FALSE)</f>
        <v>#N/A</v>
      </c>
      <c r="E396" s="74" t="e">
        <f>VLOOKUP($A396,Data!$D$3:$CJ$128,66,FALSE)</f>
        <v>#N/A</v>
      </c>
      <c r="F396" s="74" t="e">
        <f>VLOOKUP($A396,Data!$D$3:$CJ$128,67,FALSE)</f>
        <v>#N/A</v>
      </c>
      <c r="G396" s="78" t="e">
        <f>VLOOKUP($A396,Data!$D$3:$CJ$128,68,FALSE)</f>
        <v>#N/A</v>
      </c>
      <c r="H396" s="78" t="e">
        <f>VLOOKUP($A396,Data!$D$3:$CJ$128,69,FALSE)</f>
        <v>#N/A</v>
      </c>
      <c r="I396" s="74" t="e">
        <f>VLOOKUP($A396,Data!$D$3:$CJ$128,70,FALSE)</f>
        <v>#N/A</v>
      </c>
      <c r="J396" s="74" t="e">
        <f>VLOOKUP($A396,Data!$D$3:$CJ$128,71,FALSE)</f>
        <v>#N/A</v>
      </c>
      <c r="K396" s="74" t="e">
        <f>VLOOKUP($A396,Data!$D$3:$CJ$128,72,FALSE)</f>
        <v>#N/A</v>
      </c>
      <c r="L396" s="74" t="e">
        <f>VLOOKUP($A396,Data!$D$3:$CJ$128,73,FALSE)</f>
        <v>#N/A</v>
      </c>
      <c r="M396" s="74" t="e">
        <f>VLOOKUP($A396,Data!$D$3:$CJ$128,74,FALSE)</f>
        <v>#N/A</v>
      </c>
      <c r="N396" s="78" t="e">
        <f t="shared" si="79"/>
        <v>#N/A</v>
      </c>
      <c r="O396" s="78" t="e">
        <f t="shared" si="80"/>
        <v>#N/A</v>
      </c>
      <c r="P396" s="78" t="e">
        <f t="shared" si="81"/>
        <v>#N/A</v>
      </c>
      <c r="Q396" s="78" t="e">
        <f t="shared" si="82"/>
        <v>#N/A</v>
      </c>
      <c r="R396" s="78" t="e">
        <f t="shared" si="83"/>
        <v>#N/A</v>
      </c>
      <c r="S396" s="78" t="e">
        <f t="shared" si="84"/>
        <v>#N/A</v>
      </c>
      <c r="T396" s="74" t="e">
        <f t="shared" si="85"/>
        <v>#N/A</v>
      </c>
      <c r="U396" s="74" t="e">
        <f t="shared" si="86"/>
        <v>#N/A</v>
      </c>
      <c r="V396" s="74" t="e">
        <f t="shared" si="87"/>
        <v>#N/A</v>
      </c>
      <c r="W396" s="74" t="e">
        <f t="shared" si="88"/>
        <v>#N/A</v>
      </c>
      <c r="X396" s="74" t="e">
        <f t="shared" si="89"/>
        <v>#N/A</v>
      </c>
      <c r="Y396" s="74" t="e">
        <f t="shared" si="90"/>
        <v>#N/A</v>
      </c>
    </row>
    <row r="397" spans="1:25">
      <c r="A397" s="88">
        <f>'Batch input'!A396</f>
        <v>0</v>
      </c>
      <c r="B397">
        <f>'Batch input'!B396</f>
        <v>0</v>
      </c>
      <c r="C397" t="e">
        <f>VLOOKUP($A397,Data!$D$3:$CJ$128,30,FALSE)</f>
        <v>#N/A</v>
      </c>
      <c r="D397" s="74" t="e">
        <f>VLOOKUP($A397,Data!$D$3:$CJ$128,64,FALSE)</f>
        <v>#N/A</v>
      </c>
      <c r="E397" s="74" t="e">
        <f>VLOOKUP($A397,Data!$D$3:$CJ$128,66,FALSE)</f>
        <v>#N/A</v>
      </c>
      <c r="F397" s="74" t="e">
        <f>VLOOKUP($A397,Data!$D$3:$CJ$128,67,FALSE)</f>
        <v>#N/A</v>
      </c>
      <c r="G397" s="78" t="e">
        <f>VLOOKUP($A397,Data!$D$3:$CJ$128,68,FALSE)</f>
        <v>#N/A</v>
      </c>
      <c r="H397" s="78" t="e">
        <f>VLOOKUP($A397,Data!$D$3:$CJ$128,69,FALSE)</f>
        <v>#N/A</v>
      </c>
      <c r="I397" s="74" t="e">
        <f>VLOOKUP($A397,Data!$D$3:$CJ$128,70,FALSE)</f>
        <v>#N/A</v>
      </c>
      <c r="J397" s="74" t="e">
        <f>VLOOKUP($A397,Data!$D$3:$CJ$128,71,FALSE)</f>
        <v>#N/A</v>
      </c>
      <c r="K397" s="74" t="e">
        <f>VLOOKUP($A397,Data!$D$3:$CJ$128,72,FALSE)</f>
        <v>#N/A</v>
      </c>
      <c r="L397" s="74" t="e">
        <f>VLOOKUP($A397,Data!$D$3:$CJ$128,73,FALSE)</f>
        <v>#N/A</v>
      </c>
      <c r="M397" s="74" t="e">
        <f>VLOOKUP($A397,Data!$D$3:$CJ$128,74,FALSE)</f>
        <v>#N/A</v>
      </c>
      <c r="N397" s="78" t="e">
        <f t="shared" si="79"/>
        <v>#N/A</v>
      </c>
      <c r="O397" s="78" t="e">
        <f t="shared" si="80"/>
        <v>#N/A</v>
      </c>
      <c r="P397" s="78" t="e">
        <f t="shared" si="81"/>
        <v>#N/A</v>
      </c>
      <c r="Q397" s="78" t="e">
        <f t="shared" si="82"/>
        <v>#N/A</v>
      </c>
      <c r="R397" s="78" t="e">
        <f t="shared" si="83"/>
        <v>#N/A</v>
      </c>
      <c r="S397" s="78" t="e">
        <f t="shared" si="84"/>
        <v>#N/A</v>
      </c>
      <c r="T397" s="74" t="e">
        <f t="shared" si="85"/>
        <v>#N/A</v>
      </c>
      <c r="U397" s="74" t="e">
        <f t="shared" si="86"/>
        <v>#N/A</v>
      </c>
      <c r="V397" s="74" t="e">
        <f t="shared" si="87"/>
        <v>#N/A</v>
      </c>
      <c r="W397" s="74" t="e">
        <f t="shared" si="88"/>
        <v>#N/A</v>
      </c>
      <c r="X397" s="74" t="e">
        <f t="shared" si="89"/>
        <v>#N/A</v>
      </c>
      <c r="Y397" s="74" t="e">
        <f t="shared" si="90"/>
        <v>#N/A</v>
      </c>
    </row>
    <row r="398" spans="1:25">
      <c r="A398" s="88">
        <f>'Batch input'!A397</f>
        <v>0</v>
      </c>
      <c r="B398">
        <f>'Batch input'!B397</f>
        <v>0</v>
      </c>
      <c r="C398" t="e">
        <f>VLOOKUP($A398,Data!$D$3:$CJ$128,30,FALSE)</f>
        <v>#N/A</v>
      </c>
      <c r="D398" s="74" t="e">
        <f>VLOOKUP($A398,Data!$D$3:$CJ$128,64,FALSE)</f>
        <v>#N/A</v>
      </c>
      <c r="E398" s="74" t="e">
        <f>VLOOKUP($A398,Data!$D$3:$CJ$128,66,FALSE)</f>
        <v>#N/A</v>
      </c>
      <c r="F398" s="74" t="e">
        <f>VLOOKUP($A398,Data!$D$3:$CJ$128,67,FALSE)</f>
        <v>#N/A</v>
      </c>
      <c r="G398" s="78" t="e">
        <f>VLOOKUP($A398,Data!$D$3:$CJ$128,68,FALSE)</f>
        <v>#N/A</v>
      </c>
      <c r="H398" s="78" t="e">
        <f>VLOOKUP($A398,Data!$D$3:$CJ$128,69,FALSE)</f>
        <v>#N/A</v>
      </c>
      <c r="I398" s="74" t="e">
        <f>VLOOKUP($A398,Data!$D$3:$CJ$128,70,FALSE)</f>
        <v>#N/A</v>
      </c>
      <c r="J398" s="74" t="e">
        <f>VLOOKUP($A398,Data!$D$3:$CJ$128,71,FALSE)</f>
        <v>#N/A</v>
      </c>
      <c r="K398" s="74" t="e">
        <f>VLOOKUP($A398,Data!$D$3:$CJ$128,72,FALSE)</f>
        <v>#N/A</v>
      </c>
      <c r="L398" s="74" t="e">
        <f>VLOOKUP($A398,Data!$D$3:$CJ$128,73,FALSE)</f>
        <v>#N/A</v>
      </c>
      <c r="M398" s="74" t="e">
        <f>VLOOKUP($A398,Data!$D$3:$CJ$128,74,FALSE)</f>
        <v>#N/A</v>
      </c>
      <c r="N398" s="78" t="e">
        <f t="shared" si="79"/>
        <v>#N/A</v>
      </c>
      <c r="O398" s="78" t="e">
        <f t="shared" si="80"/>
        <v>#N/A</v>
      </c>
      <c r="P398" s="78" t="e">
        <f t="shared" si="81"/>
        <v>#N/A</v>
      </c>
      <c r="Q398" s="78" t="e">
        <f t="shared" si="82"/>
        <v>#N/A</v>
      </c>
      <c r="R398" s="78" t="e">
        <f t="shared" si="83"/>
        <v>#N/A</v>
      </c>
      <c r="S398" s="78" t="e">
        <f t="shared" si="84"/>
        <v>#N/A</v>
      </c>
      <c r="T398" s="74" t="e">
        <f t="shared" si="85"/>
        <v>#N/A</v>
      </c>
      <c r="U398" s="74" t="e">
        <f t="shared" si="86"/>
        <v>#N/A</v>
      </c>
      <c r="V398" s="74" t="e">
        <f t="shared" si="87"/>
        <v>#N/A</v>
      </c>
      <c r="W398" s="74" t="e">
        <f t="shared" si="88"/>
        <v>#N/A</v>
      </c>
      <c r="X398" s="74" t="e">
        <f t="shared" si="89"/>
        <v>#N/A</v>
      </c>
      <c r="Y398" s="74" t="e">
        <f t="shared" si="90"/>
        <v>#N/A</v>
      </c>
    </row>
    <row r="399" spans="1:25">
      <c r="A399" s="88">
        <f>'Batch input'!A398</f>
        <v>0</v>
      </c>
      <c r="B399">
        <f>'Batch input'!B398</f>
        <v>0</v>
      </c>
      <c r="C399" t="e">
        <f>VLOOKUP($A399,Data!$D$3:$CJ$128,30,FALSE)</f>
        <v>#N/A</v>
      </c>
      <c r="D399" s="74" t="e">
        <f>VLOOKUP($A399,Data!$D$3:$CJ$128,64,FALSE)</f>
        <v>#N/A</v>
      </c>
      <c r="E399" s="74" t="e">
        <f>VLOOKUP($A399,Data!$D$3:$CJ$128,66,FALSE)</f>
        <v>#N/A</v>
      </c>
      <c r="F399" s="74" t="e">
        <f>VLOOKUP($A399,Data!$D$3:$CJ$128,67,FALSE)</f>
        <v>#N/A</v>
      </c>
      <c r="G399" s="78" t="e">
        <f>VLOOKUP($A399,Data!$D$3:$CJ$128,68,FALSE)</f>
        <v>#N/A</v>
      </c>
      <c r="H399" s="78" t="e">
        <f>VLOOKUP($A399,Data!$D$3:$CJ$128,69,FALSE)</f>
        <v>#N/A</v>
      </c>
      <c r="I399" s="74" t="e">
        <f>VLOOKUP($A399,Data!$D$3:$CJ$128,70,FALSE)</f>
        <v>#N/A</v>
      </c>
      <c r="J399" s="74" t="e">
        <f>VLOOKUP($A399,Data!$D$3:$CJ$128,71,FALSE)</f>
        <v>#N/A</v>
      </c>
      <c r="K399" s="74" t="e">
        <f>VLOOKUP($A399,Data!$D$3:$CJ$128,72,FALSE)</f>
        <v>#N/A</v>
      </c>
      <c r="L399" s="74" t="e">
        <f>VLOOKUP($A399,Data!$D$3:$CJ$128,73,FALSE)</f>
        <v>#N/A</v>
      </c>
      <c r="M399" s="74" t="e">
        <f>VLOOKUP($A399,Data!$D$3:$CJ$128,74,FALSE)</f>
        <v>#N/A</v>
      </c>
      <c r="N399" s="78" t="e">
        <f t="shared" si="79"/>
        <v>#N/A</v>
      </c>
      <c r="O399" s="78" t="e">
        <f t="shared" si="80"/>
        <v>#N/A</v>
      </c>
      <c r="P399" s="78" t="e">
        <f t="shared" si="81"/>
        <v>#N/A</v>
      </c>
      <c r="Q399" s="78" t="e">
        <f t="shared" si="82"/>
        <v>#N/A</v>
      </c>
      <c r="R399" s="78" t="e">
        <f t="shared" si="83"/>
        <v>#N/A</v>
      </c>
      <c r="S399" s="78" t="e">
        <f t="shared" si="84"/>
        <v>#N/A</v>
      </c>
      <c r="T399" s="74" t="e">
        <f t="shared" si="85"/>
        <v>#N/A</v>
      </c>
      <c r="U399" s="74" t="e">
        <f t="shared" si="86"/>
        <v>#N/A</v>
      </c>
      <c r="V399" s="74" t="e">
        <f t="shared" si="87"/>
        <v>#N/A</v>
      </c>
      <c r="W399" s="74" t="e">
        <f t="shared" si="88"/>
        <v>#N/A</v>
      </c>
      <c r="X399" s="74" t="e">
        <f t="shared" si="89"/>
        <v>#N/A</v>
      </c>
      <c r="Y399" s="74" t="e">
        <f t="shared" si="90"/>
        <v>#N/A</v>
      </c>
    </row>
    <row r="400" spans="1:25">
      <c r="A400" s="88">
        <f>'Batch input'!A399</f>
        <v>0</v>
      </c>
      <c r="B400">
        <f>'Batch input'!B399</f>
        <v>0</v>
      </c>
      <c r="C400" t="e">
        <f>VLOOKUP($A400,Data!$D$3:$CJ$128,30,FALSE)</f>
        <v>#N/A</v>
      </c>
      <c r="D400" s="74" t="e">
        <f>VLOOKUP($A400,Data!$D$3:$CJ$128,64,FALSE)</f>
        <v>#N/A</v>
      </c>
      <c r="E400" s="74" t="e">
        <f>VLOOKUP($A400,Data!$D$3:$CJ$128,66,FALSE)</f>
        <v>#N/A</v>
      </c>
      <c r="F400" s="74" t="e">
        <f>VLOOKUP($A400,Data!$D$3:$CJ$128,67,FALSE)</f>
        <v>#N/A</v>
      </c>
      <c r="G400" s="78" t="e">
        <f>VLOOKUP($A400,Data!$D$3:$CJ$128,68,FALSE)</f>
        <v>#N/A</v>
      </c>
      <c r="H400" s="78" t="e">
        <f>VLOOKUP($A400,Data!$D$3:$CJ$128,69,FALSE)</f>
        <v>#N/A</v>
      </c>
      <c r="I400" s="74" t="e">
        <f>VLOOKUP($A400,Data!$D$3:$CJ$128,70,FALSE)</f>
        <v>#N/A</v>
      </c>
      <c r="J400" s="74" t="e">
        <f>VLOOKUP($A400,Data!$D$3:$CJ$128,71,FALSE)</f>
        <v>#N/A</v>
      </c>
      <c r="K400" s="74" t="e">
        <f>VLOOKUP($A400,Data!$D$3:$CJ$128,72,FALSE)</f>
        <v>#N/A</v>
      </c>
      <c r="L400" s="74" t="e">
        <f>VLOOKUP($A400,Data!$D$3:$CJ$128,73,FALSE)</f>
        <v>#N/A</v>
      </c>
      <c r="M400" s="74" t="e">
        <f>VLOOKUP($A400,Data!$D$3:$CJ$128,74,FALSE)</f>
        <v>#N/A</v>
      </c>
      <c r="N400" s="78" t="e">
        <f t="shared" si="79"/>
        <v>#N/A</v>
      </c>
      <c r="O400" s="78" t="e">
        <f t="shared" si="80"/>
        <v>#N/A</v>
      </c>
      <c r="P400" s="78" t="e">
        <f t="shared" si="81"/>
        <v>#N/A</v>
      </c>
      <c r="Q400" s="78" t="e">
        <f t="shared" si="82"/>
        <v>#N/A</v>
      </c>
      <c r="R400" s="78" t="e">
        <f t="shared" si="83"/>
        <v>#N/A</v>
      </c>
      <c r="S400" s="78" t="e">
        <f t="shared" si="84"/>
        <v>#N/A</v>
      </c>
      <c r="T400" s="74" t="e">
        <f t="shared" si="85"/>
        <v>#N/A</v>
      </c>
      <c r="U400" s="74" t="e">
        <f t="shared" si="86"/>
        <v>#N/A</v>
      </c>
      <c r="V400" s="74" t="e">
        <f t="shared" si="87"/>
        <v>#N/A</v>
      </c>
      <c r="W400" s="74" t="e">
        <f t="shared" si="88"/>
        <v>#N/A</v>
      </c>
      <c r="X400" s="74" t="e">
        <f t="shared" si="89"/>
        <v>#N/A</v>
      </c>
      <c r="Y400" s="74" t="e">
        <f t="shared" si="90"/>
        <v>#N/A</v>
      </c>
    </row>
    <row r="401" spans="1:25">
      <c r="A401" s="88">
        <f>'Batch input'!A400</f>
        <v>0</v>
      </c>
      <c r="B401">
        <f>'Batch input'!B400</f>
        <v>0</v>
      </c>
      <c r="C401" t="e">
        <f>VLOOKUP($A401,Data!$D$3:$CJ$128,30,FALSE)</f>
        <v>#N/A</v>
      </c>
      <c r="D401" s="74" t="e">
        <f>VLOOKUP($A401,Data!$D$3:$CJ$128,64,FALSE)</f>
        <v>#N/A</v>
      </c>
      <c r="E401" s="74" t="e">
        <f>VLOOKUP($A401,Data!$D$3:$CJ$128,66,FALSE)</f>
        <v>#N/A</v>
      </c>
      <c r="F401" s="74" t="e">
        <f>VLOOKUP($A401,Data!$D$3:$CJ$128,67,FALSE)</f>
        <v>#N/A</v>
      </c>
      <c r="G401" s="78" t="e">
        <f>VLOOKUP($A401,Data!$D$3:$CJ$128,68,FALSE)</f>
        <v>#N/A</v>
      </c>
      <c r="H401" s="78" t="e">
        <f>VLOOKUP($A401,Data!$D$3:$CJ$128,69,FALSE)</f>
        <v>#N/A</v>
      </c>
      <c r="I401" s="74" t="e">
        <f>VLOOKUP($A401,Data!$D$3:$CJ$128,70,FALSE)</f>
        <v>#N/A</v>
      </c>
      <c r="J401" s="74" t="e">
        <f>VLOOKUP($A401,Data!$D$3:$CJ$128,71,FALSE)</f>
        <v>#N/A</v>
      </c>
      <c r="K401" s="74" t="e">
        <f>VLOOKUP($A401,Data!$D$3:$CJ$128,72,FALSE)</f>
        <v>#N/A</v>
      </c>
      <c r="L401" s="74" t="e">
        <f>VLOOKUP($A401,Data!$D$3:$CJ$128,73,FALSE)</f>
        <v>#N/A</v>
      </c>
      <c r="M401" s="74" t="e">
        <f>VLOOKUP($A401,Data!$D$3:$CJ$128,74,FALSE)</f>
        <v>#N/A</v>
      </c>
      <c r="N401" s="78" t="e">
        <f t="shared" si="79"/>
        <v>#N/A</v>
      </c>
      <c r="O401" s="78" t="e">
        <f t="shared" si="80"/>
        <v>#N/A</v>
      </c>
      <c r="P401" s="78" t="e">
        <f t="shared" si="81"/>
        <v>#N/A</v>
      </c>
      <c r="Q401" s="78" t="e">
        <f t="shared" si="82"/>
        <v>#N/A</v>
      </c>
      <c r="R401" s="78" t="e">
        <f t="shared" si="83"/>
        <v>#N/A</v>
      </c>
      <c r="S401" s="78" t="e">
        <f t="shared" si="84"/>
        <v>#N/A</v>
      </c>
      <c r="T401" s="74" t="e">
        <f t="shared" si="85"/>
        <v>#N/A</v>
      </c>
      <c r="U401" s="74" t="e">
        <f t="shared" si="86"/>
        <v>#N/A</v>
      </c>
      <c r="V401" s="74" t="e">
        <f t="shared" si="87"/>
        <v>#N/A</v>
      </c>
      <c r="W401" s="74" t="e">
        <f t="shared" si="88"/>
        <v>#N/A</v>
      </c>
      <c r="X401" s="74" t="e">
        <f t="shared" si="89"/>
        <v>#N/A</v>
      </c>
      <c r="Y401" s="74" t="e">
        <f t="shared" si="90"/>
        <v>#N/A</v>
      </c>
    </row>
    <row r="402" spans="1:25">
      <c r="A402" s="88">
        <f>'Batch input'!A401</f>
        <v>0</v>
      </c>
      <c r="B402">
        <f>'Batch input'!B401</f>
        <v>0</v>
      </c>
      <c r="C402" t="e">
        <f>VLOOKUP($A402,Data!$D$3:$CJ$128,30,FALSE)</f>
        <v>#N/A</v>
      </c>
      <c r="D402" s="74" t="e">
        <f>VLOOKUP($A402,Data!$D$3:$CJ$128,64,FALSE)</f>
        <v>#N/A</v>
      </c>
      <c r="E402" s="74" t="e">
        <f>VLOOKUP($A402,Data!$D$3:$CJ$128,66,FALSE)</f>
        <v>#N/A</v>
      </c>
      <c r="F402" s="74" t="e">
        <f>VLOOKUP($A402,Data!$D$3:$CJ$128,67,FALSE)</f>
        <v>#N/A</v>
      </c>
      <c r="G402" s="78" t="e">
        <f>VLOOKUP($A402,Data!$D$3:$CJ$128,68,FALSE)</f>
        <v>#N/A</v>
      </c>
      <c r="H402" s="78" t="e">
        <f>VLOOKUP($A402,Data!$D$3:$CJ$128,69,FALSE)</f>
        <v>#N/A</v>
      </c>
      <c r="I402" s="74" t="e">
        <f>VLOOKUP($A402,Data!$D$3:$CJ$128,70,FALSE)</f>
        <v>#N/A</v>
      </c>
      <c r="J402" s="74" t="e">
        <f>VLOOKUP($A402,Data!$D$3:$CJ$128,71,FALSE)</f>
        <v>#N/A</v>
      </c>
      <c r="K402" s="74" t="e">
        <f>VLOOKUP($A402,Data!$D$3:$CJ$128,72,FALSE)</f>
        <v>#N/A</v>
      </c>
      <c r="L402" s="74" t="e">
        <f>VLOOKUP($A402,Data!$D$3:$CJ$128,73,FALSE)</f>
        <v>#N/A</v>
      </c>
      <c r="M402" s="74" t="e">
        <f>VLOOKUP($A402,Data!$D$3:$CJ$128,74,FALSE)</f>
        <v>#N/A</v>
      </c>
      <c r="N402" s="78" t="e">
        <f t="shared" si="79"/>
        <v>#N/A</v>
      </c>
      <c r="O402" s="78" t="e">
        <f t="shared" si="80"/>
        <v>#N/A</v>
      </c>
      <c r="P402" s="78" t="e">
        <f t="shared" si="81"/>
        <v>#N/A</v>
      </c>
      <c r="Q402" s="78" t="e">
        <f t="shared" si="82"/>
        <v>#N/A</v>
      </c>
      <c r="R402" s="78" t="e">
        <f t="shared" si="83"/>
        <v>#N/A</v>
      </c>
      <c r="S402" s="78" t="e">
        <f t="shared" si="84"/>
        <v>#N/A</v>
      </c>
      <c r="T402" s="74" t="e">
        <f t="shared" si="85"/>
        <v>#N/A</v>
      </c>
      <c r="U402" s="74" t="e">
        <f t="shared" si="86"/>
        <v>#N/A</v>
      </c>
      <c r="V402" s="74" t="e">
        <f t="shared" si="87"/>
        <v>#N/A</v>
      </c>
      <c r="W402" s="74" t="e">
        <f t="shared" si="88"/>
        <v>#N/A</v>
      </c>
      <c r="X402" s="74" t="e">
        <f t="shared" si="89"/>
        <v>#N/A</v>
      </c>
      <c r="Y402" s="74" t="e">
        <f t="shared" si="90"/>
        <v>#N/A</v>
      </c>
    </row>
    <row r="403" spans="1:25">
      <c r="A403" s="88">
        <f>'Batch input'!A402</f>
        <v>0</v>
      </c>
      <c r="B403">
        <f>'Batch input'!B402</f>
        <v>0</v>
      </c>
      <c r="C403" t="e">
        <f>VLOOKUP($A403,Data!$D$3:$CJ$128,30,FALSE)</f>
        <v>#N/A</v>
      </c>
      <c r="D403" s="74" t="e">
        <f>VLOOKUP($A403,Data!$D$3:$CJ$128,64,FALSE)</f>
        <v>#N/A</v>
      </c>
      <c r="E403" s="74" t="e">
        <f>VLOOKUP($A403,Data!$D$3:$CJ$128,66,FALSE)</f>
        <v>#N/A</v>
      </c>
      <c r="F403" s="74" t="e">
        <f>VLOOKUP($A403,Data!$D$3:$CJ$128,67,FALSE)</f>
        <v>#N/A</v>
      </c>
      <c r="G403" s="78" t="e">
        <f>VLOOKUP($A403,Data!$D$3:$CJ$128,68,FALSE)</f>
        <v>#N/A</v>
      </c>
      <c r="H403" s="78" t="e">
        <f>VLOOKUP($A403,Data!$D$3:$CJ$128,69,FALSE)</f>
        <v>#N/A</v>
      </c>
      <c r="I403" s="74" t="e">
        <f>VLOOKUP($A403,Data!$D$3:$CJ$128,70,FALSE)</f>
        <v>#N/A</v>
      </c>
      <c r="J403" s="74" t="e">
        <f>VLOOKUP($A403,Data!$D$3:$CJ$128,71,FALSE)</f>
        <v>#N/A</v>
      </c>
      <c r="K403" s="74" t="e">
        <f>VLOOKUP($A403,Data!$D$3:$CJ$128,72,FALSE)</f>
        <v>#N/A</v>
      </c>
      <c r="L403" s="74" t="e">
        <f>VLOOKUP($A403,Data!$D$3:$CJ$128,73,FALSE)</f>
        <v>#N/A</v>
      </c>
      <c r="M403" s="74" t="e">
        <f>VLOOKUP($A403,Data!$D$3:$CJ$128,74,FALSE)</f>
        <v>#N/A</v>
      </c>
      <c r="N403" s="78" t="e">
        <f t="shared" si="79"/>
        <v>#N/A</v>
      </c>
      <c r="O403" s="78" t="e">
        <f t="shared" si="80"/>
        <v>#N/A</v>
      </c>
      <c r="P403" s="78" t="e">
        <f t="shared" si="81"/>
        <v>#N/A</v>
      </c>
      <c r="Q403" s="78" t="e">
        <f t="shared" si="82"/>
        <v>#N/A</v>
      </c>
      <c r="R403" s="78" t="e">
        <f t="shared" si="83"/>
        <v>#N/A</v>
      </c>
      <c r="S403" s="78" t="e">
        <f t="shared" si="84"/>
        <v>#N/A</v>
      </c>
      <c r="T403" s="74" t="e">
        <f t="shared" si="85"/>
        <v>#N/A</v>
      </c>
      <c r="U403" s="74" t="e">
        <f t="shared" si="86"/>
        <v>#N/A</v>
      </c>
      <c r="V403" s="74" t="e">
        <f t="shared" si="87"/>
        <v>#N/A</v>
      </c>
      <c r="W403" s="74" t="e">
        <f t="shared" si="88"/>
        <v>#N/A</v>
      </c>
      <c r="X403" s="74" t="e">
        <f t="shared" si="89"/>
        <v>#N/A</v>
      </c>
      <c r="Y403" s="74" t="e">
        <f t="shared" si="90"/>
        <v>#N/A</v>
      </c>
    </row>
    <row r="404" spans="1:25">
      <c r="A404" s="88">
        <f>'Batch input'!A403</f>
        <v>0</v>
      </c>
      <c r="B404">
        <f>'Batch input'!B403</f>
        <v>0</v>
      </c>
      <c r="C404" t="e">
        <f>VLOOKUP($A404,Data!$D$3:$CJ$128,30,FALSE)</f>
        <v>#N/A</v>
      </c>
      <c r="D404" s="74" t="e">
        <f>VLOOKUP($A404,Data!$D$3:$CJ$128,64,FALSE)</f>
        <v>#N/A</v>
      </c>
      <c r="E404" s="74" t="e">
        <f>VLOOKUP($A404,Data!$D$3:$CJ$128,66,FALSE)</f>
        <v>#N/A</v>
      </c>
      <c r="F404" s="74" t="e">
        <f>VLOOKUP($A404,Data!$D$3:$CJ$128,67,FALSE)</f>
        <v>#N/A</v>
      </c>
      <c r="G404" s="78" t="e">
        <f>VLOOKUP($A404,Data!$D$3:$CJ$128,68,FALSE)</f>
        <v>#N/A</v>
      </c>
      <c r="H404" s="78" t="e">
        <f>VLOOKUP($A404,Data!$D$3:$CJ$128,69,FALSE)</f>
        <v>#N/A</v>
      </c>
      <c r="I404" s="74" t="e">
        <f>VLOOKUP($A404,Data!$D$3:$CJ$128,70,FALSE)</f>
        <v>#N/A</v>
      </c>
      <c r="J404" s="74" t="e">
        <f>VLOOKUP($A404,Data!$D$3:$CJ$128,71,FALSE)</f>
        <v>#N/A</v>
      </c>
      <c r="K404" s="74" t="e">
        <f>VLOOKUP($A404,Data!$D$3:$CJ$128,72,FALSE)</f>
        <v>#N/A</v>
      </c>
      <c r="L404" s="74" t="e">
        <f>VLOOKUP($A404,Data!$D$3:$CJ$128,73,FALSE)</f>
        <v>#N/A</v>
      </c>
      <c r="M404" s="74" t="e">
        <f>VLOOKUP($A404,Data!$D$3:$CJ$128,74,FALSE)</f>
        <v>#N/A</v>
      </c>
      <c r="N404" s="78" t="e">
        <f t="shared" si="79"/>
        <v>#N/A</v>
      </c>
      <c r="O404" s="78" t="e">
        <f t="shared" si="80"/>
        <v>#N/A</v>
      </c>
      <c r="P404" s="78" t="e">
        <f t="shared" si="81"/>
        <v>#N/A</v>
      </c>
      <c r="Q404" s="78" t="e">
        <f t="shared" si="82"/>
        <v>#N/A</v>
      </c>
      <c r="R404" s="78" t="e">
        <f t="shared" si="83"/>
        <v>#N/A</v>
      </c>
      <c r="S404" s="78" t="e">
        <f t="shared" si="84"/>
        <v>#N/A</v>
      </c>
      <c r="T404" s="74" t="e">
        <f t="shared" si="85"/>
        <v>#N/A</v>
      </c>
      <c r="U404" s="74" t="e">
        <f t="shared" si="86"/>
        <v>#N/A</v>
      </c>
      <c r="V404" s="74" t="e">
        <f t="shared" si="87"/>
        <v>#N/A</v>
      </c>
      <c r="W404" s="74" t="e">
        <f t="shared" si="88"/>
        <v>#N/A</v>
      </c>
      <c r="X404" s="74" t="e">
        <f t="shared" si="89"/>
        <v>#N/A</v>
      </c>
      <c r="Y404" s="74" t="e">
        <f t="shared" si="90"/>
        <v>#N/A</v>
      </c>
    </row>
    <row r="405" spans="1:25">
      <c r="A405" s="88">
        <f>'Batch input'!A404</f>
        <v>0</v>
      </c>
      <c r="B405">
        <f>'Batch input'!B404</f>
        <v>0</v>
      </c>
      <c r="C405" t="e">
        <f>VLOOKUP($A405,Data!$D$3:$CJ$128,30,FALSE)</f>
        <v>#N/A</v>
      </c>
      <c r="D405" s="74" t="e">
        <f>VLOOKUP($A405,Data!$D$3:$CJ$128,64,FALSE)</f>
        <v>#N/A</v>
      </c>
      <c r="E405" s="74" t="e">
        <f>VLOOKUP($A405,Data!$D$3:$CJ$128,66,FALSE)</f>
        <v>#N/A</v>
      </c>
      <c r="F405" s="74" t="e">
        <f>VLOOKUP($A405,Data!$D$3:$CJ$128,67,FALSE)</f>
        <v>#N/A</v>
      </c>
      <c r="G405" s="78" t="e">
        <f>VLOOKUP($A405,Data!$D$3:$CJ$128,68,FALSE)</f>
        <v>#N/A</v>
      </c>
      <c r="H405" s="78" t="e">
        <f>VLOOKUP($A405,Data!$D$3:$CJ$128,69,FALSE)</f>
        <v>#N/A</v>
      </c>
      <c r="I405" s="74" t="e">
        <f>VLOOKUP($A405,Data!$D$3:$CJ$128,70,FALSE)</f>
        <v>#N/A</v>
      </c>
      <c r="J405" s="74" t="e">
        <f>VLOOKUP($A405,Data!$D$3:$CJ$128,71,FALSE)</f>
        <v>#N/A</v>
      </c>
      <c r="K405" s="74" t="e">
        <f>VLOOKUP($A405,Data!$D$3:$CJ$128,72,FALSE)</f>
        <v>#N/A</v>
      </c>
      <c r="L405" s="74" t="e">
        <f>VLOOKUP($A405,Data!$D$3:$CJ$128,73,FALSE)</f>
        <v>#N/A</v>
      </c>
      <c r="M405" s="74" t="e">
        <f>VLOOKUP($A405,Data!$D$3:$CJ$128,74,FALSE)</f>
        <v>#N/A</v>
      </c>
      <c r="N405" s="78" t="e">
        <f t="shared" si="79"/>
        <v>#N/A</v>
      </c>
      <c r="O405" s="78" t="e">
        <f t="shared" si="80"/>
        <v>#N/A</v>
      </c>
      <c r="P405" s="78" t="e">
        <f t="shared" si="81"/>
        <v>#N/A</v>
      </c>
      <c r="Q405" s="78" t="e">
        <f t="shared" si="82"/>
        <v>#N/A</v>
      </c>
      <c r="R405" s="78" t="e">
        <f t="shared" si="83"/>
        <v>#N/A</v>
      </c>
      <c r="S405" s="78" t="e">
        <f t="shared" si="84"/>
        <v>#N/A</v>
      </c>
      <c r="T405" s="74" t="e">
        <f t="shared" si="85"/>
        <v>#N/A</v>
      </c>
      <c r="U405" s="74" t="e">
        <f t="shared" si="86"/>
        <v>#N/A</v>
      </c>
      <c r="V405" s="74" t="e">
        <f t="shared" si="87"/>
        <v>#N/A</v>
      </c>
      <c r="W405" s="74" t="e">
        <f t="shared" si="88"/>
        <v>#N/A</v>
      </c>
      <c r="X405" s="74" t="e">
        <f t="shared" si="89"/>
        <v>#N/A</v>
      </c>
      <c r="Y405" s="74" t="e">
        <f t="shared" si="90"/>
        <v>#N/A</v>
      </c>
    </row>
    <row r="406" spans="1:25">
      <c r="A406" s="88">
        <f>'Batch input'!A405</f>
        <v>0</v>
      </c>
      <c r="B406">
        <f>'Batch input'!B405</f>
        <v>0</v>
      </c>
      <c r="C406" t="e">
        <f>VLOOKUP($A406,Data!$D$3:$CJ$128,30,FALSE)</f>
        <v>#N/A</v>
      </c>
      <c r="D406" s="74" t="e">
        <f>VLOOKUP($A406,Data!$D$3:$CJ$128,64,FALSE)</f>
        <v>#N/A</v>
      </c>
      <c r="E406" s="74" t="e">
        <f>VLOOKUP($A406,Data!$D$3:$CJ$128,66,FALSE)</f>
        <v>#N/A</v>
      </c>
      <c r="F406" s="74" t="e">
        <f>VLOOKUP($A406,Data!$D$3:$CJ$128,67,FALSE)</f>
        <v>#N/A</v>
      </c>
      <c r="G406" s="78" t="e">
        <f>VLOOKUP($A406,Data!$D$3:$CJ$128,68,FALSE)</f>
        <v>#N/A</v>
      </c>
      <c r="H406" s="78" t="e">
        <f>VLOOKUP($A406,Data!$D$3:$CJ$128,69,FALSE)</f>
        <v>#N/A</v>
      </c>
      <c r="I406" s="74" t="e">
        <f>VLOOKUP($A406,Data!$D$3:$CJ$128,70,FALSE)</f>
        <v>#N/A</v>
      </c>
      <c r="J406" s="74" t="e">
        <f>VLOOKUP($A406,Data!$D$3:$CJ$128,71,FALSE)</f>
        <v>#N/A</v>
      </c>
      <c r="K406" s="74" t="e">
        <f>VLOOKUP($A406,Data!$D$3:$CJ$128,72,FALSE)</f>
        <v>#N/A</v>
      </c>
      <c r="L406" s="74" t="e">
        <f>VLOOKUP($A406,Data!$D$3:$CJ$128,73,FALSE)</f>
        <v>#N/A</v>
      </c>
      <c r="M406" s="74" t="e">
        <f>VLOOKUP($A406,Data!$D$3:$CJ$128,74,FALSE)</f>
        <v>#N/A</v>
      </c>
      <c r="N406" s="78" t="e">
        <f t="shared" si="79"/>
        <v>#N/A</v>
      </c>
      <c r="O406" s="78" t="e">
        <f t="shared" si="80"/>
        <v>#N/A</v>
      </c>
      <c r="P406" s="78" t="e">
        <f t="shared" si="81"/>
        <v>#N/A</v>
      </c>
      <c r="Q406" s="78" t="e">
        <f t="shared" si="82"/>
        <v>#N/A</v>
      </c>
      <c r="R406" s="78" t="e">
        <f t="shared" si="83"/>
        <v>#N/A</v>
      </c>
      <c r="S406" s="78" t="e">
        <f t="shared" si="84"/>
        <v>#N/A</v>
      </c>
      <c r="T406" s="74" t="e">
        <f t="shared" si="85"/>
        <v>#N/A</v>
      </c>
      <c r="U406" s="74" t="e">
        <f t="shared" si="86"/>
        <v>#N/A</v>
      </c>
      <c r="V406" s="74" t="e">
        <f t="shared" si="87"/>
        <v>#N/A</v>
      </c>
      <c r="W406" s="74" t="e">
        <f t="shared" si="88"/>
        <v>#N/A</v>
      </c>
      <c r="X406" s="74" t="e">
        <f t="shared" si="89"/>
        <v>#N/A</v>
      </c>
      <c r="Y406" s="74" t="e">
        <f t="shared" si="90"/>
        <v>#N/A</v>
      </c>
    </row>
    <row r="407" spans="1:25">
      <c r="A407" s="88">
        <f>'Batch input'!A406</f>
        <v>0</v>
      </c>
      <c r="B407">
        <f>'Batch input'!B406</f>
        <v>0</v>
      </c>
      <c r="C407" t="e">
        <f>VLOOKUP($A407,Data!$D$3:$CJ$128,30,FALSE)</f>
        <v>#N/A</v>
      </c>
      <c r="D407" s="74" t="e">
        <f>VLOOKUP($A407,Data!$D$3:$CJ$128,64,FALSE)</f>
        <v>#N/A</v>
      </c>
      <c r="E407" s="74" t="e">
        <f>VLOOKUP($A407,Data!$D$3:$CJ$128,66,FALSE)</f>
        <v>#N/A</v>
      </c>
      <c r="F407" s="74" t="e">
        <f>VLOOKUP($A407,Data!$D$3:$CJ$128,67,FALSE)</f>
        <v>#N/A</v>
      </c>
      <c r="G407" s="78" t="e">
        <f>VLOOKUP($A407,Data!$D$3:$CJ$128,68,FALSE)</f>
        <v>#N/A</v>
      </c>
      <c r="H407" s="78" t="e">
        <f>VLOOKUP($A407,Data!$D$3:$CJ$128,69,FALSE)</f>
        <v>#N/A</v>
      </c>
      <c r="I407" s="74" t="e">
        <f>VLOOKUP($A407,Data!$D$3:$CJ$128,70,FALSE)</f>
        <v>#N/A</v>
      </c>
      <c r="J407" s="74" t="e">
        <f>VLOOKUP($A407,Data!$D$3:$CJ$128,71,FALSE)</f>
        <v>#N/A</v>
      </c>
      <c r="K407" s="74" t="e">
        <f>VLOOKUP($A407,Data!$D$3:$CJ$128,72,FALSE)</f>
        <v>#N/A</v>
      </c>
      <c r="L407" s="74" t="e">
        <f>VLOOKUP($A407,Data!$D$3:$CJ$128,73,FALSE)</f>
        <v>#N/A</v>
      </c>
      <c r="M407" s="74" t="e">
        <f>VLOOKUP($A407,Data!$D$3:$CJ$128,74,FALSE)</f>
        <v>#N/A</v>
      </c>
      <c r="N407" s="78" t="e">
        <f t="shared" si="79"/>
        <v>#N/A</v>
      </c>
      <c r="O407" s="78" t="e">
        <f t="shared" si="80"/>
        <v>#N/A</v>
      </c>
      <c r="P407" s="78" t="e">
        <f t="shared" si="81"/>
        <v>#N/A</v>
      </c>
      <c r="Q407" s="78" t="e">
        <f t="shared" si="82"/>
        <v>#N/A</v>
      </c>
      <c r="R407" s="78" t="e">
        <f t="shared" si="83"/>
        <v>#N/A</v>
      </c>
      <c r="S407" s="78" t="e">
        <f t="shared" si="84"/>
        <v>#N/A</v>
      </c>
      <c r="T407" s="74" t="e">
        <f t="shared" si="85"/>
        <v>#N/A</v>
      </c>
      <c r="U407" s="74" t="e">
        <f t="shared" si="86"/>
        <v>#N/A</v>
      </c>
      <c r="V407" s="74" t="e">
        <f t="shared" si="87"/>
        <v>#N/A</v>
      </c>
      <c r="W407" s="74" t="e">
        <f t="shared" si="88"/>
        <v>#N/A</v>
      </c>
      <c r="X407" s="74" t="e">
        <f t="shared" si="89"/>
        <v>#N/A</v>
      </c>
      <c r="Y407" s="74" t="e">
        <f t="shared" si="90"/>
        <v>#N/A</v>
      </c>
    </row>
    <row r="408" spans="1:25">
      <c r="A408" s="88">
        <f>'Batch input'!A407</f>
        <v>0</v>
      </c>
      <c r="B408">
        <f>'Batch input'!B407</f>
        <v>0</v>
      </c>
      <c r="C408" t="e">
        <f>VLOOKUP($A408,Data!$D$3:$CJ$128,30,FALSE)</f>
        <v>#N/A</v>
      </c>
      <c r="D408" s="74" t="e">
        <f>VLOOKUP($A408,Data!$D$3:$CJ$128,64,FALSE)</f>
        <v>#N/A</v>
      </c>
      <c r="E408" s="74" t="e">
        <f>VLOOKUP($A408,Data!$D$3:$CJ$128,66,FALSE)</f>
        <v>#N/A</v>
      </c>
      <c r="F408" s="74" t="e">
        <f>VLOOKUP($A408,Data!$D$3:$CJ$128,67,FALSE)</f>
        <v>#N/A</v>
      </c>
      <c r="G408" s="78" t="e">
        <f>VLOOKUP($A408,Data!$D$3:$CJ$128,68,FALSE)</f>
        <v>#N/A</v>
      </c>
      <c r="H408" s="78" t="e">
        <f>VLOOKUP($A408,Data!$D$3:$CJ$128,69,FALSE)</f>
        <v>#N/A</v>
      </c>
      <c r="I408" s="74" t="e">
        <f>VLOOKUP($A408,Data!$D$3:$CJ$128,70,FALSE)</f>
        <v>#N/A</v>
      </c>
      <c r="J408" s="74" t="e">
        <f>VLOOKUP($A408,Data!$D$3:$CJ$128,71,FALSE)</f>
        <v>#N/A</v>
      </c>
      <c r="K408" s="74" t="e">
        <f>VLOOKUP($A408,Data!$D$3:$CJ$128,72,FALSE)</f>
        <v>#N/A</v>
      </c>
      <c r="L408" s="74" t="e">
        <f>VLOOKUP($A408,Data!$D$3:$CJ$128,73,FALSE)</f>
        <v>#N/A</v>
      </c>
      <c r="M408" s="74" t="e">
        <f>VLOOKUP($A408,Data!$D$3:$CJ$128,74,FALSE)</f>
        <v>#N/A</v>
      </c>
      <c r="N408" s="78" t="e">
        <f t="shared" si="79"/>
        <v>#N/A</v>
      </c>
      <c r="O408" s="78" t="e">
        <f t="shared" si="80"/>
        <v>#N/A</v>
      </c>
      <c r="P408" s="78" t="e">
        <f t="shared" si="81"/>
        <v>#N/A</v>
      </c>
      <c r="Q408" s="78" t="e">
        <f t="shared" si="82"/>
        <v>#N/A</v>
      </c>
      <c r="R408" s="78" t="e">
        <f t="shared" si="83"/>
        <v>#N/A</v>
      </c>
      <c r="S408" s="78" t="e">
        <f t="shared" si="84"/>
        <v>#N/A</v>
      </c>
      <c r="T408" s="74" t="e">
        <f t="shared" si="85"/>
        <v>#N/A</v>
      </c>
      <c r="U408" s="74" t="e">
        <f t="shared" si="86"/>
        <v>#N/A</v>
      </c>
      <c r="V408" s="74" t="e">
        <f t="shared" si="87"/>
        <v>#N/A</v>
      </c>
      <c r="W408" s="74" t="e">
        <f t="shared" si="88"/>
        <v>#N/A</v>
      </c>
      <c r="X408" s="74" t="e">
        <f t="shared" si="89"/>
        <v>#N/A</v>
      </c>
      <c r="Y408" s="74" t="e">
        <f t="shared" si="90"/>
        <v>#N/A</v>
      </c>
    </row>
    <row r="409" spans="1:25">
      <c r="A409" s="88">
        <f>'Batch input'!A408</f>
        <v>0</v>
      </c>
      <c r="B409">
        <f>'Batch input'!B408</f>
        <v>0</v>
      </c>
      <c r="C409" t="e">
        <f>VLOOKUP($A409,Data!$D$3:$CJ$128,30,FALSE)</f>
        <v>#N/A</v>
      </c>
      <c r="D409" s="74" t="e">
        <f>VLOOKUP($A409,Data!$D$3:$CJ$128,64,FALSE)</f>
        <v>#N/A</v>
      </c>
      <c r="E409" s="74" t="e">
        <f>VLOOKUP($A409,Data!$D$3:$CJ$128,66,FALSE)</f>
        <v>#N/A</v>
      </c>
      <c r="F409" s="74" t="e">
        <f>VLOOKUP($A409,Data!$D$3:$CJ$128,67,FALSE)</f>
        <v>#N/A</v>
      </c>
      <c r="G409" s="78" t="e">
        <f>VLOOKUP($A409,Data!$D$3:$CJ$128,68,FALSE)</f>
        <v>#N/A</v>
      </c>
      <c r="H409" s="78" t="e">
        <f>VLOOKUP($A409,Data!$D$3:$CJ$128,69,FALSE)</f>
        <v>#N/A</v>
      </c>
      <c r="I409" s="74" t="e">
        <f>VLOOKUP($A409,Data!$D$3:$CJ$128,70,FALSE)</f>
        <v>#N/A</v>
      </c>
      <c r="J409" s="74" t="e">
        <f>VLOOKUP($A409,Data!$D$3:$CJ$128,71,FALSE)</f>
        <v>#N/A</v>
      </c>
      <c r="K409" s="74" t="e">
        <f>VLOOKUP($A409,Data!$D$3:$CJ$128,72,FALSE)</f>
        <v>#N/A</v>
      </c>
      <c r="L409" s="74" t="e">
        <f>VLOOKUP($A409,Data!$D$3:$CJ$128,73,FALSE)</f>
        <v>#N/A</v>
      </c>
      <c r="M409" s="74" t="e">
        <f>VLOOKUP($A409,Data!$D$3:$CJ$128,74,FALSE)</f>
        <v>#N/A</v>
      </c>
      <c r="N409" s="78" t="e">
        <f t="shared" si="79"/>
        <v>#N/A</v>
      </c>
      <c r="O409" s="78" t="e">
        <f t="shared" si="80"/>
        <v>#N/A</v>
      </c>
      <c r="P409" s="78" t="e">
        <f t="shared" si="81"/>
        <v>#N/A</v>
      </c>
      <c r="Q409" s="78" t="e">
        <f t="shared" si="82"/>
        <v>#N/A</v>
      </c>
      <c r="R409" s="78" t="e">
        <f t="shared" si="83"/>
        <v>#N/A</v>
      </c>
      <c r="S409" s="78" t="e">
        <f t="shared" si="84"/>
        <v>#N/A</v>
      </c>
      <c r="T409" s="74" t="e">
        <f t="shared" si="85"/>
        <v>#N/A</v>
      </c>
      <c r="U409" s="74" t="e">
        <f t="shared" si="86"/>
        <v>#N/A</v>
      </c>
      <c r="V409" s="74" t="e">
        <f t="shared" si="87"/>
        <v>#N/A</v>
      </c>
      <c r="W409" s="74" t="e">
        <f t="shared" si="88"/>
        <v>#N/A</v>
      </c>
      <c r="X409" s="74" t="e">
        <f t="shared" si="89"/>
        <v>#N/A</v>
      </c>
      <c r="Y409" s="74" t="e">
        <f t="shared" si="90"/>
        <v>#N/A</v>
      </c>
    </row>
    <row r="410" spans="1:25">
      <c r="A410" s="88">
        <f>'Batch input'!A409</f>
        <v>0</v>
      </c>
      <c r="B410">
        <f>'Batch input'!B409</f>
        <v>0</v>
      </c>
      <c r="C410" t="e">
        <f>VLOOKUP($A410,Data!$D$3:$CJ$128,30,FALSE)</f>
        <v>#N/A</v>
      </c>
      <c r="D410" s="74" t="e">
        <f>VLOOKUP($A410,Data!$D$3:$CJ$128,64,FALSE)</f>
        <v>#N/A</v>
      </c>
      <c r="E410" s="74" t="e">
        <f>VLOOKUP($A410,Data!$D$3:$CJ$128,66,FALSE)</f>
        <v>#N/A</v>
      </c>
      <c r="F410" s="74" t="e">
        <f>VLOOKUP($A410,Data!$D$3:$CJ$128,67,FALSE)</f>
        <v>#N/A</v>
      </c>
      <c r="G410" s="78" t="e">
        <f>VLOOKUP($A410,Data!$D$3:$CJ$128,68,FALSE)</f>
        <v>#N/A</v>
      </c>
      <c r="H410" s="78" t="e">
        <f>VLOOKUP($A410,Data!$D$3:$CJ$128,69,FALSE)</f>
        <v>#N/A</v>
      </c>
      <c r="I410" s="74" t="e">
        <f>VLOOKUP($A410,Data!$D$3:$CJ$128,70,FALSE)</f>
        <v>#N/A</v>
      </c>
      <c r="J410" s="74" t="e">
        <f>VLOOKUP($A410,Data!$D$3:$CJ$128,71,FALSE)</f>
        <v>#N/A</v>
      </c>
      <c r="K410" s="74" t="e">
        <f>VLOOKUP($A410,Data!$D$3:$CJ$128,72,FALSE)</f>
        <v>#N/A</v>
      </c>
      <c r="L410" s="74" t="e">
        <f>VLOOKUP($A410,Data!$D$3:$CJ$128,73,FALSE)</f>
        <v>#N/A</v>
      </c>
      <c r="M410" s="74" t="e">
        <f>VLOOKUP($A410,Data!$D$3:$CJ$128,74,FALSE)</f>
        <v>#N/A</v>
      </c>
      <c r="N410" s="78" t="e">
        <f t="shared" si="79"/>
        <v>#N/A</v>
      </c>
      <c r="O410" s="78" t="e">
        <f t="shared" si="80"/>
        <v>#N/A</v>
      </c>
      <c r="P410" s="78" t="e">
        <f t="shared" si="81"/>
        <v>#N/A</v>
      </c>
      <c r="Q410" s="78" t="e">
        <f t="shared" si="82"/>
        <v>#N/A</v>
      </c>
      <c r="R410" s="78" t="e">
        <f t="shared" si="83"/>
        <v>#N/A</v>
      </c>
      <c r="S410" s="78" t="e">
        <f t="shared" si="84"/>
        <v>#N/A</v>
      </c>
      <c r="T410" s="74" t="e">
        <f t="shared" si="85"/>
        <v>#N/A</v>
      </c>
      <c r="U410" s="74" t="e">
        <f t="shared" si="86"/>
        <v>#N/A</v>
      </c>
      <c r="V410" s="74" t="e">
        <f t="shared" si="87"/>
        <v>#N/A</v>
      </c>
      <c r="W410" s="74" t="e">
        <f t="shared" si="88"/>
        <v>#N/A</v>
      </c>
      <c r="X410" s="74" t="e">
        <f t="shared" si="89"/>
        <v>#N/A</v>
      </c>
      <c r="Y410" s="74" t="e">
        <f t="shared" si="90"/>
        <v>#N/A</v>
      </c>
    </row>
    <row r="411" spans="1:25">
      <c r="A411" s="88">
        <f>'Batch input'!A410</f>
        <v>0</v>
      </c>
      <c r="B411">
        <f>'Batch input'!B410</f>
        <v>0</v>
      </c>
      <c r="C411" t="e">
        <f>VLOOKUP($A411,Data!$D$3:$CJ$128,30,FALSE)</f>
        <v>#N/A</v>
      </c>
      <c r="D411" s="74" t="e">
        <f>VLOOKUP($A411,Data!$D$3:$CJ$128,64,FALSE)</f>
        <v>#N/A</v>
      </c>
      <c r="E411" s="74" t="e">
        <f>VLOOKUP($A411,Data!$D$3:$CJ$128,66,FALSE)</f>
        <v>#N/A</v>
      </c>
      <c r="F411" s="74" t="e">
        <f>VLOOKUP($A411,Data!$D$3:$CJ$128,67,FALSE)</f>
        <v>#N/A</v>
      </c>
      <c r="G411" s="78" t="e">
        <f>VLOOKUP($A411,Data!$D$3:$CJ$128,68,FALSE)</f>
        <v>#N/A</v>
      </c>
      <c r="H411" s="78" t="e">
        <f>VLOOKUP($A411,Data!$D$3:$CJ$128,69,FALSE)</f>
        <v>#N/A</v>
      </c>
      <c r="I411" s="74" t="e">
        <f>VLOOKUP($A411,Data!$D$3:$CJ$128,70,FALSE)</f>
        <v>#N/A</v>
      </c>
      <c r="J411" s="74" t="e">
        <f>VLOOKUP($A411,Data!$D$3:$CJ$128,71,FALSE)</f>
        <v>#N/A</v>
      </c>
      <c r="K411" s="74" t="e">
        <f>VLOOKUP($A411,Data!$D$3:$CJ$128,72,FALSE)</f>
        <v>#N/A</v>
      </c>
      <c r="L411" s="74" t="e">
        <f>VLOOKUP($A411,Data!$D$3:$CJ$128,73,FALSE)</f>
        <v>#N/A</v>
      </c>
      <c r="M411" s="74" t="e">
        <f>VLOOKUP($A411,Data!$D$3:$CJ$128,74,FALSE)</f>
        <v>#N/A</v>
      </c>
      <c r="N411" s="78" t="e">
        <f t="shared" si="79"/>
        <v>#N/A</v>
      </c>
      <c r="O411" s="78" t="e">
        <f t="shared" si="80"/>
        <v>#N/A</v>
      </c>
      <c r="P411" s="78" t="e">
        <f t="shared" si="81"/>
        <v>#N/A</v>
      </c>
      <c r="Q411" s="78" t="e">
        <f t="shared" si="82"/>
        <v>#N/A</v>
      </c>
      <c r="R411" s="78" t="e">
        <f t="shared" si="83"/>
        <v>#N/A</v>
      </c>
      <c r="S411" s="78" t="e">
        <f t="shared" si="84"/>
        <v>#N/A</v>
      </c>
      <c r="T411" s="74" t="e">
        <f t="shared" si="85"/>
        <v>#N/A</v>
      </c>
      <c r="U411" s="74" t="e">
        <f t="shared" si="86"/>
        <v>#N/A</v>
      </c>
      <c r="V411" s="74" t="e">
        <f t="shared" si="87"/>
        <v>#N/A</v>
      </c>
      <c r="W411" s="74" t="e">
        <f t="shared" si="88"/>
        <v>#N/A</v>
      </c>
      <c r="X411" s="74" t="e">
        <f t="shared" si="89"/>
        <v>#N/A</v>
      </c>
      <c r="Y411" s="74" t="e">
        <f t="shared" si="90"/>
        <v>#N/A</v>
      </c>
    </row>
    <row r="412" spans="1:25">
      <c r="A412" s="88">
        <f>'Batch input'!A411</f>
        <v>0</v>
      </c>
      <c r="B412">
        <f>'Batch input'!B411</f>
        <v>0</v>
      </c>
      <c r="C412" t="e">
        <f>VLOOKUP($A412,Data!$D$3:$CJ$128,30,FALSE)</f>
        <v>#N/A</v>
      </c>
      <c r="D412" s="74" t="e">
        <f>VLOOKUP($A412,Data!$D$3:$CJ$128,64,FALSE)</f>
        <v>#N/A</v>
      </c>
      <c r="E412" s="74" t="e">
        <f>VLOOKUP($A412,Data!$D$3:$CJ$128,66,FALSE)</f>
        <v>#N/A</v>
      </c>
      <c r="F412" s="74" t="e">
        <f>VLOOKUP($A412,Data!$D$3:$CJ$128,67,FALSE)</f>
        <v>#N/A</v>
      </c>
      <c r="G412" s="78" t="e">
        <f>VLOOKUP($A412,Data!$D$3:$CJ$128,68,FALSE)</f>
        <v>#N/A</v>
      </c>
      <c r="H412" s="78" t="e">
        <f>VLOOKUP($A412,Data!$D$3:$CJ$128,69,FALSE)</f>
        <v>#N/A</v>
      </c>
      <c r="I412" s="74" t="e">
        <f>VLOOKUP($A412,Data!$D$3:$CJ$128,70,FALSE)</f>
        <v>#N/A</v>
      </c>
      <c r="J412" s="74" t="e">
        <f>VLOOKUP($A412,Data!$D$3:$CJ$128,71,FALSE)</f>
        <v>#N/A</v>
      </c>
      <c r="K412" s="74" t="e">
        <f>VLOOKUP($A412,Data!$D$3:$CJ$128,72,FALSE)</f>
        <v>#N/A</v>
      </c>
      <c r="L412" s="74" t="e">
        <f>VLOOKUP($A412,Data!$D$3:$CJ$128,73,FALSE)</f>
        <v>#N/A</v>
      </c>
      <c r="M412" s="74" t="e">
        <f>VLOOKUP($A412,Data!$D$3:$CJ$128,74,FALSE)</f>
        <v>#N/A</v>
      </c>
      <c r="N412" s="78" t="e">
        <f t="shared" si="79"/>
        <v>#N/A</v>
      </c>
      <c r="O412" s="78" t="e">
        <f t="shared" si="80"/>
        <v>#N/A</v>
      </c>
      <c r="P412" s="78" t="e">
        <f t="shared" si="81"/>
        <v>#N/A</v>
      </c>
      <c r="Q412" s="78" t="e">
        <f t="shared" si="82"/>
        <v>#N/A</v>
      </c>
      <c r="R412" s="78" t="e">
        <f t="shared" si="83"/>
        <v>#N/A</v>
      </c>
      <c r="S412" s="78" t="e">
        <f t="shared" si="84"/>
        <v>#N/A</v>
      </c>
      <c r="T412" s="74" t="e">
        <f t="shared" si="85"/>
        <v>#N/A</v>
      </c>
      <c r="U412" s="74" t="e">
        <f t="shared" si="86"/>
        <v>#N/A</v>
      </c>
      <c r="V412" s="74" t="e">
        <f t="shared" si="87"/>
        <v>#N/A</v>
      </c>
      <c r="W412" s="74" t="e">
        <f t="shared" si="88"/>
        <v>#N/A</v>
      </c>
      <c r="X412" s="74" t="e">
        <f t="shared" si="89"/>
        <v>#N/A</v>
      </c>
      <c r="Y412" s="74" t="e">
        <f t="shared" si="90"/>
        <v>#N/A</v>
      </c>
    </row>
    <row r="413" spans="1:25">
      <c r="A413" s="88">
        <f>'Batch input'!A412</f>
        <v>0</v>
      </c>
      <c r="B413">
        <f>'Batch input'!B412</f>
        <v>0</v>
      </c>
      <c r="C413" t="e">
        <f>VLOOKUP($A413,Data!$D$3:$CJ$128,30,FALSE)</f>
        <v>#N/A</v>
      </c>
      <c r="D413" s="74" t="e">
        <f>VLOOKUP($A413,Data!$D$3:$CJ$128,64,FALSE)</f>
        <v>#N/A</v>
      </c>
      <c r="E413" s="74" t="e">
        <f>VLOOKUP($A413,Data!$D$3:$CJ$128,66,FALSE)</f>
        <v>#N/A</v>
      </c>
      <c r="F413" s="74" t="e">
        <f>VLOOKUP($A413,Data!$D$3:$CJ$128,67,FALSE)</f>
        <v>#N/A</v>
      </c>
      <c r="G413" s="78" t="e">
        <f>VLOOKUP($A413,Data!$D$3:$CJ$128,68,FALSE)</f>
        <v>#N/A</v>
      </c>
      <c r="H413" s="78" t="e">
        <f>VLOOKUP($A413,Data!$D$3:$CJ$128,69,FALSE)</f>
        <v>#N/A</v>
      </c>
      <c r="I413" s="74" t="e">
        <f>VLOOKUP($A413,Data!$D$3:$CJ$128,70,FALSE)</f>
        <v>#N/A</v>
      </c>
      <c r="J413" s="74" t="e">
        <f>VLOOKUP($A413,Data!$D$3:$CJ$128,71,FALSE)</f>
        <v>#N/A</v>
      </c>
      <c r="K413" s="74" t="e">
        <f>VLOOKUP($A413,Data!$D$3:$CJ$128,72,FALSE)</f>
        <v>#N/A</v>
      </c>
      <c r="L413" s="74" t="e">
        <f>VLOOKUP($A413,Data!$D$3:$CJ$128,73,FALSE)</f>
        <v>#N/A</v>
      </c>
      <c r="M413" s="74" t="e">
        <f>VLOOKUP($A413,Data!$D$3:$CJ$128,74,FALSE)</f>
        <v>#N/A</v>
      </c>
      <c r="N413" s="78" t="e">
        <f t="shared" ref="N413:N428" si="91">I413</f>
        <v>#N/A</v>
      </c>
      <c r="O413" s="78" t="e">
        <f t="shared" ref="O413:O428" si="92">(((D413/1000)*H413)+((G413/1000)*M413)+(J413/1000))</f>
        <v>#N/A</v>
      </c>
      <c r="P413" s="78" t="e">
        <f t="shared" ref="P413:P428" si="93">(F413/1000)*H413</f>
        <v>#N/A</v>
      </c>
      <c r="Q413" s="78" t="e">
        <f t="shared" ref="Q413:Q428" si="94">K413/1000</f>
        <v>#N/A</v>
      </c>
      <c r="R413" s="78" t="e">
        <f t="shared" ref="R413:R428" si="95">L413/1000</f>
        <v>#N/A</v>
      </c>
      <c r="S413" s="78" t="e">
        <f t="shared" ref="S413:S428" si="96">(E413/1000)*H413</f>
        <v>#N/A</v>
      </c>
      <c r="T413" s="74" t="e">
        <f t="shared" ref="T413:T428" si="97">$B413*N413</f>
        <v>#N/A</v>
      </c>
      <c r="U413" s="74" t="e">
        <f t="shared" ref="U413:U428" si="98">$B413*O413</f>
        <v>#N/A</v>
      </c>
      <c r="V413" s="74" t="e">
        <f t="shared" ref="V413:V428" si="99">$B413*P413</f>
        <v>#N/A</v>
      </c>
      <c r="W413" s="74" t="e">
        <f t="shared" ref="W413:W428" si="100">$B413*Q413</f>
        <v>#N/A</v>
      </c>
      <c r="X413" s="74" t="e">
        <f t="shared" ref="X413:X428" si="101">$B413*R413</f>
        <v>#N/A</v>
      </c>
      <c r="Y413" s="74" t="e">
        <f t="shared" ref="Y413:Y428" si="102">$B413*S413</f>
        <v>#N/A</v>
      </c>
    </row>
    <row r="414" spans="1:25">
      <c r="A414" s="88">
        <f>'Batch input'!A413</f>
        <v>0</v>
      </c>
      <c r="B414">
        <f>'Batch input'!B413</f>
        <v>0</v>
      </c>
      <c r="C414" t="e">
        <f>VLOOKUP($A414,Data!$D$3:$CJ$128,30,FALSE)</f>
        <v>#N/A</v>
      </c>
      <c r="D414" s="74" t="e">
        <f>VLOOKUP($A414,Data!$D$3:$CJ$128,64,FALSE)</f>
        <v>#N/A</v>
      </c>
      <c r="E414" s="74" t="e">
        <f>VLOOKUP($A414,Data!$D$3:$CJ$128,66,FALSE)</f>
        <v>#N/A</v>
      </c>
      <c r="F414" s="74" t="e">
        <f>VLOOKUP($A414,Data!$D$3:$CJ$128,67,FALSE)</f>
        <v>#N/A</v>
      </c>
      <c r="G414" s="78" t="e">
        <f>VLOOKUP($A414,Data!$D$3:$CJ$128,68,FALSE)</f>
        <v>#N/A</v>
      </c>
      <c r="H414" s="78" t="e">
        <f>VLOOKUP($A414,Data!$D$3:$CJ$128,69,FALSE)</f>
        <v>#N/A</v>
      </c>
      <c r="I414" s="74" t="e">
        <f>VLOOKUP($A414,Data!$D$3:$CJ$128,70,FALSE)</f>
        <v>#N/A</v>
      </c>
      <c r="J414" s="74" t="e">
        <f>VLOOKUP($A414,Data!$D$3:$CJ$128,71,FALSE)</f>
        <v>#N/A</v>
      </c>
      <c r="K414" s="74" t="e">
        <f>VLOOKUP($A414,Data!$D$3:$CJ$128,72,FALSE)</f>
        <v>#N/A</v>
      </c>
      <c r="L414" s="74" t="e">
        <f>VLOOKUP($A414,Data!$D$3:$CJ$128,73,FALSE)</f>
        <v>#N/A</v>
      </c>
      <c r="M414" s="74" t="e">
        <f>VLOOKUP($A414,Data!$D$3:$CJ$128,74,FALSE)</f>
        <v>#N/A</v>
      </c>
      <c r="N414" s="78" t="e">
        <f t="shared" si="91"/>
        <v>#N/A</v>
      </c>
      <c r="O414" s="78" t="e">
        <f t="shared" si="92"/>
        <v>#N/A</v>
      </c>
      <c r="P414" s="78" t="e">
        <f t="shared" si="93"/>
        <v>#N/A</v>
      </c>
      <c r="Q414" s="78" t="e">
        <f t="shared" si="94"/>
        <v>#N/A</v>
      </c>
      <c r="R414" s="78" t="e">
        <f t="shared" si="95"/>
        <v>#N/A</v>
      </c>
      <c r="S414" s="78" t="e">
        <f t="shared" si="96"/>
        <v>#N/A</v>
      </c>
      <c r="T414" s="74" t="e">
        <f t="shared" si="97"/>
        <v>#N/A</v>
      </c>
      <c r="U414" s="74" t="e">
        <f t="shared" si="98"/>
        <v>#N/A</v>
      </c>
      <c r="V414" s="74" t="e">
        <f t="shared" si="99"/>
        <v>#N/A</v>
      </c>
      <c r="W414" s="74" t="e">
        <f t="shared" si="100"/>
        <v>#N/A</v>
      </c>
      <c r="X414" s="74" t="e">
        <f t="shared" si="101"/>
        <v>#N/A</v>
      </c>
      <c r="Y414" s="74" t="e">
        <f t="shared" si="102"/>
        <v>#N/A</v>
      </c>
    </row>
    <row r="415" spans="1:25">
      <c r="A415" s="88">
        <f>'Batch input'!A414</f>
        <v>0</v>
      </c>
      <c r="B415">
        <f>'Batch input'!B414</f>
        <v>0</v>
      </c>
      <c r="C415" t="e">
        <f>VLOOKUP($A415,Data!$D$3:$CJ$128,30,FALSE)</f>
        <v>#N/A</v>
      </c>
      <c r="D415" s="74" t="e">
        <f>VLOOKUP($A415,Data!$D$3:$CJ$128,64,FALSE)</f>
        <v>#N/A</v>
      </c>
      <c r="E415" s="74" t="e">
        <f>VLOOKUP($A415,Data!$D$3:$CJ$128,66,FALSE)</f>
        <v>#N/A</v>
      </c>
      <c r="F415" s="74" t="e">
        <f>VLOOKUP($A415,Data!$D$3:$CJ$128,67,FALSE)</f>
        <v>#N/A</v>
      </c>
      <c r="G415" s="78" t="e">
        <f>VLOOKUP($A415,Data!$D$3:$CJ$128,68,FALSE)</f>
        <v>#N/A</v>
      </c>
      <c r="H415" s="78" t="e">
        <f>VLOOKUP($A415,Data!$D$3:$CJ$128,69,FALSE)</f>
        <v>#N/A</v>
      </c>
      <c r="I415" s="74" t="e">
        <f>VLOOKUP($A415,Data!$D$3:$CJ$128,70,FALSE)</f>
        <v>#N/A</v>
      </c>
      <c r="J415" s="74" t="e">
        <f>VLOOKUP($A415,Data!$D$3:$CJ$128,71,FALSE)</f>
        <v>#N/A</v>
      </c>
      <c r="K415" s="74" t="e">
        <f>VLOOKUP($A415,Data!$D$3:$CJ$128,72,FALSE)</f>
        <v>#N/A</v>
      </c>
      <c r="L415" s="74" t="e">
        <f>VLOOKUP($A415,Data!$D$3:$CJ$128,73,FALSE)</f>
        <v>#N/A</v>
      </c>
      <c r="M415" s="74" t="e">
        <f>VLOOKUP($A415,Data!$D$3:$CJ$128,74,FALSE)</f>
        <v>#N/A</v>
      </c>
      <c r="N415" s="78" t="e">
        <f t="shared" si="91"/>
        <v>#N/A</v>
      </c>
      <c r="O415" s="78" t="e">
        <f t="shared" si="92"/>
        <v>#N/A</v>
      </c>
      <c r="P415" s="78" t="e">
        <f t="shared" si="93"/>
        <v>#N/A</v>
      </c>
      <c r="Q415" s="78" t="e">
        <f t="shared" si="94"/>
        <v>#N/A</v>
      </c>
      <c r="R415" s="78" t="e">
        <f t="shared" si="95"/>
        <v>#N/A</v>
      </c>
      <c r="S415" s="78" t="e">
        <f t="shared" si="96"/>
        <v>#N/A</v>
      </c>
      <c r="T415" s="74" t="e">
        <f t="shared" si="97"/>
        <v>#N/A</v>
      </c>
      <c r="U415" s="74" t="e">
        <f t="shared" si="98"/>
        <v>#N/A</v>
      </c>
      <c r="V415" s="74" t="e">
        <f t="shared" si="99"/>
        <v>#N/A</v>
      </c>
      <c r="W415" s="74" t="e">
        <f t="shared" si="100"/>
        <v>#N/A</v>
      </c>
      <c r="X415" s="74" t="e">
        <f t="shared" si="101"/>
        <v>#N/A</v>
      </c>
      <c r="Y415" s="74" t="e">
        <f t="shared" si="102"/>
        <v>#N/A</v>
      </c>
    </row>
    <row r="416" spans="1:25">
      <c r="A416" s="88">
        <f>'Batch input'!A415</f>
        <v>0</v>
      </c>
      <c r="B416">
        <f>'Batch input'!B415</f>
        <v>0</v>
      </c>
      <c r="C416" t="e">
        <f>VLOOKUP($A416,Data!$D$3:$CJ$128,30,FALSE)</f>
        <v>#N/A</v>
      </c>
      <c r="D416" s="74" t="e">
        <f>VLOOKUP($A416,Data!$D$3:$CJ$128,64,FALSE)</f>
        <v>#N/A</v>
      </c>
      <c r="E416" s="74" t="e">
        <f>VLOOKUP($A416,Data!$D$3:$CJ$128,66,FALSE)</f>
        <v>#N/A</v>
      </c>
      <c r="F416" s="74" t="e">
        <f>VLOOKUP($A416,Data!$D$3:$CJ$128,67,FALSE)</f>
        <v>#N/A</v>
      </c>
      <c r="G416" s="78" t="e">
        <f>VLOOKUP($A416,Data!$D$3:$CJ$128,68,FALSE)</f>
        <v>#N/A</v>
      </c>
      <c r="H416" s="78" t="e">
        <f>VLOOKUP($A416,Data!$D$3:$CJ$128,69,FALSE)</f>
        <v>#N/A</v>
      </c>
      <c r="I416" s="74" t="e">
        <f>VLOOKUP($A416,Data!$D$3:$CJ$128,70,FALSE)</f>
        <v>#N/A</v>
      </c>
      <c r="J416" s="74" t="e">
        <f>VLOOKUP($A416,Data!$D$3:$CJ$128,71,FALSE)</f>
        <v>#N/A</v>
      </c>
      <c r="K416" s="74" t="e">
        <f>VLOOKUP($A416,Data!$D$3:$CJ$128,72,FALSE)</f>
        <v>#N/A</v>
      </c>
      <c r="L416" s="74" t="e">
        <f>VLOOKUP($A416,Data!$D$3:$CJ$128,73,FALSE)</f>
        <v>#N/A</v>
      </c>
      <c r="M416" s="74" t="e">
        <f>VLOOKUP($A416,Data!$D$3:$CJ$128,74,FALSE)</f>
        <v>#N/A</v>
      </c>
      <c r="N416" s="78" t="e">
        <f t="shared" si="91"/>
        <v>#N/A</v>
      </c>
      <c r="O416" s="78" t="e">
        <f t="shared" si="92"/>
        <v>#N/A</v>
      </c>
      <c r="P416" s="78" t="e">
        <f t="shared" si="93"/>
        <v>#N/A</v>
      </c>
      <c r="Q416" s="78" t="e">
        <f t="shared" si="94"/>
        <v>#N/A</v>
      </c>
      <c r="R416" s="78" t="e">
        <f t="shared" si="95"/>
        <v>#N/A</v>
      </c>
      <c r="S416" s="78" t="e">
        <f t="shared" si="96"/>
        <v>#N/A</v>
      </c>
      <c r="T416" s="74" t="e">
        <f t="shared" si="97"/>
        <v>#N/A</v>
      </c>
      <c r="U416" s="74" t="e">
        <f t="shared" si="98"/>
        <v>#N/A</v>
      </c>
      <c r="V416" s="74" t="e">
        <f t="shared" si="99"/>
        <v>#N/A</v>
      </c>
      <c r="W416" s="74" t="e">
        <f t="shared" si="100"/>
        <v>#N/A</v>
      </c>
      <c r="X416" s="74" t="e">
        <f t="shared" si="101"/>
        <v>#N/A</v>
      </c>
      <c r="Y416" s="74" t="e">
        <f t="shared" si="102"/>
        <v>#N/A</v>
      </c>
    </row>
    <row r="417" spans="1:25">
      <c r="A417" s="88">
        <f>'Batch input'!A416</f>
        <v>0</v>
      </c>
      <c r="B417">
        <f>'Batch input'!B416</f>
        <v>0</v>
      </c>
      <c r="C417" t="e">
        <f>VLOOKUP($A417,Data!$D$3:$CJ$128,30,FALSE)</f>
        <v>#N/A</v>
      </c>
      <c r="D417" s="74" t="e">
        <f>VLOOKUP($A417,Data!$D$3:$CJ$128,64,FALSE)</f>
        <v>#N/A</v>
      </c>
      <c r="E417" s="74" t="e">
        <f>VLOOKUP($A417,Data!$D$3:$CJ$128,66,FALSE)</f>
        <v>#N/A</v>
      </c>
      <c r="F417" s="74" t="e">
        <f>VLOOKUP($A417,Data!$D$3:$CJ$128,67,FALSE)</f>
        <v>#N/A</v>
      </c>
      <c r="G417" s="78" t="e">
        <f>VLOOKUP($A417,Data!$D$3:$CJ$128,68,FALSE)</f>
        <v>#N/A</v>
      </c>
      <c r="H417" s="78" t="e">
        <f>VLOOKUP($A417,Data!$D$3:$CJ$128,69,FALSE)</f>
        <v>#N/A</v>
      </c>
      <c r="I417" s="74" t="e">
        <f>VLOOKUP($A417,Data!$D$3:$CJ$128,70,FALSE)</f>
        <v>#N/A</v>
      </c>
      <c r="J417" s="74" t="e">
        <f>VLOOKUP($A417,Data!$D$3:$CJ$128,71,FALSE)</f>
        <v>#N/A</v>
      </c>
      <c r="K417" s="74" t="e">
        <f>VLOOKUP($A417,Data!$D$3:$CJ$128,72,FALSE)</f>
        <v>#N/A</v>
      </c>
      <c r="L417" s="74" t="e">
        <f>VLOOKUP($A417,Data!$D$3:$CJ$128,73,FALSE)</f>
        <v>#N/A</v>
      </c>
      <c r="M417" s="74" t="e">
        <f>VLOOKUP($A417,Data!$D$3:$CJ$128,74,FALSE)</f>
        <v>#N/A</v>
      </c>
      <c r="N417" s="78" t="e">
        <f t="shared" si="91"/>
        <v>#N/A</v>
      </c>
      <c r="O417" s="78" t="e">
        <f t="shared" si="92"/>
        <v>#N/A</v>
      </c>
      <c r="P417" s="78" t="e">
        <f t="shared" si="93"/>
        <v>#N/A</v>
      </c>
      <c r="Q417" s="78" t="e">
        <f t="shared" si="94"/>
        <v>#N/A</v>
      </c>
      <c r="R417" s="78" t="e">
        <f t="shared" si="95"/>
        <v>#N/A</v>
      </c>
      <c r="S417" s="78" t="e">
        <f t="shared" si="96"/>
        <v>#N/A</v>
      </c>
      <c r="T417" s="74" t="e">
        <f t="shared" si="97"/>
        <v>#N/A</v>
      </c>
      <c r="U417" s="74" t="e">
        <f t="shared" si="98"/>
        <v>#N/A</v>
      </c>
      <c r="V417" s="74" t="e">
        <f t="shared" si="99"/>
        <v>#N/A</v>
      </c>
      <c r="W417" s="74" t="e">
        <f t="shared" si="100"/>
        <v>#N/A</v>
      </c>
      <c r="X417" s="74" t="e">
        <f t="shared" si="101"/>
        <v>#N/A</v>
      </c>
      <c r="Y417" s="74" t="e">
        <f t="shared" si="102"/>
        <v>#N/A</v>
      </c>
    </row>
    <row r="418" spans="1:25">
      <c r="A418" s="88">
        <f>'Batch input'!A417</f>
        <v>0</v>
      </c>
      <c r="B418">
        <f>'Batch input'!B417</f>
        <v>0</v>
      </c>
      <c r="C418" t="e">
        <f>VLOOKUP($A418,Data!$D$3:$CJ$128,30,FALSE)</f>
        <v>#N/A</v>
      </c>
      <c r="D418" s="74" t="e">
        <f>VLOOKUP($A418,Data!$D$3:$CJ$128,64,FALSE)</f>
        <v>#N/A</v>
      </c>
      <c r="E418" s="74" t="e">
        <f>VLOOKUP($A418,Data!$D$3:$CJ$128,66,FALSE)</f>
        <v>#N/A</v>
      </c>
      <c r="F418" s="74" t="e">
        <f>VLOOKUP($A418,Data!$D$3:$CJ$128,67,FALSE)</f>
        <v>#N/A</v>
      </c>
      <c r="G418" s="78" t="e">
        <f>VLOOKUP($A418,Data!$D$3:$CJ$128,68,FALSE)</f>
        <v>#N/A</v>
      </c>
      <c r="H418" s="78" t="e">
        <f>VLOOKUP($A418,Data!$D$3:$CJ$128,69,FALSE)</f>
        <v>#N/A</v>
      </c>
      <c r="I418" s="74" t="e">
        <f>VLOOKUP($A418,Data!$D$3:$CJ$128,70,FALSE)</f>
        <v>#N/A</v>
      </c>
      <c r="J418" s="74" t="e">
        <f>VLOOKUP($A418,Data!$D$3:$CJ$128,71,FALSE)</f>
        <v>#N/A</v>
      </c>
      <c r="K418" s="74" t="e">
        <f>VLOOKUP($A418,Data!$D$3:$CJ$128,72,FALSE)</f>
        <v>#N/A</v>
      </c>
      <c r="L418" s="74" t="e">
        <f>VLOOKUP($A418,Data!$D$3:$CJ$128,73,FALSE)</f>
        <v>#N/A</v>
      </c>
      <c r="M418" s="74" t="e">
        <f>VLOOKUP($A418,Data!$D$3:$CJ$128,74,FALSE)</f>
        <v>#N/A</v>
      </c>
      <c r="N418" s="78" t="e">
        <f t="shared" si="91"/>
        <v>#N/A</v>
      </c>
      <c r="O418" s="78" t="e">
        <f t="shared" si="92"/>
        <v>#N/A</v>
      </c>
      <c r="P418" s="78" t="e">
        <f t="shared" si="93"/>
        <v>#N/A</v>
      </c>
      <c r="Q418" s="78" t="e">
        <f t="shared" si="94"/>
        <v>#N/A</v>
      </c>
      <c r="R418" s="78" t="e">
        <f t="shared" si="95"/>
        <v>#N/A</v>
      </c>
      <c r="S418" s="78" t="e">
        <f t="shared" si="96"/>
        <v>#N/A</v>
      </c>
      <c r="T418" s="74" t="e">
        <f t="shared" si="97"/>
        <v>#N/A</v>
      </c>
      <c r="U418" s="74" t="e">
        <f t="shared" si="98"/>
        <v>#N/A</v>
      </c>
      <c r="V418" s="74" t="e">
        <f t="shared" si="99"/>
        <v>#N/A</v>
      </c>
      <c r="W418" s="74" t="e">
        <f t="shared" si="100"/>
        <v>#N/A</v>
      </c>
      <c r="X418" s="74" t="e">
        <f t="shared" si="101"/>
        <v>#N/A</v>
      </c>
      <c r="Y418" s="74" t="e">
        <f t="shared" si="102"/>
        <v>#N/A</v>
      </c>
    </row>
    <row r="419" spans="1:25">
      <c r="A419" s="88">
        <f>'Batch input'!A418</f>
        <v>0</v>
      </c>
      <c r="B419">
        <f>'Batch input'!B418</f>
        <v>0</v>
      </c>
      <c r="C419" t="e">
        <f>VLOOKUP($A419,Data!$D$3:$CJ$128,30,FALSE)</f>
        <v>#N/A</v>
      </c>
      <c r="D419" s="74" t="e">
        <f>VLOOKUP($A419,Data!$D$3:$CJ$128,64,FALSE)</f>
        <v>#N/A</v>
      </c>
      <c r="E419" s="74" t="e">
        <f>VLOOKUP($A419,Data!$D$3:$CJ$128,66,FALSE)</f>
        <v>#N/A</v>
      </c>
      <c r="F419" s="74" t="e">
        <f>VLOOKUP($A419,Data!$D$3:$CJ$128,67,FALSE)</f>
        <v>#N/A</v>
      </c>
      <c r="G419" s="78" t="e">
        <f>VLOOKUP($A419,Data!$D$3:$CJ$128,68,FALSE)</f>
        <v>#N/A</v>
      </c>
      <c r="H419" s="78" t="e">
        <f>VLOOKUP($A419,Data!$D$3:$CJ$128,69,FALSE)</f>
        <v>#N/A</v>
      </c>
      <c r="I419" s="74" t="e">
        <f>VLOOKUP($A419,Data!$D$3:$CJ$128,70,FALSE)</f>
        <v>#N/A</v>
      </c>
      <c r="J419" s="74" t="e">
        <f>VLOOKUP($A419,Data!$D$3:$CJ$128,71,FALSE)</f>
        <v>#N/A</v>
      </c>
      <c r="K419" s="74" t="e">
        <f>VLOOKUP($A419,Data!$D$3:$CJ$128,72,FALSE)</f>
        <v>#N/A</v>
      </c>
      <c r="L419" s="74" t="e">
        <f>VLOOKUP($A419,Data!$D$3:$CJ$128,73,FALSE)</f>
        <v>#N/A</v>
      </c>
      <c r="M419" s="74" t="e">
        <f>VLOOKUP($A419,Data!$D$3:$CJ$128,74,FALSE)</f>
        <v>#N/A</v>
      </c>
      <c r="N419" s="78" t="e">
        <f t="shared" si="91"/>
        <v>#N/A</v>
      </c>
      <c r="O419" s="78" t="e">
        <f t="shared" si="92"/>
        <v>#N/A</v>
      </c>
      <c r="P419" s="78" t="e">
        <f t="shared" si="93"/>
        <v>#N/A</v>
      </c>
      <c r="Q419" s="78" t="e">
        <f t="shared" si="94"/>
        <v>#N/A</v>
      </c>
      <c r="R419" s="78" t="e">
        <f t="shared" si="95"/>
        <v>#N/A</v>
      </c>
      <c r="S419" s="78" t="e">
        <f t="shared" si="96"/>
        <v>#N/A</v>
      </c>
      <c r="T419" s="74" t="e">
        <f t="shared" si="97"/>
        <v>#N/A</v>
      </c>
      <c r="U419" s="74" t="e">
        <f t="shared" si="98"/>
        <v>#N/A</v>
      </c>
      <c r="V419" s="74" t="e">
        <f t="shared" si="99"/>
        <v>#N/A</v>
      </c>
      <c r="W419" s="74" t="e">
        <f t="shared" si="100"/>
        <v>#N/A</v>
      </c>
      <c r="X419" s="74" t="e">
        <f t="shared" si="101"/>
        <v>#N/A</v>
      </c>
      <c r="Y419" s="74" t="e">
        <f t="shared" si="102"/>
        <v>#N/A</v>
      </c>
    </row>
    <row r="420" spans="1:25">
      <c r="A420" s="88">
        <f>'Batch input'!A419</f>
        <v>0</v>
      </c>
      <c r="B420">
        <f>'Batch input'!B419</f>
        <v>0</v>
      </c>
      <c r="C420" t="e">
        <f>VLOOKUP($A420,Data!$D$3:$CJ$128,30,FALSE)</f>
        <v>#N/A</v>
      </c>
      <c r="D420" s="74" t="e">
        <f>VLOOKUP($A420,Data!$D$3:$CJ$128,64,FALSE)</f>
        <v>#N/A</v>
      </c>
      <c r="E420" s="74" t="e">
        <f>VLOOKUP($A420,Data!$D$3:$CJ$128,66,FALSE)</f>
        <v>#N/A</v>
      </c>
      <c r="F420" s="74" t="e">
        <f>VLOOKUP($A420,Data!$D$3:$CJ$128,67,FALSE)</f>
        <v>#N/A</v>
      </c>
      <c r="G420" s="78" t="e">
        <f>VLOOKUP($A420,Data!$D$3:$CJ$128,68,FALSE)</f>
        <v>#N/A</v>
      </c>
      <c r="H420" s="78" t="e">
        <f>VLOOKUP($A420,Data!$D$3:$CJ$128,69,FALSE)</f>
        <v>#N/A</v>
      </c>
      <c r="I420" s="74" t="e">
        <f>VLOOKUP($A420,Data!$D$3:$CJ$128,70,FALSE)</f>
        <v>#N/A</v>
      </c>
      <c r="J420" s="74" t="e">
        <f>VLOOKUP($A420,Data!$D$3:$CJ$128,71,FALSE)</f>
        <v>#N/A</v>
      </c>
      <c r="K420" s="74" t="e">
        <f>VLOOKUP($A420,Data!$D$3:$CJ$128,72,FALSE)</f>
        <v>#N/A</v>
      </c>
      <c r="L420" s="74" t="e">
        <f>VLOOKUP($A420,Data!$D$3:$CJ$128,73,FALSE)</f>
        <v>#N/A</v>
      </c>
      <c r="M420" s="74" t="e">
        <f>VLOOKUP($A420,Data!$D$3:$CJ$128,74,FALSE)</f>
        <v>#N/A</v>
      </c>
      <c r="N420" s="78" t="e">
        <f t="shared" si="91"/>
        <v>#N/A</v>
      </c>
      <c r="O420" s="78" t="e">
        <f t="shared" si="92"/>
        <v>#N/A</v>
      </c>
      <c r="P420" s="78" t="e">
        <f t="shared" si="93"/>
        <v>#N/A</v>
      </c>
      <c r="Q420" s="78" t="e">
        <f t="shared" si="94"/>
        <v>#N/A</v>
      </c>
      <c r="R420" s="78" t="e">
        <f t="shared" si="95"/>
        <v>#N/A</v>
      </c>
      <c r="S420" s="78" t="e">
        <f t="shared" si="96"/>
        <v>#N/A</v>
      </c>
      <c r="T420" s="74" t="e">
        <f t="shared" si="97"/>
        <v>#N/A</v>
      </c>
      <c r="U420" s="74" t="e">
        <f t="shared" si="98"/>
        <v>#N/A</v>
      </c>
      <c r="V420" s="74" t="e">
        <f t="shared" si="99"/>
        <v>#N/A</v>
      </c>
      <c r="W420" s="74" t="e">
        <f t="shared" si="100"/>
        <v>#N/A</v>
      </c>
      <c r="X420" s="74" t="e">
        <f t="shared" si="101"/>
        <v>#N/A</v>
      </c>
      <c r="Y420" s="74" t="e">
        <f t="shared" si="102"/>
        <v>#N/A</v>
      </c>
    </row>
    <row r="421" spans="1:25">
      <c r="A421" s="88">
        <f>'Batch input'!A420</f>
        <v>0</v>
      </c>
      <c r="B421">
        <f>'Batch input'!B420</f>
        <v>0</v>
      </c>
      <c r="C421" t="e">
        <f>VLOOKUP($A421,Data!$D$3:$CJ$128,30,FALSE)</f>
        <v>#N/A</v>
      </c>
      <c r="D421" s="74" t="e">
        <f>VLOOKUP($A421,Data!$D$3:$CJ$128,64,FALSE)</f>
        <v>#N/A</v>
      </c>
      <c r="E421" s="74" t="e">
        <f>VLOOKUP($A421,Data!$D$3:$CJ$128,66,FALSE)</f>
        <v>#N/A</v>
      </c>
      <c r="F421" s="74" t="e">
        <f>VLOOKUP($A421,Data!$D$3:$CJ$128,67,FALSE)</f>
        <v>#N/A</v>
      </c>
      <c r="G421" s="78" t="e">
        <f>VLOOKUP($A421,Data!$D$3:$CJ$128,68,FALSE)</f>
        <v>#N/A</v>
      </c>
      <c r="H421" s="78" t="e">
        <f>VLOOKUP($A421,Data!$D$3:$CJ$128,69,FALSE)</f>
        <v>#N/A</v>
      </c>
      <c r="I421" s="74" t="e">
        <f>VLOOKUP($A421,Data!$D$3:$CJ$128,70,FALSE)</f>
        <v>#N/A</v>
      </c>
      <c r="J421" s="74" t="e">
        <f>VLOOKUP($A421,Data!$D$3:$CJ$128,71,FALSE)</f>
        <v>#N/A</v>
      </c>
      <c r="K421" s="74" t="e">
        <f>VLOOKUP($A421,Data!$D$3:$CJ$128,72,FALSE)</f>
        <v>#N/A</v>
      </c>
      <c r="L421" s="74" t="e">
        <f>VLOOKUP($A421,Data!$D$3:$CJ$128,73,FALSE)</f>
        <v>#N/A</v>
      </c>
      <c r="M421" s="74" t="e">
        <f>VLOOKUP($A421,Data!$D$3:$CJ$128,74,FALSE)</f>
        <v>#N/A</v>
      </c>
      <c r="N421" s="78" t="e">
        <f t="shared" si="91"/>
        <v>#N/A</v>
      </c>
      <c r="O421" s="78" t="e">
        <f t="shared" si="92"/>
        <v>#N/A</v>
      </c>
      <c r="P421" s="78" t="e">
        <f t="shared" si="93"/>
        <v>#N/A</v>
      </c>
      <c r="Q421" s="78" t="e">
        <f t="shared" si="94"/>
        <v>#N/A</v>
      </c>
      <c r="R421" s="78" t="e">
        <f t="shared" si="95"/>
        <v>#N/A</v>
      </c>
      <c r="S421" s="78" t="e">
        <f t="shared" si="96"/>
        <v>#N/A</v>
      </c>
      <c r="T421" s="74" t="e">
        <f t="shared" si="97"/>
        <v>#N/A</v>
      </c>
      <c r="U421" s="74" t="e">
        <f t="shared" si="98"/>
        <v>#N/A</v>
      </c>
      <c r="V421" s="74" t="e">
        <f t="shared" si="99"/>
        <v>#N/A</v>
      </c>
      <c r="W421" s="74" t="e">
        <f t="shared" si="100"/>
        <v>#N/A</v>
      </c>
      <c r="X421" s="74" t="e">
        <f t="shared" si="101"/>
        <v>#N/A</v>
      </c>
      <c r="Y421" s="74" t="e">
        <f t="shared" si="102"/>
        <v>#N/A</v>
      </c>
    </row>
    <row r="422" spans="1:25">
      <c r="A422" s="88">
        <f>'Batch input'!A421</f>
        <v>0</v>
      </c>
      <c r="B422">
        <f>'Batch input'!B421</f>
        <v>0</v>
      </c>
      <c r="C422" t="e">
        <f>VLOOKUP($A422,Data!$D$3:$CJ$128,30,FALSE)</f>
        <v>#N/A</v>
      </c>
      <c r="D422" s="74" t="e">
        <f>VLOOKUP($A422,Data!$D$3:$CJ$128,64,FALSE)</f>
        <v>#N/A</v>
      </c>
      <c r="E422" s="74" t="e">
        <f>VLOOKUP($A422,Data!$D$3:$CJ$128,66,FALSE)</f>
        <v>#N/A</v>
      </c>
      <c r="F422" s="74" t="e">
        <f>VLOOKUP($A422,Data!$D$3:$CJ$128,67,FALSE)</f>
        <v>#N/A</v>
      </c>
      <c r="G422" s="78" t="e">
        <f>VLOOKUP($A422,Data!$D$3:$CJ$128,68,FALSE)</f>
        <v>#N/A</v>
      </c>
      <c r="H422" s="78" t="e">
        <f>VLOOKUP($A422,Data!$D$3:$CJ$128,69,FALSE)</f>
        <v>#N/A</v>
      </c>
      <c r="I422" s="74" t="e">
        <f>VLOOKUP($A422,Data!$D$3:$CJ$128,70,FALSE)</f>
        <v>#N/A</v>
      </c>
      <c r="J422" s="74" t="e">
        <f>VLOOKUP($A422,Data!$D$3:$CJ$128,71,FALSE)</f>
        <v>#N/A</v>
      </c>
      <c r="K422" s="74" t="e">
        <f>VLOOKUP($A422,Data!$D$3:$CJ$128,72,FALSE)</f>
        <v>#N/A</v>
      </c>
      <c r="L422" s="74" t="e">
        <f>VLOOKUP($A422,Data!$D$3:$CJ$128,73,FALSE)</f>
        <v>#N/A</v>
      </c>
      <c r="M422" s="74" t="e">
        <f>VLOOKUP($A422,Data!$D$3:$CJ$128,74,FALSE)</f>
        <v>#N/A</v>
      </c>
      <c r="N422" s="78" t="e">
        <f t="shared" si="91"/>
        <v>#N/A</v>
      </c>
      <c r="O422" s="78" t="e">
        <f t="shared" si="92"/>
        <v>#N/A</v>
      </c>
      <c r="P422" s="78" t="e">
        <f t="shared" si="93"/>
        <v>#N/A</v>
      </c>
      <c r="Q422" s="78" t="e">
        <f t="shared" si="94"/>
        <v>#N/A</v>
      </c>
      <c r="R422" s="78" t="e">
        <f t="shared" si="95"/>
        <v>#N/A</v>
      </c>
      <c r="S422" s="78" t="e">
        <f t="shared" si="96"/>
        <v>#N/A</v>
      </c>
      <c r="T422" s="74" t="e">
        <f t="shared" si="97"/>
        <v>#N/A</v>
      </c>
      <c r="U422" s="74" t="e">
        <f t="shared" si="98"/>
        <v>#N/A</v>
      </c>
      <c r="V422" s="74" t="e">
        <f t="shared" si="99"/>
        <v>#N/A</v>
      </c>
      <c r="W422" s="74" t="e">
        <f t="shared" si="100"/>
        <v>#N/A</v>
      </c>
      <c r="X422" s="74" t="e">
        <f t="shared" si="101"/>
        <v>#N/A</v>
      </c>
      <c r="Y422" s="74" t="e">
        <f t="shared" si="102"/>
        <v>#N/A</v>
      </c>
    </row>
    <row r="423" spans="1:25">
      <c r="A423" s="88">
        <f>'Batch input'!A422</f>
        <v>0</v>
      </c>
      <c r="B423">
        <f>'Batch input'!B422</f>
        <v>0</v>
      </c>
      <c r="C423" t="e">
        <f>VLOOKUP($A423,Data!$D$3:$CJ$128,30,FALSE)</f>
        <v>#N/A</v>
      </c>
      <c r="D423" s="74" t="e">
        <f>VLOOKUP($A423,Data!$D$3:$CJ$128,64,FALSE)</f>
        <v>#N/A</v>
      </c>
      <c r="E423" s="74" t="e">
        <f>VLOOKUP($A423,Data!$D$3:$CJ$128,66,FALSE)</f>
        <v>#N/A</v>
      </c>
      <c r="F423" s="74" t="e">
        <f>VLOOKUP($A423,Data!$D$3:$CJ$128,67,FALSE)</f>
        <v>#N/A</v>
      </c>
      <c r="G423" s="78" t="e">
        <f>VLOOKUP($A423,Data!$D$3:$CJ$128,68,FALSE)</f>
        <v>#N/A</v>
      </c>
      <c r="H423" s="78" t="e">
        <f>VLOOKUP($A423,Data!$D$3:$CJ$128,69,FALSE)</f>
        <v>#N/A</v>
      </c>
      <c r="I423" s="74" t="e">
        <f>VLOOKUP($A423,Data!$D$3:$CJ$128,70,FALSE)</f>
        <v>#N/A</v>
      </c>
      <c r="J423" s="74" t="e">
        <f>VLOOKUP($A423,Data!$D$3:$CJ$128,71,FALSE)</f>
        <v>#N/A</v>
      </c>
      <c r="K423" s="74" t="e">
        <f>VLOOKUP($A423,Data!$D$3:$CJ$128,72,FALSE)</f>
        <v>#N/A</v>
      </c>
      <c r="L423" s="74" t="e">
        <f>VLOOKUP($A423,Data!$D$3:$CJ$128,73,FALSE)</f>
        <v>#N/A</v>
      </c>
      <c r="M423" s="74" t="e">
        <f>VLOOKUP($A423,Data!$D$3:$CJ$128,74,FALSE)</f>
        <v>#N/A</v>
      </c>
      <c r="N423" s="78" t="e">
        <f t="shared" si="91"/>
        <v>#N/A</v>
      </c>
      <c r="O423" s="78" t="e">
        <f t="shared" si="92"/>
        <v>#N/A</v>
      </c>
      <c r="P423" s="78" t="e">
        <f t="shared" si="93"/>
        <v>#N/A</v>
      </c>
      <c r="Q423" s="78" t="e">
        <f t="shared" si="94"/>
        <v>#N/A</v>
      </c>
      <c r="R423" s="78" t="e">
        <f t="shared" si="95"/>
        <v>#N/A</v>
      </c>
      <c r="S423" s="78" t="e">
        <f t="shared" si="96"/>
        <v>#N/A</v>
      </c>
      <c r="T423" s="74" t="e">
        <f t="shared" si="97"/>
        <v>#N/A</v>
      </c>
      <c r="U423" s="74" t="e">
        <f t="shared" si="98"/>
        <v>#N/A</v>
      </c>
      <c r="V423" s="74" t="e">
        <f t="shared" si="99"/>
        <v>#N/A</v>
      </c>
      <c r="W423" s="74" t="e">
        <f t="shared" si="100"/>
        <v>#N/A</v>
      </c>
      <c r="X423" s="74" t="e">
        <f t="shared" si="101"/>
        <v>#N/A</v>
      </c>
      <c r="Y423" s="74" t="e">
        <f t="shared" si="102"/>
        <v>#N/A</v>
      </c>
    </row>
    <row r="424" spans="1:25">
      <c r="A424" s="88">
        <f>'Batch input'!A423</f>
        <v>0</v>
      </c>
      <c r="B424">
        <f>'Batch input'!B423</f>
        <v>0</v>
      </c>
      <c r="C424" t="e">
        <f>VLOOKUP($A424,Data!$D$3:$CJ$128,30,FALSE)</f>
        <v>#N/A</v>
      </c>
      <c r="D424" s="74" t="e">
        <f>VLOOKUP($A424,Data!$D$3:$CJ$128,64,FALSE)</f>
        <v>#N/A</v>
      </c>
      <c r="E424" s="74" t="e">
        <f>VLOOKUP($A424,Data!$D$3:$CJ$128,66,FALSE)</f>
        <v>#N/A</v>
      </c>
      <c r="F424" s="74" t="e">
        <f>VLOOKUP($A424,Data!$D$3:$CJ$128,67,FALSE)</f>
        <v>#N/A</v>
      </c>
      <c r="G424" s="78" t="e">
        <f>VLOOKUP($A424,Data!$D$3:$CJ$128,68,FALSE)</f>
        <v>#N/A</v>
      </c>
      <c r="H424" s="78" t="e">
        <f>VLOOKUP($A424,Data!$D$3:$CJ$128,69,FALSE)</f>
        <v>#N/A</v>
      </c>
      <c r="I424" s="74" t="e">
        <f>VLOOKUP($A424,Data!$D$3:$CJ$128,70,FALSE)</f>
        <v>#N/A</v>
      </c>
      <c r="J424" s="74" t="e">
        <f>VLOOKUP($A424,Data!$D$3:$CJ$128,71,FALSE)</f>
        <v>#N/A</v>
      </c>
      <c r="K424" s="74" t="e">
        <f>VLOOKUP($A424,Data!$D$3:$CJ$128,72,FALSE)</f>
        <v>#N/A</v>
      </c>
      <c r="L424" s="74" t="e">
        <f>VLOOKUP($A424,Data!$D$3:$CJ$128,73,FALSE)</f>
        <v>#N/A</v>
      </c>
      <c r="M424" s="74" t="e">
        <f>VLOOKUP($A424,Data!$D$3:$CJ$128,74,FALSE)</f>
        <v>#N/A</v>
      </c>
      <c r="N424" s="78" t="e">
        <f t="shared" si="91"/>
        <v>#N/A</v>
      </c>
      <c r="O424" s="78" t="e">
        <f t="shared" si="92"/>
        <v>#N/A</v>
      </c>
      <c r="P424" s="78" t="e">
        <f t="shared" si="93"/>
        <v>#N/A</v>
      </c>
      <c r="Q424" s="78" t="e">
        <f t="shared" si="94"/>
        <v>#N/A</v>
      </c>
      <c r="R424" s="78" t="e">
        <f t="shared" si="95"/>
        <v>#N/A</v>
      </c>
      <c r="S424" s="78" t="e">
        <f t="shared" si="96"/>
        <v>#N/A</v>
      </c>
      <c r="T424" s="74" t="e">
        <f t="shared" si="97"/>
        <v>#N/A</v>
      </c>
      <c r="U424" s="74" t="e">
        <f t="shared" si="98"/>
        <v>#N/A</v>
      </c>
      <c r="V424" s="74" t="e">
        <f t="shared" si="99"/>
        <v>#N/A</v>
      </c>
      <c r="W424" s="74" t="e">
        <f t="shared" si="100"/>
        <v>#N/A</v>
      </c>
      <c r="X424" s="74" t="e">
        <f t="shared" si="101"/>
        <v>#N/A</v>
      </c>
      <c r="Y424" s="74" t="e">
        <f t="shared" si="102"/>
        <v>#N/A</v>
      </c>
    </row>
    <row r="425" spans="1:25">
      <c r="A425" s="88">
        <f>'Batch input'!A424</f>
        <v>0</v>
      </c>
      <c r="B425">
        <f>'Batch input'!B424</f>
        <v>0</v>
      </c>
      <c r="C425" t="e">
        <f>VLOOKUP($A425,Data!$D$3:$CJ$128,30,FALSE)</f>
        <v>#N/A</v>
      </c>
      <c r="D425" s="74" t="e">
        <f>VLOOKUP($A425,Data!$D$3:$CJ$128,64,FALSE)</f>
        <v>#N/A</v>
      </c>
      <c r="E425" s="74" t="e">
        <f>VLOOKUP($A425,Data!$D$3:$CJ$128,66,FALSE)</f>
        <v>#N/A</v>
      </c>
      <c r="F425" s="74" t="e">
        <f>VLOOKUP($A425,Data!$D$3:$CJ$128,67,FALSE)</f>
        <v>#N/A</v>
      </c>
      <c r="G425" s="78" t="e">
        <f>VLOOKUP($A425,Data!$D$3:$CJ$128,68,FALSE)</f>
        <v>#N/A</v>
      </c>
      <c r="H425" s="78" t="e">
        <f>VLOOKUP($A425,Data!$D$3:$CJ$128,69,FALSE)</f>
        <v>#N/A</v>
      </c>
      <c r="I425" s="74" t="e">
        <f>VLOOKUP($A425,Data!$D$3:$CJ$128,70,FALSE)</f>
        <v>#N/A</v>
      </c>
      <c r="J425" s="74" t="e">
        <f>VLOOKUP($A425,Data!$D$3:$CJ$128,71,FALSE)</f>
        <v>#N/A</v>
      </c>
      <c r="K425" s="74" t="e">
        <f>VLOOKUP($A425,Data!$D$3:$CJ$128,72,FALSE)</f>
        <v>#N/A</v>
      </c>
      <c r="L425" s="74" t="e">
        <f>VLOOKUP($A425,Data!$D$3:$CJ$128,73,FALSE)</f>
        <v>#N/A</v>
      </c>
      <c r="M425" s="74" t="e">
        <f>VLOOKUP($A425,Data!$D$3:$CJ$128,74,FALSE)</f>
        <v>#N/A</v>
      </c>
      <c r="N425" s="78" t="e">
        <f t="shared" si="91"/>
        <v>#N/A</v>
      </c>
      <c r="O425" s="78" t="e">
        <f t="shared" si="92"/>
        <v>#N/A</v>
      </c>
      <c r="P425" s="78" t="e">
        <f t="shared" si="93"/>
        <v>#N/A</v>
      </c>
      <c r="Q425" s="78" t="e">
        <f t="shared" si="94"/>
        <v>#N/A</v>
      </c>
      <c r="R425" s="78" t="e">
        <f t="shared" si="95"/>
        <v>#N/A</v>
      </c>
      <c r="S425" s="78" t="e">
        <f t="shared" si="96"/>
        <v>#N/A</v>
      </c>
      <c r="T425" s="74" t="e">
        <f t="shared" si="97"/>
        <v>#N/A</v>
      </c>
      <c r="U425" s="74" t="e">
        <f t="shared" si="98"/>
        <v>#N/A</v>
      </c>
      <c r="V425" s="74" t="e">
        <f t="shared" si="99"/>
        <v>#N/A</v>
      </c>
      <c r="W425" s="74" t="e">
        <f t="shared" si="100"/>
        <v>#N/A</v>
      </c>
      <c r="X425" s="74" t="e">
        <f t="shared" si="101"/>
        <v>#N/A</v>
      </c>
      <c r="Y425" s="74" t="e">
        <f t="shared" si="102"/>
        <v>#N/A</v>
      </c>
    </row>
    <row r="426" spans="1:25">
      <c r="A426" s="88">
        <f>'Batch input'!A425</f>
        <v>0</v>
      </c>
      <c r="B426">
        <f>'Batch input'!B425</f>
        <v>0</v>
      </c>
      <c r="C426" t="e">
        <f>VLOOKUP($A426,Data!$D$3:$CJ$128,30,FALSE)</f>
        <v>#N/A</v>
      </c>
      <c r="D426" s="74" t="e">
        <f>VLOOKUP($A426,Data!$D$3:$CJ$128,64,FALSE)</f>
        <v>#N/A</v>
      </c>
      <c r="E426" s="74" t="e">
        <f>VLOOKUP($A426,Data!$D$3:$CJ$128,66,FALSE)</f>
        <v>#N/A</v>
      </c>
      <c r="F426" s="74" t="e">
        <f>VLOOKUP($A426,Data!$D$3:$CJ$128,67,FALSE)</f>
        <v>#N/A</v>
      </c>
      <c r="G426" s="78" t="e">
        <f>VLOOKUP($A426,Data!$D$3:$CJ$128,68,FALSE)</f>
        <v>#N/A</v>
      </c>
      <c r="H426" s="78" t="e">
        <f>VLOOKUP($A426,Data!$D$3:$CJ$128,69,FALSE)</f>
        <v>#N/A</v>
      </c>
      <c r="I426" s="74" t="e">
        <f>VLOOKUP($A426,Data!$D$3:$CJ$128,70,FALSE)</f>
        <v>#N/A</v>
      </c>
      <c r="J426" s="74" t="e">
        <f>VLOOKUP($A426,Data!$D$3:$CJ$128,71,FALSE)</f>
        <v>#N/A</v>
      </c>
      <c r="K426" s="74" t="e">
        <f>VLOOKUP($A426,Data!$D$3:$CJ$128,72,FALSE)</f>
        <v>#N/A</v>
      </c>
      <c r="L426" s="74" t="e">
        <f>VLOOKUP($A426,Data!$D$3:$CJ$128,73,FALSE)</f>
        <v>#N/A</v>
      </c>
      <c r="M426" s="74" t="e">
        <f>VLOOKUP($A426,Data!$D$3:$CJ$128,74,FALSE)</f>
        <v>#N/A</v>
      </c>
      <c r="N426" s="78" t="e">
        <f t="shared" si="91"/>
        <v>#N/A</v>
      </c>
      <c r="O426" s="78" t="e">
        <f t="shared" si="92"/>
        <v>#N/A</v>
      </c>
      <c r="P426" s="78" t="e">
        <f t="shared" si="93"/>
        <v>#N/A</v>
      </c>
      <c r="Q426" s="78" t="e">
        <f t="shared" si="94"/>
        <v>#N/A</v>
      </c>
      <c r="R426" s="78" t="e">
        <f t="shared" si="95"/>
        <v>#N/A</v>
      </c>
      <c r="S426" s="78" t="e">
        <f t="shared" si="96"/>
        <v>#N/A</v>
      </c>
      <c r="T426" s="74" t="e">
        <f t="shared" si="97"/>
        <v>#N/A</v>
      </c>
      <c r="U426" s="74" t="e">
        <f t="shared" si="98"/>
        <v>#N/A</v>
      </c>
      <c r="V426" s="74" t="e">
        <f t="shared" si="99"/>
        <v>#N/A</v>
      </c>
      <c r="W426" s="74" t="e">
        <f t="shared" si="100"/>
        <v>#N/A</v>
      </c>
      <c r="X426" s="74" t="e">
        <f t="shared" si="101"/>
        <v>#N/A</v>
      </c>
      <c r="Y426" s="74" t="e">
        <f t="shared" si="102"/>
        <v>#N/A</v>
      </c>
    </row>
    <row r="427" spans="1:25">
      <c r="A427" s="88">
        <f>'Batch input'!A426</f>
        <v>0</v>
      </c>
      <c r="B427">
        <f>'Batch input'!B426</f>
        <v>0</v>
      </c>
      <c r="C427" t="e">
        <f>VLOOKUP($A427,Data!$D$3:$CJ$128,30,FALSE)</f>
        <v>#N/A</v>
      </c>
      <c r="D427" s="74" t="e">
        <f>VLOOKUP($A427,Data!$D$3:$CJ$128,64,FALSE)</f>
        <v>#N/A</v>
      </c>
      <c r="E427" s="74" t="e">
        <f>VLOOKUP($A427,Data!$D$3:$CJ$128,66,FALSE)</f>
        <v>#N/A</v>
      </c>
      <c r="F427" s="74" t="e">
        <f>VLOOKUP($A427,Data!$D$3:$CJ$128,67,FALSE)</f>
        <v>#N/A</v>
      </c>
      <c r="G427" s="78" t="e">
        <f>VLOOKUP($A427,Data!$D$3:$CJ$128,68,FALSE)</f>
        <v>#N/A</v>
      </c>
      <c r="H427" s="78" t="e">
        <f>VLOOKUP($A427,Data!$D$3:$CJ$128,69,FALSE)</f>
        <v>#N/A</v>
      </c>
      <c r="I427" s="74" t="e">
        <f>VLOOKUP($A427,Data!$D$3:$CJ$128,70,FALSE)</f>
        <v>#N/A</v>
      </c>
      <c r="J427" s="74" t="e">
        <f>VLOOKUP($A427,Data!$D$3:$CJ$128,71,FALSE)</f>
        <v>#N/A</v>
      </c>
      <c r="K427" s="74" t="e">
        <f>VLOOKUP($A427,Data!$D$3:$CJ$128,72,FALSE)</f>
        <v>#N/A</v>
      </c>
      <c r="L427" s="74" t="e">
        <f>VLOOKUP($A427,Data!$D$3:$CJ$128,73,FALSE)</f>
        <v>#N/A</v>
      </c>
      <c r="M427" s="74" t="e">
        <f>VLOOKUP($A427,Data!$D$3:$CJ$128,74,FALSE)</f>
        <v>#N/A</v>
      </c>
      <c r="N427" s="78" t="e">
        <f t="shared" si="91"/>
        <v>#N/A</v>
      </c>
      <c r="O427" s="78" t="e">
        <f t="shared" si="92"/>
        <v>#N/A</v>
      </c>
      <c r="P427" s="78" t="e">
        <f t="shared" si="93"/>
        <v>#N/A</v>
      </c>
      <c r="Q427" s="78" t="e">
        <f t="shared" si="94"/>
        <v>#N/A</v>
      </c>
      <c r="R427" s="78" t="e">
        <f t="shared" si="95"/>
        <v>#N/A</v>
      </c>
      <c r="S427" s="78" t="e">
        <f t="shared" si="96"/>
        <v>#N/A</v>
      </c>
      <c r="T427" s="74" t="e">
        <f t="shared" si="97"/>
        <v>#N/A</v>
      </c>
      <c r="U427" s="74" t="e">
        <f t="shared" si="98"/>
        <v>#N/A</v>
      </c>
      <c r="V427" s="74" t="e">
        <f t="shared" si="99"/>
        <v>#N/A</v>
      </c>
      <c r="W427" s="74" t="e">
        <f t="shared" si="100"/>
        <v>#N/A</v>
      </c>
      <c r="X427" s="74" t="e">
        <f t="shared" si="101"/>
        <v>#N/A</v>
      </c>
      <c r="Y427" s="74" t="e">
        <f t="shared" si="102"/>
        <v>#N/A</v>
      </c>
    </row>
    <row r="428" spans="1:25">
      <c r="A428" s="88">
        <f>'Batch input'!A427</f>
        <v>0</v>
      </c>
      <c r="B428">
        <f>'Batch input'!B427</f>
        <v>0</v>
      </c>
      <c r="C428" t="e">
        <f>VLOOKUP($A428,Data!$D$3:$CJ$128,30,FALSE)</f>
        <v>#N/A</v>
      </c>
      <c r="D428" s="74" t="e">
        <f>VLOOKUP($A428,Data!$D$3:$CJ$128,64,FALSE)</f>
        <v>#N/A</v>
      </c>
      <c r="E428" s="74" t="e">
        <f>VLOOKUP($A428,Data!$D$3:$CJ$128,66,FALSE)</f>
        <v>#N/A</v>
      </c>
      <c r="F428" s="74" t="e">
        <f>VLOOKUP($A428,Data!$D$3:$CJ$128,67,FALSE)</f>
        <v>#N/A</v>
      </c>
      <c r="G428" s="78" t="e">
        <f>VLOOKUP($A428,Data!$D$3:$CJ$128,68,FALSE)</f>
        <v>#N/A</v>
      </c>
      <c r="H428" s="78" t="e">
        <f>VLOOKUP($A428,Data!$D$3:$CJ$128,69,FALSE)</f>
        <v>#N/A</v>
      </c>
      <c r="I428" s="74" t="e">
        <f>VLOOKUP($A428,Data!$D$3:$CJ$128,70,FALSE)</f>
        <v>#N/A</v>
      </c>
      <c r="J428" s="74" t="e">
        <f>VLOOKUP($A428,Data!$D$3:$CJ$128,71,FALSE)</f>
        <v>#N/A</v>
      </c>
      <c r="K428" s="74" t="e">
        <f>VLOOKUP($A428,Data!$D$3:$CJ$128,72,FALSE)</f>
        <v>#N/A</v>
      </c>
      <c r="L428" s="74" t="e">
        <f>VLOOKUP($A428,Data!$D$3:$CJ$128,73,FALSE)</f>
        <v>#N/A</v>
      </c>
      <c r="M428" s="74" t="e">
        <f>VLOOKUP($A428,Data!$D$3:$CJ$128,74,FALSE)</f>
        <v>#N/A</v>
      </c>
      <c r="N428" s="78" t="e">
        <f t="shared" si="91"/>
        <v>#N/A</v>
      </c>
      <c r="O428" s="78" t="e">
        <f t="shared" si="92"/>
        <v>#N/A</v>
      </c>
      <c r="P428" s="78" t="e">
        <f t="shared" si="93"/>
        <v>#N/A</v>
      </c>
      <c r="Q428" s="78" t="e">
        <f t="shared" si="94"/>
        <v>#N/A</v>
      </c>
      <c r="R428" s="78" t="e">
        <f t="shared" si="95"/>
        <v>#N/A</v>
      </c>
      <c r="S428" s="78" t="e">
        <f t="shared" si="96"/>
        <v>#N/A</v>
      </c>
      <c r="T428" s="74" t="e">
        <f t="shared" si="97"/>
        <v>#N/A</v>
      </c>
      <c r="U428" s="74" t="e">
        <f t="shared" si="98"/>
        <v>#N/A</v>
      </c>
      <c r="V428" s="74" t="e">
        <f t="shared" si="99"/>
        <v>#N/A</v>
      </c>
      <c r="W428" s="74" t="e">
        <f t="shared" si="100"/>
        <v>#N/A</v>
      </c>
      <c r="X428" s="74" t="e">
        <f t="shared" si="101"/>
        <v>#N/A</v>
      </c>
      <c r="Y428" s="74" t="e">
        <f t="shared" si="102"/>
        <v>#N/A</v>
      </c>
    </row>
    <row r="429" spans="1:25" ht="13.5" thickBot="1">
      <c r="A429" s="57" t="s">
        <v>619</v>
      </c>
      <c r="B429" s="57">
        <f>SUM(B3:B428)</f>
        <v>0</v>
      </c>
      <c r="C429" s="57"/>
      <c r="D429" s="57"/>
      <c r="E429" s="57"/>
      <c r="F429" s="57"/>
      <c r="G429" s="57"/>
      <c r="H429" s="57"/>
      <c r="I429" s="57"/>
      <c r="J429" s="57"/>
      <c r="K429" s="57"/>
      <c r="L429" s="57"/>
      <c r="M429" s="58"/>
      <c r="N429" s="59"/>
      <c r="O429" s="59"/>
      <c r="P429" s="59"/>
      <c r="Q429" s="59"/>
      <c r="R429" s="59"/>
      <c r="S429" s="59"/>
      <c r="T429" s="59">
        <f t="shared" ref="T429:Y429" si="103">_xlfn.AGGREGATE(9,6,T3:T428)</f>
        <v>0</v>
      </c>
      <c r="U429" s="59">
        <f t="shared" si="103"/>
        <v>0</v>
      </c>
      <c r="V429" s="59">
        <f t="shared" si="103"/>
        <v>0</v>
      </c>
      <c r="W429" s="59">
        <f t="shared" si="103"/>
        <v>0</v>
      </c>
      <c r="X429" s="59">
        <f t="shared" si="103"/>
        <v>0</v>
      </c>
      <c r="Y429" s="59">
        <f t="shared" si="103"/>
        <v>0</v>
      </c>
    </row>
    <row r="430" spans="1:25" ht="13.5" thickTop="1"/>
    <row r="431" spans="1:25">
      <c r="A431" t="s">
        <v>597</v>
      </c>
      <c r="B431" s="73">
        <f>U429</f>
        <v>0</v>
      </c>
    </row>
    <row r="432" spans="1:25">
      <c r="A432" t="s">
        <v>578</v>
      </c>
      <c r="B432" s="73">
        <f>T429</f>
        <v>0</v>
      </c>
    </row>
    <row r="433" spans="1:2">
      <c r="A433" t="s">
        <v>617</v>
      </c>
      <c r="B433" s="73">
        <f>X429</f>
        <v>0</v>
      </c>
    </row>
    <row r="434" spans="1:2">
      <c r="A434" t="s">
        <v>566</v>
      </c>
      <c r="B434" s="73">
        <f>W429</f>
        <v>0</v>
      </c>
    </row>
    <row r="435" spans="1:2">
      <c r="A435" t="s">
        <v>606</v>
      </c>
      <c r="B435" s="73">
        <f>V429</f>
        <v>0</v>
      </c>
    </row>
    <row r="436" spans="1:2">
      <c r="A436" t="s">
        <v>565</v>
      </c>
      <c r="B436" s="73">
        <f>Y429</f>
        <v>0</v>
      </c>
    </row>
    <row r="438" spans="1:2">
      <c r="B438" s="73">
        <f>SUM(B433:B436,B431)</f>
        <v>0</v>
      </c>
    </row>
  </sheetData>
  <conditionalFormatting sqref="A3:C428">
    <cfRule type="expression" dxfId="10" priority="13">
      <formula>ISNA(A3)</formula>
    </cfRule>
    <cfRule type="expression" dxfId="9" priority="14">
      <formula>A3=0</formula>
    </cfRule>
  </conditionalFormatting>
  <conditionalFormatting sqref="D3:F428">
    <cfRule type="expression" dxfId="8" priority="2">
      <formula>D3=0</formula>
    </cfRule>
    <cfRule type="expression" dxfId="7" priority="3">
      <formula>ISNA(D3)</formula>
    </cfRule>
  </conditionalFormatting>
  <conditionalFormatting sqref="G3:H428 N3:S428">
    <cfRule type="cellIs" dxfId="6" priority="15" operator="equal">
      <formula>0</formula>
    </cfRule>
  </conditionalFormatting>
  <conditionalFormatting sqref="G3:H428">
    <cfRule type="expression" dxfId="5" priority="9">
      <formula>ISNA(G3)</formula>
    </cfRule>
  </conditionalFormatting>
  <conditionalFormatting sqref="I3:M428">
    <cfRule type="expression" dxfId="4" priority="4">
      <formula>I3=0</formula>
    </cfRule>
    <cfRule type="expression" dxfId="3" priority="5">
      <formula>ISNA(I3)</formula>
    </cfRule>
  </conditionalFormatting>
  <conditionalFormatting sqref="N3:S428">
    <cfRule type="expression" dxfId="2" priority="1">
      <formula>ISNA(N3)</formula>
    </cfRule>
  </conditionalFormatting>
  <conditionalFormatting sqref="T3:Y428">
    <cfRule type="expression" dxfId="1" priority="6">
      <formula>T3=0</formula>
    </cfRule>
    <cfRule type="expression" dxfId="0" priority="7">
      <formula>ISNA(T3)</formula>
    </cfRule>
  </conditionalFormatting>
  <pageMargins left="0.7" right="0.7" top="0.75" bottom="0.75" header="0.3" footer="0.3"/>
  <ignoredErrors>
    <ignoredError sqref="C3:Y101 B102:Y428" evalError="1"/>
  </ignoredErrors>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D2460"/>
  <sheetViews>
    <sheetView showGridLines="0" workbookViewId="0">
      <pane xSplit="9" ySplit="2" topLeftCell="BV145" activePane="bottomRight" state="frozen"/>
      <selection activeCell="A34" sqref="A34:XFD34"/>
      <selection pane="topRight" activeCell="A34" sqref="A34:XFD34"/>
      <selection pane="bottomLeft" activeCell="A34" sqref="A34:XFD34"/>
      <selection pane="bottomRight" activeCell="BY27" sqref="BY27"/>
    </sheetView>
  </sheetViews>
  <sheetFormatPr defaultColWidth="8.28515625" defaultRowHeight="19.899999999999999" customHeight="1"/>
  <cols>
    <col min="1" max="1" width="9" style="1" bestFit="1" customWidth="1"/>
    <col min="2" max="2" width="17.7109375" style="1" customWidth="1"/>
    <col min="3" max="3" width="33.85546875" style="1" bestFit="1" customWidth="1"/>
    <col min="4" max="4" width="19.7109375" style="1" customWidth="1"/>
    <col min="5" max="5" width="13.140625" style="1" customWidth="1"/>
    <col min="6" max="6" width="8.28515625" style="1" customWidth="1"/>
    <col min="7" max="7" width="15.7109375" style="1" customWidth="1"/>
    <col min="8" max="8" width="25.140625" style="1" customWidth="1"/>
    <col min="9" max="9" width="11.85546875" style="1" customWidth="1"/>
    <col min="10" max="10" width="75.85546875" style="1" customWidth="1"/>
    <col min="11" max="11" width="23.85546875" style="1" customWidth="1"/>
    <col min="12" max="12" width="166.7109375" style="1" customWidth="1"/>
    <col min="13" max="13" width="8.85546875" style="1" customWidth="1"/>
    <col min="14" max="14" width="12" style="1" customWidth="1"/>
    <col min="15" max="15" width="54.42578125" style="1" customWidth="1"/>
    <col min="16" max="16" width="13.42578125" style="1" customWidth="1"/>
    <col min="17" max="17" width="24" style="1" customWidth="1"/>
    <col min="18" max="18" width="11.7109375" style="1" customWidth="1"/>
    <col min="19" max="19" width="14.85546875" style="1" customWidth="1"/>
    <col min="20" max="20" width="13.42578125" style="1" customWidth="1"/>
    <col min="21" max="21" width="5.85546875" style="1" customWidth="1"/>
    <col min="22" max="22" width="15.28515625" style="1" customWidth="1"/>
    <col min="23" max="23" width="20.28515625" style="1" customWidth="1"/>
    <col min="24" max="24" width="18.140625" style="1" customWidth="1"/>
    <col min="25" max="25" width="12.85546875" style="1" customWidth="1"/>
    <col min="26" max="26" width="5.28515625" style="1" customWidth="1"/>
    <col min="27" max="27" width="16.7109375" style="1" customWidth="1"/>
    <col min="28" max="28" width="12" style="1" customWidth="1"/>
    <col min="29" max="29" width="10.85546875" style="1" customWidth="1"/>
    <col min="30" max="30" width="8.85546875" style="1" customWidth="1"/>
    <col min="31" max="31" width="9.85546875" style="1" customWidth="1"/>
    <col min="32" max="32" width="13.7109375" style="1" customWidth="1"/>
    <col min="33" max="33" width="28" style="1" customWidth="1"/>
    <col min="34" max="34" width="14.28515625" style="1" customWidth="1"/>
    <col min="35" max="35" width="21" style="1" customWidth="1"/>
    <col min="36" max="65" width="21" style="1" hidden="1" customWidth="1"/>
    <col min="66" max="66" width="21" style="1" customWidth="1"/>
    <col min="67" max="70" width="8.28515625" style="60"/>
    <col min="71" max="72" width="8.28515625" style="62"/>
    <col min="73" max="76" width="8.28515625" style="60"/>
    <col min="77" max="77" width="8.28515625" style="66"/>
    <col min="78" max="83" width="8.28515625" style="62"/>
    <col min="84" max="84" width="8.28515625" style="63" customWidth="1"/>
    <col min="85" max="85" width="0" style="23" hidden="1" customWidth="1"/>
    <col min="86" max="16384" width="8.28515625" style="1"/>
  </cols>
  <sheetData>
    <row r="1" spans="1:88" ht="53.25" customHeight="1">
      <c r="A1" s="1" t="s">
        <v>730</v>
      </c>
      <c r="B1" s="87" t="s">
        <v>673</v>
      </c>
      <c r="C1" s="87"/>
      <c r="D1" s="87" t="s">
        <v>672</v>
      </c>
      <c r="BO1" s="64" t="s">
        <v>622</v>
      </c>
      <c r="BS1" s="65" t="s">
        <v>623</v>
      </c>
      <c r="BU1" s="64" t="s">
        <v>625</v>
      </c>
      <c r="BX1" s="61"/>
      <c r="BY1" s="61"/>
      <c r="BZ1" s="65" t="s">
        <v>628</v>
      </c>
      <c r="CE1" s="63"/>
      <c r="CG1" s="1"/>
    </row>
    <row r="2" spans="1:88" ht="20.25" customHeight="1">
      <c r="D2" s="2" t="s">
        <v>0</v>
      </c>
      <c r="E2" s="2" t="s">
        <v>1</v>
      </c>
      <c r="F2" s="2" t="s">
        <v>2</v>
      </c>
      <c r="G2" s="2" t="s">
        <v>3</v>
      </c>
      <c r="H2" s="2" t="s">
        <v>4</v>
      </c>
      <c r="I2" s="2" t="s">
        <v>5</v>
      </c>
      <c r="J2" s="2" t="s">
        <v>6</v>
      </c>
      <c r="K2" s="2" t="s">
        <v>7</v>
      </c>
      <c r="L2" s="2" t="s">
        <v>8</v>
      </c>
      <c r="M2" s="2" t="s">
        <v>9</v>
      </c>
      <c r="N2" s="2" t="s">
        <v>10</v>
      </c>
      <c r="O2" s="2" t="s">
        <v>11</v>
      </c>
      <c r="P2" s="2" t="s">
        <v>12</v>
      </c>
      <c r="Q2" s="2" t="s">
        <v>13</v>
      </c>
      <c r="R2" s="2" t="s">
        <v>14</v>
      </c>
      <c r="S2" s="2" t="s">
        <v>15</v>
      </c>
      <c r="T2" s="2" t="s">
        <v>16</v>
      </c>
      <c r="U2" s="2" t="s">
        <v>17</v>
      </c>
      <c r="V2" s="2" t="s">
        <v>18</v>
      </c>
      <c r="W2" s="2" t="s">
        <v>19</v>
      </c>
      <c r="X2" s="2" t="s">
        <v>20</v>
      </c>
      <c r="Y2" s="2" t="s">
        <v>21</v>
      </c>
      <c r="Z2" s="2" t="s">
        <v>22</v>
      </c>
      <c r="AA2" s="2" t="s">
        <v>23</v>
      </c>
      <c r="AB2" s="2" t="s">
        <v>24</v>
      </c>
      <c r="AC2" s="2" t="s">
        <v>25</v>
      </c>
      <c r="AD2" s="2" t="s">
        <v>26</v>
      </c>
      <c r="AE2" s="2" t="s">
        <v>27</v>
      </c>
      <c r="AF2" s="2" t="s">
        <v>28</v>
      </c>
      <c r="AG2" s="2" t="s">
        <v>29</v>
      </c>
      <c r="AH2" s="2" t="s">
        <v>30</v>
      </c>
      <c r="AI2" s="2" t="s">
        <v>31</v>
      </c>
      <c r="AJ2" s="2" t="s">
        <v>32</v>
      </c>
      <c r="AK2" s="2" t="s">
        <v>33</v>
      </c>
      <c r="AL2" s="2" t="s">
        <v>34</v>
      </c>
      <c r="AM2" s="2" t="s">
        <v>35</v>
      </c>
      <c r="AN2" s="2" t="s">
        <v>36</v>
      </c>
      <c r="AO2" s="2" t="s">
        <v>37</v>
      </c>
      <c r="AP2" s="2" t="s">
        <v>38</v>
      </c>
      <c r="AQ2" s="2" t="s">
        <v>39</v>
      </c>
      <c r="AR2" s="2" t="s">
        <v>40</v>
      </c>
      <c r="AS2" s="2" t="s">
        <v>41</v>
      </c>
      <c r="AT2" s="2" t="s">
        <v>42</v>
      </c>
      <c r="AU2" s="2" t="s">
        <v>43</v>
      </c>
      <c r="AV2" s="2" t="s">
        <v>44</v>
      </c>
      <c r="AW2" s="2" t="s">
        <v>45</v>
      </c>
      <c r="AX2" s="2" t="s">
        <v>46</v>
      </c>
      <c r="AY2" s="2" t="s">
        <v>47</v>
      </c>
      <c r="AZ2" s="2" t="s">
        <v>48</v>
      </c>
      <c r="BA2" s="2" t="s">
        <v>49</v>
      </c>
      <c r="BB2" s="2" t="s">
        <v>50</v>
      </c>
      <c r="BC2" s="2" t="s">
        <v>51</v>
      </c>
      <c r="BD2" s="2" t="s">
        <v>52</v>
      </c>
      <c r="BE2" s="2" t="s">
        <v>53</v>
      </c>
      <c r="BF2" s="2" t="s">
        <v>54</v>
      </c>
      <c r="BG2" s="2" t="s">
        <v>55</v>
      </c>
      <c r="BH2" s="2" t="s">
        <v>56</v>
      </c>
      <c r="BI2" s="2" t="s">
        <v>57</v>
      </c>
      <c r="BJ2" s="2" t="s">
        <v>58</v>
      </c>
      <c r="BK2" s="2" t="s">
        <v>59</v>
      </c>
      <c r="BL2" s="2" t="s">
        <v>59</v>
      </c>
      <c r="BM2" s="2" t="s">
        <v>60</v>
      </c>
      <c r="BO2" s="60" t="s">
        <v>614</v>
      </c>
      <c r="BP2" s="60" t="s">
        <v>621</v>
      </c>
      <c r="BQ2" s="60" t="s">
        <v>565</v>
      </c>
      <c r="BR2" s="60" t="s">
        <v>606</v>
      </c>
      <c r="BS2" s="62" t="s">
        <v>614</v>
      </c>
      <c r="BT2" s="62" t="s">
        <v>624</v>
      </c>
      <c r="BU2" s="60" t="s">
        <v>626</v>
      </c>
      <c r="BV2" s="60" t="s">
        <v>614</v>
      </c>
      <c r="BW2" s="60" t="s">
        <v>566</v>
      </c>
      <c r="BX2" s="61" t="s">
        <v>617</v>
      </c>
      <c r="BY2" s="61" t="s">
        <v>627</v>
      </c>
      <c r="BZ2" s="62" t="s">
        <v>626</v>
      </c>
      <c r="CA2" s="62" t="s">
        <v>614</v>
      </c>
      <c r="CB2" s="62" t="s">
        <v>621</v>
      </c>
      <c r="CC2" s="62" t="s">
        <v>606</v>
      </c>
      <c r="CD2" s="62" t="s">
        <v>566</v>
      </c>
      <c r="CE2" s="62" t="s">
        <v>617</v>
      </c>
      <c r="CF2" s="62" t="s">
        <v>565</v>
      </c>
      <c r="CG2" s="21" t="s">
        <v>618</v>
      </c>
      <c r="CI2" s="1" t="s">
        <v>563</v>
      </c>
    </row>
    <row r="3" spans="1:88" ht="19.5" customHeight="1">
      <c r="A3" s="84">
        <v>10000096</v>
      </c>
      <c r="B3" s="84">
        <v>10000096</v>
      </c>
      <c r="C3" s="84"/>
      <c r="D3" s="3">
        <v>10000096</v>
      </c>
      <c r="E3" s="4" t="s">
        <v>61</v>
      </c>
      <c r="F3" s="5" t="s">
        <v>62</v>
      </c>
      <c r="G3" s="5" t="s">
        <v>63</v>
      </c>
      <c r="H3" s="5" t="s">
        <v>64</v>
      </c>
      <c r="I3" s="5" t="s">
        <v>65</v>
      </c>
      <c r="J3" s="6"/>
      <c r="K3" s="6"/>
      <c r="L3" s="5" t="s">
        <v>66</v>
      </c>
      <c r="M3" s="5" t="s">
        <v>67</v>
      </c>
      <c r="N3" s="5" t="s">
        <v>68</v>
      </c>
      <c r="O3" s="5" t="s">
        <v>69</v>
      </c>
      <c r="P3" s="7">
        <v>1</v>
      </c>
      <c r="Q3" s="5" t="s">
        <v>70</v>
      </c>
      <c r="R3" s="5" t="s">
        <v>71</v>
      </c>
      <c r="S3" s="5" t="s">
        <v>72</v>
      </c>
      <c r="T3" s="7">
        <v>8721284290001</v>
      </c>
      <c r="U3" s="6"/>
      <c r="V3" s="5" t="s">
        <v>73</v>
      </c>
      <c r="W3" s="5" t="s">
        <v>74</v>
      </c>
      <c r="X3" s="5" t="s">
        <v>75</v>
      </c>
      <c r="Y3" s="6"/>
      <c r="Z3" s="6"/>
      <c r="AA3" s="7">
        <v>9.6999999999999993</v>
      </c>
      <c r="AB3" s="6"/>
      <c r="AC3" s="5" t="s">
        <v>76</v>
      </c>
      <c r="AD3" s="7">
        <v>48043158</v>
      </c>
      <c r="AE3" s="5" t="s">
        <v>77</v>
      </c>
      <c r="AF3" s="6"/>
      <c r="AG3" s="5" t="s">
        <v>78</v>
      </c>
      <c r="AH3" s="7">
        <v>0.8</v>
      </c>
      <c r="AI3" s="7">
        <v>48</v>
      </c>
      <c r="AJ3" s="7">
        <v>1.2</v>
      </c>
      <c r="AK3" s="7">
        <v>1.2</v>
      </c>
      <c r="AL3" s="5" t="s">
        <v>79</v>
      </c>
      <c r="AM3" s="5" t="s">
        <v>62</v>
      </c>
      <c r="AN3" s="5" t="s">
        <v>80</v>
      </c>
      <c r="AO3" s="7">
        <v>464</v>
      </c>
      <c r="AP3" s="5" t="s">
        <v>81</v>
      </c>
      <c r="AQ3" s="5" t="s">
        <v>82</v>
      </c>
      <c r="AR3" s="5" t="s">
        <v>83</v>
      </c>
      <c r="AS3" s="5" t="s">
        <v>84</v>
      </c>
      <c r="AT3" s="5" t="s">
        <v>62</v>
      </c>
      <c r="AU3" s="6"/>
      <c r="AV3" s="8">
        <v>0.85</v>
      </c>
      <c r="AW3" s="8">
        <v>0.15</v>
      </c>
      <c r="AX3" s="6"/>
      <c r="AY3" s="8">
        <v>0.85</v>
      </c>
      <c r="AZ3" s="7">
        <v>0</v>
      </c>
      <c r="BA3" s="8">
        <v>0.15</v>
      </c>
      <c r="BB3" s="7">
        <v>125</v>
      </c>
      <c r="BC3" s="7">
        <v>12</v>
      </c>
      <c r="BD3" s="7">
        <v>4.0999999999999996</v>
      </c>
      <c r="BE3" s="5" t="s">
        <v>85</v>
      </c>
      <c r="BF3" s="5" t="s">
        <v>85</v>
      </c>
      <c r="BG3" s="9" t="s">
        <v>86</v>
      </c>
      <c r="BH3" s="5" t="s">
        <v>87</v>
      </c>
      <c r="BI3" s="5" t="s">
        <v>88</v>
      </c>
      <c r="BJ3" s="5" t="s">
        <v>89</v>
      </c>
      <c r="BK3" s="6"/>
      <c r="BL3" s="6"/>
      <c r="BM3" s="5" t="s">
        <v>90</v>
      </c>
      <c r="BO3" s="60">
        <f>'LookUp Roll&amp;Packs'!$U$9</f>
        <v>43.19</v>
      </c>
      <c r="BR3" s="60">
        <f>'LookUp Roll&amp;Packs'!$V$9</f>
        <v>5.22</v>
      </c>
      <c r="BT3" s="62">
        <f>AI3</f>
        <v>48</v>
      </c>
      <c r="BU3" s="60">
        <f>'LookUp Roll&amp;Packs'!$BI$9</f>
        <v>22.56</v>
      </c>
      <c r="BV3" s="60">
        <f>'LookUp Roll&amp;Packs'!$CO$9</f>
        <v>2796.7</v>
      </c>
      <c r="BW3" s="60">
        <f>'LookUp Roll&amp;Packs'!$CQ$9</f>
        <v>175.14</v>
      </c>
      <c r="BX3" s="61">
        <f>'LookUp Roll&amp;Packs'!$CP$9</f>
        <v>66.8</v>
      </c>
      <c r="BY3" s="61">
        <v>1</v>
      </c>
      <c r="BZ3" s="62">
        <f t="shared" ref="BZ3:BZ5" si="0">BU3</f>
        <v>22.56</v>
      </c>
      <c r="CA3" s="67">
        <f>((BT3*BO3)+(BS3*BY3)+BV3)/1000</f>
        <v>4.8698199999999998</v>
      </c>
      <c r="CB3" s="67"/>
      <c r="CC3" s="67">
        <f>(BT3*BR3)/1000</f>
        <v>0.25056</v>
      </c>
      <c r="CD3" s="67">
        <f>BW3/1000</f>
        <v>0.17513999999999999</v>
      </c>
      <c r="CE3" s="67">
        <f>BX3/1000</f>
        <v>6.6799999999999998E-2</v>
      </c>
      <c r="CH3" s="54" t="s">
        <v>564</v>
      </c>
      <c r="CI3" s="1" t="s">
        <v>564</v>
      </c>
      <c r="CJ3" s="1" t="s">
        <v>564</v>
      </c>
    </row>
    <row r="4" spans="1:88" ht="19.5" customHeight="1">
      <c r="A4" s="84">
        <v>10000097</v>
      </c>
      <c r="B4" s="84">
        <v>10000097</v>
      </c>
      <c r="C4" s="84"/>
      <c r="D4" s="10">
        <v>10000097</v>
      </c>
      <c r="E4" s="11" t="s">
        <v>61</v>
      </c>
      <c r="F4" s="12" t="s">
        <v>62</v>
      </c>
      <c r="G4" s="12" t="s">
        <v>63</v>
      </c>
      <c r="H4" s="12" t="s">
        <v>64</v>
      </c>
      <c r="I4" s="12" t="s">
        <v>91</v>
      </c>
      <c r="J4" s="13"/>
      <c r="K4" s="13"/>
      <c r="L4" s="12" t="s">
        <v>92</v>
      </c>
      <c r="M4" s="12" t="s">
        <v>67</v>
      </c>
      <c r="N4" s="12" t="s">
        <v>68</v>
      </c>
      <c r="O4" s="12" t="s">
        <v>69</v>
      </c>
      <c r="P4" s="14">
        <v>1</v>
      </c>
      <c r="Q4" s="12" t="s">
        <v>70</v>
      </c>
      <c r="R4" s="12" t="s">
        <v>93</v>
      </c>
      <c r="S4" s="12" t="s">
        <v>72</v>
      </c>
      <c r="T4" s="14">
        <v>8721284290018</v>
      </c>
      <c r="U4" s="13"/>
      <c r="V4" s="12" t="s">
        <v>73</v>
      </c>
      <c r="W4" s="12" t="s">
        <v>74</v>
      </c>
      <c r="X4" s="12" t="s">
        <v>75</v>
      </c>
      <c r="Y4" s="12" t="s">
        <v>93</v>
      </c>
      <c r="Z4" s="13"/>
      <c r="AA4" s="14">
        <v>9.5</v>
      </c>
      <c r="AB4" s="13"/>
      <c r="AC4" s="12" t="s">
        <v>76</v>
      </c>
      <c r="AD4" s="14">
        <v>48043158</v>
      </c>
      <c r="AE4" s="12" t="s">
        <v>77</v>
      </c>
      <c r="AF4" s="13"/>
      <c r="AG4" s="12" t="s">
        <v>94</v>
      </c>
      <c r="AH4" s="14">
        <v>0.8</v>
      </c>
      <c r="AI4" s="14">
        <v>48</v>
      </c>
      <c r="AJ4" s="14">
        <v>1.2</v>
      </c>
      <c r="AK4" s="14">
        <v>1.2</v>
      </c>
      <c r="AL4" s="12" t="s">
        <v>79</v>
      </c>
      <c r="AM4" s="12" t="s">
        <v>62</v>
      </c>
      <c r="AN4" s="12" t="s">
        <v>80</v>
      </c>
      <c r="AO4" s="14">
        <v>458</v>
      </c>
      <c r="AP4" s="12" t="s">
        <v>81</v>
      </c>
      <c r="AQ4" s="12" t="s">
        <v>82</v>
      </c>
      <c r="AR4" s="12" t="s">
        <v>83</v>
      </c>
      <c r="AS4" s="12" t="s">
        <v>84</v>
      </c>
      <c r="AT4" s="12" t="s">
        <v>62</v>
      </c>
      <c r="AU4" s="13"/>
      <c r="AV4" s="15">
        <v>0.85</v>
      </c>
      <c r="AW4" s="15">
        <v>0.15</v>
      </c>
      <c r="AX4" s="13"/>
      <c r="AY4" s="15">
        <v>0.85</v>
      </c>
      <c r="AZ4" s="14">
        <v>0</v>
      </c>
      <c r="BA4" s="15">
        <v>0.15</v>
      </c>
      <c r="BB4" s="14">
        <v>133</v>
      </c>
      <c r="BC4" s="14">
        <v>12</v>
      </c>
      <c r="BD4" s="14">
        <v>5.5</v>
      </c>
      <c r="BE4" s="12" t="s">
        <v>85</v>
      </c>
      <c r="BF4" s="12" t="s">
        <v>85</v>
      </c>
      <c r="BG4" s="16" t="s">
        <v>86</v>
      </c>
      <c r="BH4" s="12" t="s">
        <v>87</v>
      </c>
      <c r="BI4" s="12" t="s">
        <v>88</v>
      </c>
      <c r="BJ4" s="12" t="s">
        <v>89</v>
      </c>
      <c r="BK4" s="13"/>
      <c r="BL4" s="13"/>
      <c r="BM4" s="12" t="s">
        <v>90</v>
      </c>
      <c r="BO4" s="60">
        <f>'LookUp Roll&amp;Packs'!$U$9</f>
        <v>43.19</v>
      </c>
      <c r="BR4" s="60">
        <f>'LookUp Roll&amp;Packs'!$V$9</f>
        <v>5.22</v>
      </c>
      <c r="BT4" s="62">
        <f t="shared" ref="BT4:BT5" si="1">AI4</f>
        <v>48</v>
      </c>
      <c r="BU4" s="60">
        <f>'LookUp Roll&amp;Packs'!$BI$9</f>
        <v>22.56</v>
      </c>
      <c r="BV4" s="60">
        <f>'LookUp Roll&amp;Packs'!$CO$9</f>
        <v>2796.7</v>
      </c>
      <c r="BW4" s="60">
        <f>'LookUp Roll&amp;Packs'!$CQ$9</f>
        <v>175.14</v>
      </c>
      <c r="BX4" s="61">
        <f>'LookUp Roll&amp;Packs'!$CP$9</f>
        <v>66.8</v>
      </c>
      <c r="BY4" s="61">
        <v>1</v>
      </c>
      <c r="BZ4" s="62">
        <f t="shared" si="0"/>
        <v>22.56</v>
      </c>
      <c r="CA4" s="67">
        <f>((AI4*BO4)+BV4)/1000</f>
        <v>4.8698199999999998</v>
      </c>
      <c r="CB4" s="67"/>
      <c r="CC4" s="67">
        <f>(AI4*BR4)/1000</f>
        <v>0.25056</v>
      </c>
      <c r="CD4" s="67">
        <f>BW4/1000</f>
        <v>0.17513999999999999</v>
      </c>
      <c r="CE4" s="67">
        <f t="shared" ref="CE4:CE5" si="2">BX4/1000</f>
        <v>6.6799999999999998E-2</v>
      </c>
      <c r="CH4" s="54" t="s">
        <v>564</v>
      </c>
      <c r="CI4" s="1" t="s">
        <v>564</v>
      </c>
      <c r="CJ4" s="1" t="s">
        <v>564</v>
      </c>
    </row>
    <row r="5" spans="1:88" ht="19.5" customHeight="1">
      <c r="A5" s="84">
        <v>10000098</v>
      </c>
      <c r="B5" s="84">
        <v>10000098</v>
      </c>
      <c r="C5" s="84"/>
      <c r="D5" s="10">
        <v>10000098</v>
      </c>
      <c r="E5" s="11" t="s">
        <v>61</v>
      </c>
      <c r="F5" s="12" t="s">
        <v>62</v>
      </c>
      <c r="G5" s="12" t="s">
        <v>63</v>
      </c>
      <c r="H5" s="12" t="s">
        <v>64</v>
      </c>
      <c r="I5" s="12" t="s">
        <v>95</v>
      </c>
      <c r="J5" s="13"/>
      <c r="K5" s="13"/>
      <c r="L5" s="12" t="s">
        <v>92</v>
      </c>
      <c r="M5" s="12" t="s">
        <v>67</v>
      </c>
      <c r="N5" s="12" t="s">
        <v>68</v>
      </c>
      <c r="O5" s="12" t="s">
        <v>69</v>
      </c>
      <c r="P5" s="14">
        <v>1</v>
      </c>
      <c r="Q5" s="12" t="s">
        <v>70</v>
      </c>
      <c r="R5" s="12" t="s">
        <v>71</v>
      </c>
      <c r="S5" s="12" t="s">
        <v>72</v>
      </c>
      <c r="T5" s="14">
        <v>8721284290025</v>
      </c>
      <c r="U5" s="13"/>
      <c r="V5" s="12" t="s">
        <v>73</v>
      </c>
      <c r="W5" s="12" t="s">
        <v>74</v>
      </c>
      <c r="X5" s="12" t="s">
        <v>75</v>
      </c>
      <c r="Y5" s="12" t="s">
        <v>96</v>
      </c>
      <c r="Z5" s="13"/>
      <c r="AA5" s="14">
        <v>9.6999999999999993</v>
      </c>
      <c r="AB5" s="13"/>
      <c r="AC5" s="12" t="s">
        <v>76</v>
      </c>
      <c r="AD5" s="14">
        <v>48043158</v>
      </c>
      <c r="AE5" s="12" t="s">
        <v>77</v>
      </c>
      <c r="AF5" s="13"/>
      <c r="AG5" s="12" t="s">
        <v>97</v>
      </c>
      <c r="AH5" s="14">
        <v>0.8</v>
      </c>
      <c r="AI5" s="14">
        <v>48</v>
      </c>
      <c r="AJ5" s="14">
        <v>1.2</v>
      </c>
      <c r="AK5" s="14">
        <v>1.2</v>
      </c>
      <c r="AL5" s="12" t="s">
        <v>79</v>
      </c>
      <c r="AM5" s="12" t="s">
        <v>62</v>
      </c>
      <c r="AN5" s="12" t="s">
        <v>80</v>
      </c>
      <c r="AO5" s="14">
        <v>464</v>
      </c>
      <c r="AP5" s="12" t="s">
        <v>81</v>
      </c>
      <c r="AQ5" s="12" t="s">
        <v>82</v>
      </c>
      <c r="AR5" s="12" t="s">
        <v>83</v>
      </c>
      <c r="AS5" s="12" t="s">
        <v>84</v>
      </c>
      <c r="AT5" s="12" t="s">
        <v>62</v>
      </c>
      <c r="AU5" s="13"/>
      <c r="AV5" s="15">
        <v>0.85</v>
      </c>
      <c r="AW5" s="15">
        <v>0.15</v>
      </c>
      <c r="AX5" s="13"/>
      <c r="AY5" s="15">
        <v>0.85</v>
      </c>
      <c r="AZ5" s="14">
        <v>0</v>
      </c>
      <c r="BA5" s="15">
        <v>0.15</v>
      </c>
      <c r="BB5" s="14">
        <v>125</v>
      </c>
      <c r="BC5" s="14">
        <v>12</v>
      </c>
      <c r="BD5" s="14">
        <v>4.0999999999999996</v>
      </c>
      <c r="BE5" s="12" t="s">
        <v>85</v>
      </c>
      <c r="BF5" s="12" t="s">
        <v>85</v>
      </c>
      <c r="BG5" s="16" t="s">
        <v>86</v>
      </c>
      <c r="BH5" s="12" t="s">
        <v>87</v>
      </c>
      <c r="BI5" s="12" t="s">
        <v>88</v>
      </c>
      <c r="BJ5" s="12" t="s">
        <v>89</v>
      </c>
      <c r="BK5" s="13"/>
      <c r="BL5" s="13"/>
      <c r="BM5" s="12" t="s">
        <v>90</v>
      </c>
      <c r="BO5" s="60">
        <f>'LookUp Roll&amp;Packs'!$U$9</f>
        <v>43.19</v>
      </c>
      <c r="BR5" s="60">
        <f>'LookUp Roll&amp;Packs'!$V$9</f>
        <v>5.22</v>
      </c>
      <c r="BT5" s="62">
        <f t="shared" si="1"/>
        <v>48</v>
      </c>
      <c r="BU5" s="60">
        <f>'LookUp Roll&amp;Packs'!$BI$9</f>
        <v>22.56</v>
      </c>
      <c r="BV5" s="60">
        <f>'LookUp Roll&amp;Packs'!$CO$9</f>
        <v>2796.7</v>
      </c>
      <c r="BW5" s="60">
        <f>'LookUp Roll&amp;Packs'!$CQ$9</f>
        <v>175.14</v>
      </c>
      <c r="BX5" s="61">
        <f>'LookUp Roll&amp;Packs'!$CP$9</f>
        <v>66.8</v>
      </c>
      <c r="BY5" s="61">
        <v>1</v>
      </c>
      <c r="BZ5" s="62">
        <f t="shared" si="0"/>
        <v>22.56</v>
      </c>
      <c r="CA5" s="67">
        <f>((AI5*BO5)+BV5)/1000</f>
        <v>4.8698199999999998</v>
      </c>
      <c r="CB5" s="67"/>
      <c r="CC5" s="67">
        <f>(AI5*BR5)/1000</f>
        <v>0.25056</v>
      </c>
      <c r="CD5" s="67">
        <f>BW5/1000</f>
        <v>0.17513999999999999</v>
      </c>
      <c r="CE5" s="67">
        <f t="shared" si="2"/>
        <v>6.6799999999999998E-2</v>
      </c>
      <c r="CH5" s="54" t="s">
        <v>564</v>
      </c>
      <c r="CI5" s="1" t="s">
        <v>564</v>
      </c>
      <c r="CJ5" s="1" t="s">
        <v>564</v>
      </c>
    </row>
    <row r="6" spans="1:88" ht="19.5" customHeight="1">
      <c r="A6" s="84">
        <v>10000102</v>
      </c>
      <c r="B6" s="84">
        <v>10000102</v>
      </c>
      <c r="C6" s="84"/>
      <c r="D6" s="10">
        <v>10000102</v>
      </c>
      <c r="E6" s="11" t="s">
        <v>61</v>
      </c>
      <c r="F6" s="12" t="s">
        <v>62</v>
      </c>
      <c r="G6" s="12" t="s">
        <v>63</v>
      </c>
      <c r="H6" s="12" t="s">
        <v>64</v>
      </c>
      <c r="I6" s="12" t="s">
        <v>98</v>
      </c>
      <c r="J6" s="13"/>
      <c r="K6" s="13"/>
      <c r="L6" s="12" t="s">
        <v>64</v>
      </c>
      <c r="M6" s="12" t="s">
        <v>99</v>
      </c>
      <c r="N6" s="12" t="s">
        <v>100</v>
      </c>
      <c r="O6" s="12" t="s">
        <v>101</v>
      </c>
      <c r="P6" s="14">
        <v>2</v>
      </c>
      <c r="Q6" s="12" t="s">
        <v>102</v>
      </c>
      <c r="R6" s="12" t="s">
        <v>71</v>
      </c>
      <c r="S6" s="12" t="s">
        <v>72</v>
      </c>
      <c r="T6" s="14">
        <v>8721284290032</v>
      </c>
      <c r="U6" s="13"/>
      <c r="V6" s="12" t="s">
        <v>103</v>
      </c>
      <c r="W6" s="12" t="s">
        <v>104</v>
      </c>
      <c r="X6" s="12" t="s">
        <v>75</v>
      </c>
      <c r="Y6" s="13"/>
      <c r="Z6" s="13"/>
      <c r="AA6" s="14">
        <v>8.3000000000000007</v>
      </c>
      <c r="AB6" s="12" t="s">
        <v>105</v>
      </c>
      <c r="AC6" s="13"/>
      <c r="AD6" s="14">
        <v>48043158</v>
      </c>
      <c r="AE6" s="12" t="s">
        <v>77</v>
      </c>
      <c r="AF6" s="13"/>
      <c r="AG6" s="12" t="s">
        <v>106</v>
      </c>
      <c r="AH6" s="14">
        <v>0.8</v>
      </c>
      <c r="AI6" s="14">
        <v>40</v>
      </c>
      <c r="AJ6" s="14">
        <v>1.2</v>
      </c>
      <c r="AK6" s="14">
        <v>0.92</v>
      </c>
      <c r="AL6" s="12" t="s">
        <v>107</v>
      </c>
      <c r="AM6" s="12" t="s">
        <v>62</v>
      </c>
      <c r="AN6" s="12" t="s">
        <v>108</v>
      </c>
      <c r="AO6" s="14">
        <v>332</v>
      </c>
      <c r="AP6" s="12" t="s">
        <v>81</v>
      </c>
      <c r="AQ6" s="12" t="s">
        <v>82</v>
      </c>
      <c r="AR6" s="12" t="s">
        <v>83</v>
      </c>
      <c r="AS6" s="12" t="s">
        <v>84</v>
      </c>
      <c r="AT6" s="12" t="s">
        <v>62</v>
      </c>
      <c r="AU6" s="13"/>
      <c r="AV6" s="15">
        <v>0.85</v>
      </c>
      <c r="AW6" s="15">
        <v>0.15</v>
      </c>
      <c r="AX6" s="13"/>
      <c r="AY6" s="15">
        <v>0.85</v>
      </c>
      <c r="AZ6" s="14">
        <v>0</v>
      </c>
      <c r="BA6" s="15">
        <v>0.15</v>
      </c>
      <c r="BB6" s="13"/>
      <c r="BC6" s="13"/>
      <c r="BD6" s="13"/>
      <c r="BE6" s="12" t="s">
        <v>85</v>
      </c>
      <c r="BF6" s="12" t="s">
        <v>85</v>
      </c>
      <c r="BG6" s="16" t="s">
        <v>86</v>
      </c>
      <c r="BH6" s="12" t="s">
        <v>87</v>
      </c>
      <c r="BI6" s="12" t="s">
        <v>88</v>
      </c>
      <c r="BJ6" s="12" t="s">
        <v>89</v>
      </c>
      <c r="BK6" s="13"/>
      <c r="BL6" s="13"/>
      <c r="BM6" s="12" t="s">
        <v>90</v>
      </c>
      <c r="BO6" s="60">
        <f>'LookUp Roll&amp;Packs'!$W$6</f>
        <v>92.18</v>
      </c>
      <c r="BT6" s="62">
        <f t="shared" ref="BT6:BT23" si="3">AI6</f>
        <v>40</v>
      </c>
      <c r="BU6" s="60">
        <f>'LookUp Roll&amp;Packs'!$CJ$6</f>
        <v>22.56</v>
      </c>
      <c r="BV6" s="60">
        <f>'LookUp Roll&amp;Packs'!$CO$6</f>
        <v>257.38</v>
      </c>
      <c r="BW6" s="60">
        <f>'LookUp Roll&amp;Packs'!$CQ$6</f>
        <v>135</v>
      </c>
      <c r="BX6" s="61"/>
      <c r="BY6" s="61">
        <v>1</v>
      </c>
      <c r="BZ6" s="62">
        <f>BU6</f>
        <v>22.56</v>
      </c>
      <c r="CA6" s="67">
        <f>((AI6*BO6)+BV6)/1000</f>
        <v>3.9445800000000002</v>
      </c>
      <c r="CB6" s="67"/>
      <c r="CC6" s="67"/>
      <c r="CD6" s="67">
        <f>BW6/1000</f>
        <v>0.13500000000000001</v>
      </c>
      <c r="CH6" s="55" t="s">
        <v>564</v>
      </c>
      <c r="CI6" s="1" t="s">
        <v>564</v>
      </c>
      <c r="CJ6" s="1" t="s">
        <v>564</v>
      </c>
    </row>
    <row r="7" spans="1:88" ht="19.5" customHeight="1">
      <c r="A7" s="84">
        <v>10000106</v>
      </c>
      <c r="B7" s="84">
        <v>10000106</v>
      </c>
      <c r="C7" s="84"/>
      <c r="D7" s="10">
        <v>10000106</v>
      </c>
      <c r="E7" s="11" t="s">
        <v>61</v>
      </c>
      <c r="F7" s="12" t="s">
        <v>62</v>
      </c>
      <c r="G7" s="12" t="s">
        <v>112</v>
      </c>
      <c r="H7" s="12" t="s">
        <v>113</v>
      </c>
      <c r="I7" s="12" t="s">
        <v>114</v>
      </c>
      <c r="J7" s="12" t="s">
        <v>115</v>
      </c>
      <c r="K7" s="12" t="s">
        <v>116</v>
      </c>
      <c r="L7" s="12" t="s">
        <v>116</v>
      </c>
      <c r="M7" s="12" t="s">
        <v>117</v>
      </c>
      <c r="N7" s="12" t="s">
        <v>118</v>
      </c>
      <c r="O7" s="16" t="s">
        <v>119</v>
      </c>
      <c r="P7" s="14">
        <v>2</v>
      </c>
      <c r="Q7" s="12" t="s">
        <v>102</v>
      </c>
      <c r="R7" s="12" t="s">
        <v>120</v>
      </c>
      <c r="S7" s="12" t="s">
        <v>72</v>
      </c>
      <c r="T7" s="13"/>
      <c r="U7" s="13"/>
      <c r="V7" s="12" t="s">
        <v>121</v>
      </c>
      <c r="W7" s="14">
        <v>82</v>
      </c>
      <c r="X7" s="14">
        <v>0.51</v>
      </c>
      <c r="Y7" s="12" t="s">
        <v>122</v>
      </c>
      <c r="Z7" s="13"/>
      <c r="AA7" s="14">
        <v>5.8</v>
      </c>
      <c r="AB7" s="13"/>
      <c r="AC7" s="13"/>
      <c r="AD7" s="14">
        <v>48043158</v>
      </c>
      <c r="AE7" s="13"/>
      <c r="AF7" s="13"/>
      <c r="AG7" s="12" t="s">
        <v>123</v>
      </c>
      <c r="AH7" s="14">
        <v>0.8</v>
      </c>
      <c r="AI7" s="13"/>
      <c r="AJ7" s="14">
        <v>1.2</v>
      </c>
      <c r="AK7" s="14">
        <v>1</v>
      </c>
      <c r="AL7" s="12" t="s">
        <v>124</v>
      </c>
      <c r="AM7" s="12" t="s">
        <v>62</v>
      </c>
      <c r="AN7" s="14">
        <v>164</v>
      </c>
      <c r="AO7" s="14">
        <v>139</v>
      </c>
      <c r="AP7" s="12" t="s">
        <v>81</v>
      </c>
      <c r="AQ7" s="13"/>
      <c r="AR7" s="12" t="s">
        <v>83</v>
      </c>
      <c r="AS7" s="12" t="s">
        <v>84</v>
      </c>
      <c r="AT7" s="12" t="s">
        <v>62</v>
      </c>
      <c r="AU7" s="13"/>
      <c r="AV7" s="15">
        <v>0.85</v>
      </c>
      <c r="AW7" s="14">
        <v>0.15</v>
      </c>
      <c r="AX7" s="13"/>
      <c r="AY7" s="14">
        <v>0.85</v>
      </c>
      <c r="AZ7" s="14">
        <v>0</v>
      </c>
      <c r="BA7" s="14">
        <v>0.15</v>
      </c>
      <c r="BB7" s="14">
        <v>0</v>
      </c>
      <c r="BC7" s="14">
        <v>0</v>
      </c>
      <c r="BD7" s="14">
        <v>0</v>
      </c>
      <c r="BE7" s="12" t="s">
        <v>85</v>
      </c>
      <c r="BF7" s="12" t="s">
        <v>85</v>
      </c>
      <c r="BG7" s="12" t="s">
        <v>125</v>
      </c>
      <c r="BH7" s="12" t="s">
        <v>87</v>
      </c>
      <c r="BI7" s="12" t="s">
        <v>88</v>
      </c>
      <c r="BJ7" s="12" t="s">
        <v>89</v>
      </c>
      <c r="BK7" s="13"/>
      <c r="BL7" s="13"/>
      <c r="BM7" s="12" t="s">
        <v>90</v>
      </c>
      <c r="BT7" s="62">
        <f t="shared" si="3"/>
        <v>0</v>
      </c>
      <c r="BX7" s="61"/>
      <c r="BY7" s="61"/>
      <c r="CF7" s="62"/>
      <c r="CG7" s="1"/>
      <c r="CJ7" s="1" t="s">
        <v>564</v>
      </c>
    </row>
    <row r="8" spans="1:88" ht="19.5" customHeight="1">
      <c r="A8" s="84">
        <v>10000107</v>
      </c>
      <c r="B8" s="84">
        <v>10000107</v>
      </c>
      <c r="C8" s="84"/>
      <c r="D8" s="10">
        <v>10000107</v>
      </c>
      <c r="E8" s="11" t="s">
        <v>61</v>
      </c>
      <c r="F8" s="12" t="s">
        <v>62</v>
      </c>
      <c r="G8" s="12" t="s">
        <v>112</v>
      </c>
      <c r="H8" s="12" t="s">
        <v>113</v>
      </c>
      <c r="I8" s="12" t="s">
        <v>126</v>
      </c>
      <c r="J8" s="12" t="s">
        <v>127</v>
      </c>
      <c r="K8" s="12" t="s">
        <v>116</v>
      </c>
      <c r="L8" s="12" t="s">
        <v>116</v>
      </c>
      <c r="M8" s="12" t="s">
        <v>117</v>
      </c>
      <c r="N8" s="12" t="s">
        <v>118</v>
      </c>
      <c r="O8" s="16" t="s">
        <v>119</v>
      </c>
      <c r="P8" s="14">
        <v>2</v>
      </c>
      <c r="Q8" s="12" t="s">
        <v>102</v>
      </c>
      <c r="R8" s="12" t="s">
        <v>128</v>
      </c>
      <c r="S8" s="12" t="s">
        <v>72</v>
      </c>
      <c r="T8" s="13"/>
      <c r="U8" s="13"/>
      <c r="V8" s="12" t="s">
        <v>121</v>
      </c>
      <c r="W8" s="14">
        <v>82</v>
      </c>
      <c r="X8" s="14">
        <v>0.51</v>
      </c>
      <c r="Y8" s="12" t="s">
        <v>122</v>
      </c>
      <c r="Z8" s="13"/>
      <c r="AA8" s="14">
        <v>5.8</v>
      </c>
      <c r="AB8" s="13"/>
      <c r="AC8" s="13"/>
      <c r="AD8" s="14">
        <v>48043158</v>
      </c>
      <c r="AE8" s="13"/>
      <c r="AF8" s="13"/>
      <c r="AG8" s="12" t="s">
        <v>129</v>
      </c>
      <c r="AH8" s="14">
        <v>0.8</v>
      </c>
      <c r="AI8" s="13"/>
      <c r="AJ8" s="14">
        <v>1.2</v>
      </c>
      <c r="AK8" s="14">
        <v>1</v>
      </c>
      <c r="AL8" s="12" t="s">
        <v>124</v>
      </c>
      <c r="AM8" s="12" t="s">
        <v>62</v>
      </c>
      <c r="AN8" s="14">
        <v>164</v>
      </c>
      <c r="AO8" s="14">
        <v>139</v>
      </c>
      <c r="AP8" s="12" t="s">
        <v>81</v>
      </c>
      <c r="AQ8" s="13"/>
      <c r="AR8" s="12" t="s">
        <v>83</v>
      </c>
      <c r="AS8" s="12" t="s">
        <v>84</v>
      </c>
      <c r="AT8" s="12" t="s">
        <v>62</v>
      </c>
      <c r="AU8" s="13"/>
      <c r="AV8" s="15">
        <v>0.85</v>
      </c>
      <c r="AW8" s="14">
        <v>0.15</v>
      </c>
      <c r="AX8" s="13"/>
      <c r="AY8" s="14">
        <v>0.85</v>
      </c>
      <c r="AZ8" s="14">
        <v>0</v>
      </c>
      <c r="BA8" s="14">
        <v>0.15</v>
      </c>
      <c r="BB8" s="14">
        <v>0</v>
      </c>
      <c r="BC8" s="14">
        <v>0</v>
      </c>
      <c r="BD8" s="14">
        <v>0</v>
      </c>
      <c r="BE8" s="12" t="s">
        <v>85</v>
      </c>
      <c r="BF8" s="12" t="s">
        <v>85</v>
      </c>
      <c r="BG8" s="12" t="s">
        <v>125</v>
      </c>
      <c r="BH8" s="12" t="s">
        <v>87</v>
      </c>
      <c r="BI8" s="12" t="s">
        <v>88</v>
      </c>
      <c r="BJ8" s="12" t="s">
        <v>89</v>
      </c>
      <c r="BK8" s="13"/>
      <c r="BL8" s="13"/>
      <c r="BM8" s="12" t="s">
        <v>90</v>
      </c>
      <c r="BT8" s="62">
        <f t="shared" si="3"/>
        <v>0</v>
      </c>
      <c r="BX8" s="61"/>
      <c r="BY8" s="61"/>
      <c r="CF8" s="62"/>
      <c r="CG8" s="1"/>
      <c r="CJ8" s="1" t="s">
        <v>564</v>
      </c>
    </row>
    <row r="9" spans="1:88" ht="19.5" customHeight="1">
      <c r="A9" s="84">
        <v>10000110</v>
      </c>
      <c r="B9" s="84">
        <v>10000110</v>
      </c>
      <c r="C9" s="84"/>
      <c r="D9" s="10">
        <v>10000110</v>
      </c>
      <c r="E9" s="11" t="s">
        <v>61</v>
      </c>
      <c r="F9" s="12" t="s">
        <v>62</v>
      </c>
      <c r="G9" s="12" t="s">
        <v>112</v>
      </c>
      <c r="H9" s="12" t="s">
        <v>113</v>
      </c>
      <c r="I9" s="12" t="s">
        <v>130</v>
      </c>
      <c r="J9" s="12" t="s">
        <v>131</v>
      </c>
      <c r="K9" s="12" t="s">
        <v>116</v>
      </c>
      <c r="L9" s="16" t="s">
        <v>132</v>
      </c>
      <c r="M9" s="12" t="s">
        <v>117</v>
      </c>
      <c r="N9" s="12" t="s">
        <v>133</v>
      </c>
      <c r="O9" s="12" t="s">
        <v>134</v>
      </c>
      <c r="P9" s="14">
        <v>1</v>
      </c>
      <c r="Q9" s="12" t="s">
        <v>70</v>
      </c>
      <c r="R9" s="12" t="s">
        <v>71</v>
      </c>
      <c r="S9" s="12" t="s">
        <v>72</v>
      </c>
      <c r="T9" s="13"/>
      <c r="U9" s="13"/>
      <c r="V9" s="12" t="s">
        <v>135</v>
      </c>
      <c r="W9" s="14">
        <v>164</v>
      </c>
      <c r="X9" s="14">
        <v>0.51</v>
      </c>
      <c r="Y9" s="12" t="s">
        <v>122</v>
      </c>
      <c r="Z9" s="13"/>
      <c r="AA9" s="14">
        <v>8.1999999999999993</v>
      </c>
      <c r="AB9" s="13"/>
      <c r="AC9" s="13"/>
      <c r="AD9" s="14">
        <v>48043158</v>
      </c>
      <c r="AE9" s="13"/>
      <c r="AF9" s="13"/>
      <c r="AG9" s="12" t="s">
        <v>136</v>
      </c>
      <c r="AH9" s="14">
        <v>0.8</v>
      </c>
      <c r="AI9" s="13"/>
      <c r="AJ9" s="14">
        <v>1.2</v>
      </c>
      <c r="AK9" s="14">
        <v>1.3</v>
      </c>
      <c r="AL9" s="12" t="s">
        <v>137</v>
      </c>
      <c r="AM9" s="12" t="s">
        <v>62</v>
      </c>
      <c r="AN9" s="14">
        <v>270</v>
      </c>
      <c r="AO9" s="14">
        <v>245</v>
      </c>
      <c r="AP9" s="12" t="s">
        <v>81</v>
      </c>
      <c r="AQ9" s="13"/>
      <c r="AR9" s="12" t="s">
        <v>83</v>
      </c>
      <c r="AS9" s="12" t="s">
        <v>84</v>
      </c>
      <c r="AT9" s="12" t="s">
        <v>62</v>
      </c>
      <c r="AU9" s="13"/>
      <c r="AV9" s="15">
        <v>0.85</v>
      </c>
      <c r="AW9" s="14">
        <v>0.15</v>
      </c>
      <c r="AX9" s="13"/>
      <c r="AY9" s="14">
        <v>0.85</v>
      </c>
      <c r="AZ9" s="14">
        <v>0</v>
      </c>
      <c r="BA9" s="14">
        <v>0.15</v>
      </c>
      <c r="BB9" s="14">
        <v>0</v>
      </c>
      <c r="BC9" s="14">
        <v>0</v>
      </c>
      <c r="BD9" s="14">
        <v>0</v>
      </c>
      <c r="BE9" s="12" t="s">
        <v>85</v>
      </c>
      <c r="BF9" s="12" t="s">
        <v>85</v>
      </c>
      <c r="BG9" s="12" t="s">
        <v>125</v>
      </c>
      <c r="BH9" s="12" t="s">
        <v>87</v>
      </c>
      <c r="BI9" s="12" t="s">
        <v>88</v>
      </c>
      <c r="BJ9" s="12" t="s">
        <v>89</v>
      </c>
      <c r="BK9" s="13"/>
      <c r="BL9" s="13"/>
      <c r="BM9" s="12" t="s">
        <v>90</v>
      </c>
      <c r="BT9" s="62">
        <f t="shared" si="3"/>
        <v>0</v>
      </c>
      <c r="BX9" s="61"/>
      <c r="BY9" s="61"/>
      <c r="CF9" s="62"/>
      <c r="CG9" s="1"/>
      <c r="CJ9" s="1" t="s">
        <v>564</v>
      </c>
    </row>
    <row r="10" spans="1:88" ht="19.5" customHeight="1">
      <c r="A10" s="84">
        <v>10000129</v>
      </c>
      <c r="B10" s="84">
        <v>10000129</v>
      </c>
      <c r="C10" s="84"/>
      <c r="D10" s="10">
        <v>10000129</v>
      </c>
      <c r="E10" s="11" t="s">
        <v>61</v>
      </c>
      <c r="F10" s="12" t="s">
        <v>62</v>
      </c>
      <c r="G10" s="12" t="s">
        <v>138</v>
      </c>
      <c r="H10" s="12" t="s">
        <v>139</v>
      </c>
      <c r="I10" s="12" t="s">
        <v>140</v>
      </c>
      <c r="J10" s="13"/>
      <c r="K10" s="13"/>
      <c r="L10" s="12" t="s">
        <v>141</v>
      </c>
      <c r="M10" s="12" t="s">
        <v>67</v>
      </c>
      <c r="N10" s="12" t="s">
        <v>68</v>
      </c>
      <c r="O10" s="12" t="s">
        <v>69</v>
      </c>
      <c r="P10" s="14">
        <v>1</v>
      </c>
      <c r="Q10" s="12" t="s">
        <v>142</v>
      </c>
      <c r="R10" s="12" t="s">
        <v>71</v>
      </c>
      <c r="S10" s="12" t="s">
        <v>72</v>
      </c>
      <c r="T10" s="14">
        <v>8721284290070</v>
      </c>
      <c r="U10" s="13"/>
      <c r="V10" s="12" t="s">
        <v>73</v>
      </c>
      <c r="W10" s="12" t="s">
        <v>74</v>
      </c>
      <c r="X10" s="12" t="s">
        <v>75</v>
      </c>
      <c r="Y10" s="12" t="s">
        <v>85</v>
      </c>
      <c r="Z10" s="13"/>
      <c r="AA10" s="14">
        <v>9.9</v>
      </c>
      <c r="AB10" s="13"/>
      <c r="AC10" s="12" t="s">
        <v>76</v>
      </c>
      <c r="AD10" s="14">
        <v>48043158</v>
      </c>
      <c r="AE10" s="12" t="s">
        <v>77</v>
      </c>
      <c r="AF10" s="13"/>
      <c r="AG10" s="12" t="s">
        <v>143</v>
      </c>
      <c r="AH10" s="14">
        <v>0.8</v>
      </c>
      <c r="AI10" s="14">
        <v>48</v>
      </c>
      <c r="AJ10" s="14">
        <v>1.2</v>
      </c>
      <c r="AK10" s="14">
        <v>1.35</v>
      </c>
      <c r="AL10" s="12" t="s">
        <v>144</v>
      </c>
      <c r="AM10" s="12" t="s">
        <v>62</v>
      </c>
      <c r="AN10" s="12" t="s">
        <v>145</v>
      </c>
      <c r="AO10" s="14">
        <v>475</v>
      </c>
      <c r="AP10" s="12" t="s">
        <v>81</v>
      </c>
      <c r="AQ10" s="12" t="s">
        <v>146</v>
      </c>
      <c r="AR10" s="12" t="s">
        <v>83</v>
      </c>
      <c r="AS10" s="12" t="s">
        <v>84</v>
      </c>
      <c r="AT10" s="12" t="s">
        <v>110</v>
      </c>
      <c r="AU10" s="13"/>
      <c r="AV10" s="13"/>
      <c r="AW10" s="15">
        <v>1</v>
      </c>
      <c r="AX10" s="13"/>
      <c r="AY10" s="14">
        <v>0</v>
      </c>
      <c r="AZ10" s="14">
        <v>0</v>
      </c>
      <c r="BA10" s="15">
        <v>1</v>
      </c>
      <c r="BB10" s="14">
        <v>98</v>
      </c>
      <c r="BC10" s="14">
        <v>12</v>
      </c>
      <c r="BD10" s="14">
        <v>8.1999999999999993</v>
      </c>
      <c r="BE10" s="12" t="s">
        <v>85</v>
      </c>
      <c r="BF10" s="12" t="s">
        <v>85</v>
      </c>
      <c r="BG10" s="12" t="s">
        <v>147</v>
      </c>
      <c r="BH10" s="12" t="s">
        <v>148</v>
      </c>
      <c r="BI10" s="12" t="s">
        <v>88</v>
      </c>
      <c r="BJ10" s="12" t="s">
        <v>89</v>
      </c>
      <c r="BK10" s="13"/>
      <c r="BL10" s="13"/>
      <c r="BM10" s="12" t="s">
        <v>90</v>
      </c>
      <c r="BO10" s="60">
        <f>'LookUp Roll&amp;Packs'!$U$9</f>
        <v>43.19</v>
      </c>
      <c r="BR10" s="60">
        <f>'LookUp Roll&amp;Packs'!$V$9</f>
        <v>5.22</v>
      </c>
      <c r="BT10" s="62">
        <f t="shared" si="3"/>
        <v>48</v>
      </c>
      <c r="BU10" s="60">
        <f>'LookUp Roll&amp;Packs'!$BI$9</f>
        <v>22.56</v>
      </c>
      <c r="BV10" s="60">
        <f>'LookUp Roll&amp;Packs'!$CO$9</f>
        <v>2796.7</v>
      </c>
      <c r="BW10" s="60">
        <f>'LookUp Roll&amp;Packs'!$CQ$9</f>
        <v>175.14</v>
      </c>
      <c r="BX10" s="61">
        <f>'LookUp Roll&amp;Packs'!$CP$9</f>
        <v>66.8</v>
      </c>
      <c r="BY10" s="61">
        <v>1</v>
      </c>
      <c r="BZ10" s="62">
        <f>BU10</f>
        <v>22.56</v>
      </c>
      <c r="CA10" s="67">
        <f>((AI10*BO10)+BV10)/1000</f>
        <v>4.8698199999999998</v>
      </c>
      <c r="CB10" s="67"/>
      <c r="CC10" s="67">
        <f>(AI10*BR10)/1000</f>
        <v>0.25056</v>
      </c>
      <c r="CD10" s="67">
        <f>BW10/1000</f>
        <v>0.17513999999999999</v>
      </c>
      <c r="CE10" s="67">
        <f>BX10/1000</f>
        <v>6.6799999999999998E-2</v>
      </c>
      <c r="CH10" s="54" t="s">
        <v>564</v>
      </c>
      <c r="CI10" s="1" t="s">
        <v>564</v>
      </c>
      <c r="CJ10" s="1" t="s">
        <v>564</v>
      </c>
    </row>
    <row r="11" spans="1:88" ht="19.5" customHeight="1">
      <c r="A11" s="84">
        <v>10000135</v>
      </c>
      <c r="B11" s="84">
        <v>10000135</v>
      </c>
      <c r="C11" s="84"/>
      <c r="D11" s="10">
        <v>10000135</v>
      </c>
      <c r="E11" s="11" t="s">
        <v>149</v>
      </c>
      <c r="F11" s="12" t="s">
        <v>62</v>
      </c>
      <c r="G11" s="12" t="s">
        <v>138</v>
      </c>
      <c r="H11" s="12" t="s">
        <v>150</v>
      </c>
      <c r="I11" s="12" t="s">
        <v>151</v>
      </c>
      <c r="J11" s="13"/>
      <c r="K11" s="13"/>
      <c r="L11" s="12" t="s">
        <v>85</v>
      </c>
      <c r="M11" s="12" t="s">
        <v>67</v>
      </c>
      <c r="N11" s="12" t="s">
        <v>152</v>
      </c>
      <c r="O11" s="12" t="s">
        <v>153</v>
      </c>
      <c r="P11" s="14">
        <v>1</v>
      </c>
      <c r="Q11" s="12" t="s">
        <v>70</v>
      </c>
      <c r="R11" s="12" t="s">
        <v>93</v>
      </c>
      <c r="S11" s="12" t="s">
        <v>72</v>
      </c>
      <c r="T11" s="13"/>
      <c r="U11" s="13"/>
      <c r="V11" s="12" t="s">
        <v>154</v>
      </c>
      <c r="W11" s="14">
        <v>430</v>
      </c>
      <c r="X11" s="14">
        <v>0.76</v>
      </c>
      <c r="Y11" s="12" t="s">
        <v>93</v>
      </c>
      <c r="Z11" s="13"/>
      <c r="AA11" s="14">
        <v>19.5</v>
      </c>
      <c r="AB11" s="13"/>
      <c r="AC11" s="13"/>
      <c r="AD11" s="14">
        <v>48043158</v>
      </c>
      <c r="AE11" s="12" t="s">
        <v>77</v>
      </c>
      <c r="AF11" s="13"/>
      <c r="AG11" s="12" t="s">
        <v>155</v>
      </c>
      <c r="AH11" s="14">
        <v>0.8</v>
      </c>
      <c r="AI11" s="13"/>
      <c r="AJ11" s="14">
        <v>1.2</v>
      </c>
      <c r="AK11" s="14">
        <v>1.2</v>
      </c>
      <c r="AL11" s="12" t="s">
        <v>79</v>
      </c>
      <c r="AM11" s="12" t="s">
        <v>62</v>
      </c>
      <c r="AN11" s="14">
        <v>493.99200000000002</v>
      </c>
      <c r="AO11" s="14">
        <v>469</v>
      </c>
      <c r="AP11" s="12" t="s">
        <v>81</v>
      </c>
      <c r="AQ11" s="13"/>
      <c r="AR11" s="12" t="s">
        <v>83</v>
      </c>
      <c r="AS11" s="12" t="s">
        <v>84</v>
      </c>
      <c r="AT11" s="12" t="s">
        <v>62</v>
      </c>
      <c r="AU11" s="13"/>
      <c r="AV11" s="15">
        <v>0.85</v>
      </c>
      <c r="AW11" s="15">
        <v>0.15</v>
      </c>
      <c r="AX11" s="13"/>
      <c r="AY11" s="15">
        <v>0.85</v>
      </c>
      <c r="AZ11" s="14">
        <v>0</v>
      </c>
      <c r="BA11" s="15">
        <v>0.15</v>
      </c>
      <c r="BB11" s="13"/>
      <c r="BC11" s="13"/>
      <c r="BD11" s="13"/>
      <c r="BE11" s="12" t="s">
        <v>85</v>
      </c>
      <c r="BF11" s="12" t="s">
        <v>85</v>
      </c>
      <c r="BG11" s="12" t="s">
        <v>147</v>
      </c>
      <c r="BH11" s="12" t="s">
        <v>87</v>
      </c>
      <c r="BI11" s="12" t="s">
        <v>88</v>
      </c>
      <c r="BJ11" s="12" t="s">
        <v>89</v>
      </c>
      <c r="BK11" s="13"/>
      <c r="BL11" s="13"/>
      <c r="BM11" s="12" t="s">
        <v>90</v>
      </c>
      <c r="BT11" s="62">
        <f t="shared" si="3"/>
        <v>0</v>
      </c>
      <c r="BX11" s="61"/>
      <c r="BY11" s="61"/>
      <c r="BZ11" s="62">
        <f t="shared" ref="BZ11:BZ16" si="4">BU11</f>
        <v>0</v>
      </c>
      <c r="CA11" s="67">
        <f>((AI11*BO11)+BV11)/1000</f>
        <v>0</v>
      </c>
      <c r="CB11" s="67"/>
      <c r="CF11" s="62"/>
      <c r="CG11" s="1"/>
      <c r="CJ11" s="1" t="s">
        <v>564</v>
      </c>
    </row>
    <row r="12" spans="1:88" ht="20.100000000000001" customHeight="1">
      <c r="A12" s="84">
        <v>10000137</v>
      </c>
      <c r="B12" s="84">
        <v>10000137</v>
      </c>
      <c r="C12" s="84"/>
      <c r="D12" s="10">
        <v>10000137</v>
      </c>
      <c r="E12" s="11" t="s">
        <v>61</v>
      </c>
      <c r="F12" s="12" t="s">
        <v>62</v>
      </c>
      <c r="G12" s="12" t="s">
        <v>138</v>
      </c>
      <c r="H12" s="12" t="s">
        <v>150</v>
      </c>
      <c r="I12" s="12" t="s">
        <v>156</v>
      </c>
      <c r="J12" s="13"/>
      <c r="K12" s="13"/>
      <c r="L12" s="12" t="s">
        <v>157</v>
      </c>
      <c r="M12" s="12" t="s">
        <v>67</v>
      </c>
      <c r="N12" s="12" t="s">
        <v>158</v>
      </c>
      <c r="O12" s="12" t="s">
        <v>159</v>
      </c>
      <c r="P12" s="14">
        <v>1</v>
      </c>
      <c r="Q12" s="12" t="s">
        <v>70</v>
      </c>
      <c r="R12" s="12" t="s">
        <v>71</v>
      </c>
      <c r="S12" s="12" t="s">
        <v>72</v>
      </c>
      <c r="T12" s="14">
        <v>8721284290087</v>
      </c>
      <c r="U12" s="13"/>
      <c r="V12" s="12" t="s">
        <v>160</v>
      </c>
      <c r="W12" s="12" t="s">
        <v>161</v>
      </c>
      <c r="X12" s="12" t="s">
        <v>162</v>
      </c>
      <c r="Y12" s="13"/>
      <c r="Z12" s="13"/>
      <c r="AA12" s="14">
        <v>15.1</v>
      </c>
      <c r="AB12" s="13"/>
      <c r="AC12" s="12" t="s">
        <v>163</v>
      </c>
      <c r="AD12" s="14">
        <v>48043158</v>
      </c>
      <c r="AE12" s="12" t="s">
        <v>77</v>
      </c>
      <c r="AF12" s="13"/>
      <c r="AG12" s="12" t="s">
        <v>164</v>
      </c>
      <c r="AH12" s="14">
        <v>0.8</v>
      </c>
      <c r="AI12" s="14">
        <v>24</v>
      </c>
      <c r="AJ12" s="14">
        <v>1.2</v>
      </c>
      <c r="AK12" s="14">
        <v>1.2</v>
      </c>
      <c r="AL12" s="12" t="s">
        <v>79</v>
      </c>
      <c r="AM12" s="12" t="s">
        <v>62</v>
      </c>
      <c r="AN12" s="12" t="s">
        <v>165</v>
      </c>
      <c r="AO12" s="14">
        <v>363</v>
      </c>
      <c r="AP12" s="12" t="s">
        <v>81</v>
      </c>
      <c r="AQ12" s="12" t="s">
        <v>82</v>
      </c>
      <c r="AR12" s="12" t="s">
        <v>83</v>
      </c>
      <c r="AS12" s="12" t="s">
        <v>84</v>
      </c>
      <c r="AT12" s="12" t="s">
        <v>62</v>
      </c>
      <c r="AU12" s="13"/>
      <c r="AV12" s="15">
        <v>0.85</v>
      </c>
      <c r="AW12" s="15">
        <v>0.15</v>
      </c>
      <c r="AX12" s="13"/>
      <c r="AY12" s="15">
        <v>0.85</v>
      </c>
      <c r="AZ12" s="14">
        <v>0</v>
      </c>
      <c r="BA12" s="15">
        <v>0.15</v>
      </c>
      <c r="BB12" s="14">
        <v>205</v>
      </c>
      <c r="BC12" s="14">
        <v>19</v>
      </c>
      <c r="BD12" s="14">
        <v>9.8000000000000007</v>
      </c>
      <c r="BE12" s="12" t="s">
        <v>85</v>
      </c>
      <c r="BF12" s="12" t="s">
        <v>85</v>
      </c>
      <c r="BG12" s="12" t="s">
        <v>147</v>
      </c>
      <c r="BH12" s="12" t="s">
        <v>87</v>
      </c>
      <c r="BI12" s="12" t="s">
        <v>88</v>
      </c>
      <c r="BJ12" s="12" t="s">
        <v>89</v>
      </c>
      <c r="BK12" s="13"/>
      <c r="BL12" s="13"/>
      <c r="BM12" s="12" t="s">
        <v>90</v>
      </c>
      <c r="BO12" s="60">
        <f>'LookUp Roll&amp;Packs'!$U$7</f>
        <v>80.739999999999995</v>
      </c>
      <c r="BR12" s="60">
        <f>'LookUp Roll&amp;Packs'!$V$7</f>
        <v>5.22</v>
      </c>
      <c r="BT12" s="62">
        <f t="shared" si="3"/>
        <v>24</v>
      </c>
      <c r="BU12" s="60">
        <f>'LookUp Roll&amp;Packs'!$BI$7</f>
        <v>22.56</v>
      </c>
      <c r="BV12" s="60">
        <f>'LookUp Roll&amp;Packs'!$CO$7</f>
        <v>2796.7</v>
      </c>
      <c r="BW12" s="60">
        <f>'LookUp Roll&amp;Packs'!$CQ$7</f>
        <v>175.14</v>
      </c>
      <c r="BX12" s="61">
        <f>'LookUp Roll&amp;Packs'!$CP$7</f>
        <v>66.8</v>
      </c>
      <c r="BY12" s="61">
        <v>1</v>
      </c>
      <c r="BZ12" s="62">
        <f t="shared" si="4"/>
        <v>22.56</v>
      </c>
      <c r="CA12" s="67">
        <f>((AI12*BO12)+BV12)/1000</f>
        <v>4.7344599999999994</v>
      </c>
      <c r="CB12" s="67"/>
      <c r="CC12" s="67">
        <f>(AI12*BR12)/1000</f>
        <v>0.12528</v>
      </c>
      <c r="CD12" s="67">
        <f>BW12/1000</f>
        <v>0.17513999999999999</v>
      </c>
      <c r="CE12" s="67">
        <f>BX12/1000</f>
        <v>6.6799999999999998E-2</v>
      </c>
      <c r="CH12" s="55" t="s">
        <v>564</v>
      </c>
      <c r="CI12" s="1" t="s">
        <v>564</v>
      </c>
      <c r="CJ12" s="1" t="s">
        <v>564</v>
      </c>
    </row>
    <row r="13" spans="1:88" ht="20.100000000000001" customHeight="1">
      <c r="A13" s="84">
        <v>10000140</v>
      </c>
      <c r="B13" s="84">
        <v>10000140</v>
      </c>
      <c r="C13" s="84"/>
      <c r="D13" s="10">
        <v>10000140</v>
      </c>
      <c r="E13" s="11" t="s">
        <v>61</v>
      </c>
      <c r="F13" s="12" t="s">
        <v>62</v>
      </c>
      <c r="G13" s="12" t="s">
        <v>138</v>
      </c>
      <c r="H13" s="12" t="s">
        <v>150</v>
      </c>
      <c r="I13" s="12" t="s">
        <v>166</v>
      </c>
      <c r="J13" s="13"/>
      <c r="K13" s="13"/>
      <c r="L13" s="12" t="s">
        <v>167</v>
      </c>
      <c r="M13" s="12" t="s">
        <v>168</v>
      </c>
      <c r="N13" s="12" t="s">
        <v>158</v>
      </c>
      <c r="O13" s="12" t="s">
        <v>159</v>
      </c>
      <c r="P13" s="14">
        <v>1</v>
      </c>
      <c r="Q13" s="12" t="s">
        <v>70</v>
      </c>
      <c r="R13" s="12" t="s">
        <v>71</v>
      </c>
      <c r="S13" s="12" t="s">
        <v>72</v>
      </c>
      <c r="T13" s="14">
        <v>8721284290094</v>
      </c>
      <c r="U13" s="13"/>
      <c r="V13" s="12" t="s">
        <v>169</v>
      </c>
      <c r="W13" s="12" t="s">
        <v>170</v>
      </c>
      <c r="X13" s="12" t="s">
        <v>162</v>
      </c>
      <c r="Y13" s="12" t="s">
        <v>85</v>
      </c>
      <c r="Z13" s="13"/>
      <c r="AA13" s="14">
        <v>455</v>
      </c>
      <c r="AB13" s="13"/>
      <c r="AC13" s="12" t="s">
        <v>76</v>
      </c>
      <c r="AD13" s="14">
        <v>48043158</v>
      </c>
      <c r="AE13" s="12" t="s">
        <v>77</v>
      </c>
      <c r="AF13" s="12" t="s">
        <v>171</v>
      </c>
      <c r="AG13" s="12" t="s">
        <v>172</v>
      </c>
      <c r="AH13" s="14">
        <v>0.8</v>
      </c>
      <c r="AI13" s="14">
        <v>1</v>
      </c>
      <c r="AJ13" s="14">
        <v>1.2</v>
      </c>
      <c r="AK13" s="14">
        <v>1.2</v>
      </c>
      <c r="AL13" s="12" t="s">
        <v>79</v>
      </c>
      <c r="AM13" s="12" t="s">
        <v>62</v>
      </c>
      <c r="AN13" s="12" t="s">
        <v>173</v>
      </c>
      <c r="AO13" s="14">
        <v>455</v>
      </c>
      <c r="AP13" s="12" t="s">
        <v>81</v>
      </c>
      <c r="AQ13" s="12" t="s">
        <v>82</v>
      </c>
      <c r="AR13" s="12" t="s">
        <v>83</v>
      </c>
      <c r="AS13" s="12" t="s">
        <v>84</v>
      </c>
      <c r="AT13" s="12" t="s">
        <v>62</v>
      </c>
      <c r="AU13" s="13"/>
      <c r="AV13" s="15">
        <v>0.85</v>
      </c>
      <c r="AW13" s="15">
        <v>0.15</v>
      </c>
      <c r="AX13" s="13"/>
      <c r="AY13" s="15">
        <v>0.85</v>
      </c>
      <c r="AZ13" s="14">
        <v>0</v>
      </c>
      <c r="BA13" s="15">
        <v>0.15</v>
      </c>
      <c r="BB13" s="12" t="s">
        <v>174</v>
      </c>
      <c r="BC13" s="14">
        <v>567</v>
      </c>
      <c r="BD13" s="14">
        <v>273.60000000000002</v>
      </c>
      <c r="BE13" s="12" t="s">
        <v>85</v>
      </c>
      <c r="BF13" s="12" t="s">
        <v>85</v>
      </c>
      <c r="BG13" s="12" t="s">
        <v>147</v>
      </c>
      <c r="BH13" s="12" t="s">
        <v>87</v>
      </c>
      <c r="BI13" s="12" t="s">
        <v>88</v>
      </c>
      <c r="BJ13" s="12" t="s">
        <v>89</v>
      </c>
      <c r="BK13" s="13"/>
      <c r="BL13" s="13"/>
      <c r="BM13" s="12" t="s">
        <v>90</v>
      </c>
      <c r="BT13" s="62">
        <f t="shared" si="3"/>
        <v>1</v>
      </c>
      <c r="BU13" s="60">
        <v>22.56</v>
      </c>
      <c r="BV13" s="60">
        <v>2796.7</v>
      </c>
      <c r="BW13" s="60" t="s">
        <v>561</v>
      </c>
      <c r="BX13" s="61" t="s">
        <v>561</v>
      </c>
      <c r="BY13" s="61"/>
      <c r="BZ13" s="62">
        <f t="shared" si="4"/>
        <v>22.56</v>
      </c>
      <c r="CI13" s="1" t="s">
        <v>564</v>
      </c>
      <c r="CJ13" s="1" t="s">
        <v>564</v>
      </c>
    </row>
    <row r="14" spans="1:88" ht="20.100000000000001" customHeight="1">
      <c r="A14" s="84">
        <v>10000143</v>
      </c>
      <c r="B14" s="84">
        <v>10000143</v>
      </c>
      <c r="C14" s="84"/>
      <c r="D14" s="10">
        <v>10000143</v>
      </c>
      <c r="E14" s="11" t="s">
        <v>61</v>
      </c>
      <c r="F14" s="12" t="s">
        <v>62</v>
      </c>
      <c r="G14" s="12" t="s">
        <v>138</v>
      </c>
      <c r="H14" s="12" t="s">
        <v>150</v>
      </c>
      <c r="I14" s="12" t="s">
        <v>175</v>
      </c>
      <c r="J14" s="13"/>
      <c r="K14" s="13"/>
      <c r="L14" s="12" t="s">
        <v>176</v>
      </c>
      <c r="M14" s="12" t="s">
        <v>67</v>
      </c>
      <c r="N14" s="12" t="s">
        <v>158</v>
      </c>
      <c r="O14" s="12" t="s">
        <v>159</v>
      </c>
      <c r="P14" s="14">
        <v>1</v>
      </c>
      <c r="Q14" s="12" t="s">
        <v>177</v>
      </c>
      <c r="R14" s="12" t="s">
        <v>71</v>
      </c>
      <c r="S14" s="12" t="s">
        <v>72</v>
      </c>
      <c r="T14" s="14">
        <v>8721284290100</v>
      </c>
      <c r="U14" s="13"/>
      <c r="V14" s="12" t="s">
        <v>178</v>
      </c>
      <c r="W14" s="12" t="s">
        <v>179</v>
      </c>
      <c r="X14" s="12" t="s">
        <v>180</v>
      </c>
      <c r="Y14" s="13"/>
      <c r="Z14" s="13"/>
      <c r="AA14" s="14">
        <v>14.2</v>
      </c>
      <c r="AB14" s="13"/>
      <c r="AC14" s="12" t="s">
        <v>76</v>
      </c>
      <c r="AD14" s="14">
        <v>48043158</v>
      </c>
      <c r="AE14" s="12" t="s">
        <v>77</v>
      </c>
      <c r="AF14" s="13"/>
      <c r="AG14" s="12" t="s">
        <v>181</v>
      </c>
      <c r="AH14" s="14">
        <v>0.8</v>
      </c>
      <c r="AI14" s="14">
        <v>32</v>
      </c>
      <c r="AJ14" s="14">
        <v>1.2</v>
      </c>
      <c r="AK14" s="14">
        <v>1.2</v>
      </c>
      <c r="AL14" s="12" t="s">
        <v>79</v>
      </c>
      <c r="AM14" s="12" t="s">
        <v>62</v>
      </c>
      <c r="AN14" s="12" t="s">
        <v>182</v>
      </c>
      <c r="AO14" s="14">
        <v>455</v>
      </c>
      <c r="AP14" s="12" t="s">
        <v>81</v>
      </c>
      <c r="AQ14" s="12" t="s">
        <v>82</v>
      </c>
      <c r="AR14" s="12" t="s">
        <v>83</v>
      </c>
      <c r="AS14" s="12" t="s">
        <v>84</v>
      </c>
      <c r="AT14" s="12" t="s">
        <v>110</v>
      </c>
      <c r="AU14" s="13"/>
      <c r="AV14" s="15">
        <v>0.15</v>
      </c>
      <c r="AW14" s="15">
        <v>0.85</v>
      </c>
      <c r="AX14" s="13"/>
      <c r="AY14" s="15">
        <v>0.15</v>
      </c>
      <c r="AZ14" s="15">
        <v>0.3</v>
      </c>
      <c r="BA14" s="15">
        <v>0.55000000000000004</v>
      </c>
      <c r="BB14" s="14">
        <v>168</v>
      </c>
      <c r="BC14" s="14">
        <v>18</v>
      </c>
      <c r="BD14" s="14">
        <v>10.1</v>
      </c>
      <c r="BE14" s="12" t="s">
        <v>85</v>
      </c>
      <c r="BF14" s="12" t="s">
        <v>85</v>
      </c>
      <c r="BG14" s="12" t="s">
        <v>147</v>
      </c>
      <c r="BH14" s="12" t="s">
        <v>111</v>
      </c>
      <c r="BI14" s="12" t="s">
        <v>88</v>
      </c>
      <c r="BJ14" s="12" t="s">
        <v>89</v>
      </c>
      <c r="BK14" s="13"/>
      <c r="BL14" s="13"/>
      <c r="BM14" s="12" t="s">
        <v>90</v>
      </c>
      <c r="BO14" s="60">
        <f>'LookUp Roll&amp;Packs'!$U$8</f>
        <v>61.97</v>
      </c>
      <c r="BR14" s="60">
        <f>'LookUp Roll&amp;Packs'!$V$8</f>
        <v>5.22</v>
      </c>
      <c r="BT14" s="62">
        <f t="shared" si="3"/>
        <v>32</v>
      </c>
      <c r="BU14" s="60">
        <f>'LookUp Roll&amp;Packs'!$BI$8</f>
        <v>22.56</v>
      </c>
      <c r="BV14" s="60">
        <f>'LookUp Roll&amp;Packs'!$CO$8</f>
        <v>2796.7</v>
      </c>
      <c r="BW14" s="60">
        <f>'LookUp Roll&amp;Packs'!$CQ$8</f>
        <v>175.14</v>
      </c>
      <c r="BX14" s="61">
        <f>'LookUp Roll&amp;Packs'!$CP$8</f>
        <v>66.8</v>
      </c>
      <c r="BY14" s="61">
        <v>1</v>
      </c>
      <c r="BZ14" s="62">
        <f t="shared" si="4"/>
        <v>22.56</v>
      </c>
      <c r="CA14" s="67">
        <f>((AI14*BO14)+BV14)/1000</f>
        <v>4.7797399999999994</v>
      </c>
      <c r="CB14" s="67"/>
      <c r="CC14" s="67">
        <f>(AI14*BR14)/1000</f>
        <v>0.16703999999999999</v>
      </c>
      <c r="CD14" s="67">
        <f>BW14/1000</f>
        <v>0.17513999999999999</v>
      </c>
      <c r="CE14" s="67">
        <f t="shared" ref="CE14:CE16" si="5">BX14/1000</f>
        <v>6.6799999999999998E-2</v>
      </c>
      <c r="CH14" s="54" t="s">
        <v>564</v>
      </c>
      <c r="CI14" s="1" t="s">
        <v>564</v>
      </c>
      <c r="CJ14" s="1" t="s">
        <v>564</v>
      </c>
    </row>
    <row r="15" spans="1:88" ht="20.100000000000001" customHeight="1">
      <c r="A15" s="84">
        <v>10000145</v>
      </c>
      <c r="B15" s="84">
        <v>10000145</v>
      </c>
      <c r="C15" s="84"/>
      <c r="D15" s="10">
        <v>10000145</v>
      </c>
      <c r="E15" s="11" t="s">
        <v>61</v>
      </c>
      <c r="F15" s="12" t="s">
        <v>62</v>
      </c>
      <c r="G15" s="12" t="s">
        <v>138</v>
      </c>
      <c r="H15" s="12" t="s">
        <v>150</v>
      </c>
      <c r="I15" s="12" t="s">
        <v>183</v>
      </c>
      <c r="J15" s="13"/>
      <c r="K15" s="13"/>
      <c r="L15" s="12" t="s">
        <v>176</v>
      </c>
      <c r="M15" s="12" t="s">
        <v>67</v>
      </c>
      <c r="N15" s="12" t="s">
        <v>68</v>
      </c>
      <c r="O15" s="12" t="s">
        <v>69</v>
      </c>
      <c r="P15" s="14">
        <v>1</v>
      </c>
      <c r="Q15" s="12" t="s">
        <v>177</v>
      </c>
      <c r="R15" s="12" t="s">
        <v>71</v>
      </c>
      <c r="S15" s="12" t="s">
        <v>72</v>
      </c>
      <c r="T15" s="14">
        <v>8721284290117</v>
      </c>
      <c r="U15" s="13"/>
      <c r="V15" s="12" t="s">
        <v>184</v>
      </c>
      <c r="W15" s="12" t="s">
        <v>74</v>
      </c>
      <c r="X15" s="12" t="s">
        <v>180</v>
      </c>
      <c r="Y15" s="13"/>
      <c r="Z15" s="13"/>
      <c r="AA15" s="14">
        <v>14.3</v>
      </c>
      <c r="AB15" s="13"/>
      <c r="AC15" s="12" t="s">
        <v>76</v>
      </c>
      <c r="AD15" s="14">
        <v>48043158</v>
      </c>
      <c r="AE15" s="12" t="s">
        <v>77</v>
      </c>
      <c r="AF15" s="13"/>
      <c r="AG15" s="12" t="s">
        <v>185</v>
      </c>
      <c r="AH15" s="14">
        <v>0.8</v>
      </c>
      <c r="AI15" s="14">
        <v>32</v>
      </c>
      <c r="AJ15" s="14">
        <v>1.2</v>
      </c>
      <c r="AK15" s="14">
        <v>1.2</v>
      </c>
      <c r="AL15" s="12" t="s">
        <v>79</v>
      </c>
      <c r="AM15" s="12" t="s">
        <v>62</v>
      </c>
      <c r="AN15" s="12" t="s">
        <v>186</v>
      </c>
      <c r="AO15" s="14">
        <v>458</v>
      </c>
      <c r="AP15" s="12" t="s">
        <v>81</v>
      </c>
      <c r="AQ15" s="12" t="s">
        <v>82</v>
      </c>
      <c r="AR15" s="12" t="s">
        <v>83</v>
      </c>
      <c r="AS15" s="12" t="s">
        <v>84</v>
      </c>
      <c r="AT15" s="12" t="s">
        <v>110</v>
      </c>
      <c r="AU15" s="13"/>
      <c r="AV15" s="15">
        <v>0.15</v>
      </c>
      <c r="AW15" s="15">
        <v>0.85</v>
      </c>
      <c r="AX15" s="13"/>
      <c r="AY15" s="15">
        <v>0.15</v>
      </c>
      <c r="AZ15" s="15">
        <v>0.3</v>
      </c>
      <c r="BA15" s="15">
        <v>0.55000000000000004</v>
      </c>
      <c r="BB15" s="14">
        <v>169</v>
      </c>
      <c r="BC15" s="14">
        <v>18</v>
      </c>
      <c r="BD15" s="14">
        <v>9.9</v>
      </c>
      <c r="BE15" s="12" t="s">
        <v>85</v>
      </c>
      <c r="BF15" s="12" t="s">
        <v>85</v>
      </c>
      <c r="BG15" s="12" t="s">
        <v>147</v>
      </c>
      <c r="BH15" s="12" t="s">
        <v>111</v>
      </c>
      <c r="BI15" s="12" t="s">
        <v>187</v>
      </c>
      <c r="BJ15" s="12" t="s">
        <v>89</v>
      </c>
      <c r="BK15" s="13"/>
      <c r="BL15" s="13"/>
      <c r="BM15" s="12" t="s">
        <v>90</v>
      </c>
      <c r="BO15" s="60">
        <f>'LookUp Roll&amp;Packs'!$U$8</f>
        <v>61.97</v>
      </c>
      <c r="BR15" s="60">
        <f>'LookUp Roll&amp;Packs'!$V$8</f>
        <v>5.22</v>
      </c>
      <c r="BT15" s="62">
        <f t="shared" si="3"/>
        <v>32</v>
      </c>
      <c r="BU15" s="60">
        <f>'LookUp Roll&amp;Packs'!$BI$8</f>
        <v>22.56</v>
      </c>
      <c r="BV15" s="60">
        <f>'LookUp Roll&amp;Packs'!$CO$8</f>
        <v>2796.7</v>
      </c>
      <c r="BW15" s="60">
        <f>'LookUp Roll&amp;Packs'!$CQ$8</f>
        <v>175.14</v>
      </c>
      <c r="BX15" s="61">
        <f>'LookUp Roll&amp;Packs'!$CP$8</f>
        <v>66.8</v>
      </c>
      <c r="BY15" s="61">
        <v>1</v>
      </c>
      <c r="BZ15" s="62">
        <f t="shared" si="4"/>
        <v>22.56</v>
      </c>
      <c r="CA15" s="67">
        <f>((AI15*BO15)+BV15)/1000</f>
        <v>4.7797399999999994</v>
      </c>
      <c r="CB15" s="67"/>
      <c r="CC15" s="67">
        <f>(AI15*BR15)/1000</f>
        <v>0.16703999999999999</v>
      </c>
      <c r="CD15" s="67">
        <f>BW15/1000</f>
        <v>0.17513999999999999</v>
      </c>
      <c r="CE15" s="67">
        <f t="shared" si="5"/>
        <v>6.6799999999999998E-2</v>
      </c>
      <c r="CH15" s="54" t="s">
        <v>564</v>
      </c>
      <c r="CI15" s="1" t="s">
        <v>564</v>
      </c>
      <c r="CJ15" s="1" t="s">
        <v>564</v>
      </c>
    </row>
    <row r="16" spans="1:88" ht="20.100000000000001" customHeight="1">
      <c r="A16" s="84">
        <v>10000146</v>
      </c>
      <c r="B16" s="84">
        <v>10000146</v>
      </c>
      <c r="C16" s="84"/>
      <c r="D16" s="10">
        <v>10000146</v>
      </c>
      <c r="E16" s="11" t="s">
        <v>61</v>
      </c>
      <c r="F16" s="12" t="s">
        <v>62</v>
      </c>
      <c r="G16" s="12" t="s">
        <v>138</v>
      </c>
      <c r="H16" s="12" t="s">
        <v>150</v>
      </c>
      <c r="I16" s="12" t="s">
        <v>188</v>
      </c>
      <c r="J16" s="13"/>
      <c r="K16" s="13"/>
      <c r="L16" s="12" t="s">
        <v>176</v>
      </c>
      <c r="M16" s="12" t="s">
        <v>67</v>
      </c>
      <c r="N16" s="12" t="s">
        <v>68</v>
      </c>
      <c r="O16" s="12" t="s">
        <v>69</v>
      </c>
      <c r="P16" s="14">
        <v>1</v>
      </c>
      <c r="Q16" s="12" t="s">
        <v>142</v>
      </c>
      <c r="R16" s="12" t="s">
        <v>71</v>
      </c>
      <c r="S16" s="12" t="s">
        <v>72</v>
      </c>
      <c r="T16" s="14">
        <v>8721284290124</v>
      </c>
      <c r="U16" s="13"/>
      <c r="V16" s="12" t="s">
        <v>184</v>
      </c>
      <c r="W16" s="12" t="s">
        <v>74</v>
      </c>
      <c r="X16" s="12" t="s">
        <v>180</v>
      </c>
      <c r="Y16" s="13"/>
      <c r="Z16" s="13"/>
      <c r="AA16" s="14">
        <v>14.3</v>
      </c>
      <c r="AB16" s="13"/>
      <c r="AC16" s="12" t="s">
        <v>76</v>
      </c>
      <c r="AD16" s="14">
        <v>48043158</v>
      </c>
      <c r="AE16" s="12" t="s">
        <v>77</v>
      </c>
      <c r="AF16" s="13"/>
      <c r="AG16" s="12" t="s">
        <v>189</v>
      </c>
      <c r="AH16" s="14">
        <v>0.8</v>
      </c>
      <c r="AI16" s="14">
        <v>32</v>
      </c>
      <c r="AJ16" s="14">
        <v>1.2</v>
      </c>
      <c r="AK16" s="14">
        <v>1.2</v>
      </c>
      <c r="AL16" s="12" t="s">
        <v>79</v>
      </c>
      <c r="AM16" s="12" t="s">
        <v>62</v>
      </c>
      <c r="AN16" s="12" t="s">
        <v>186</v>
      </c>
      <c r="AO16" s="14">
        <v>458</v>
      </c>
      <c r="AP16" s="12" t="s">
        <v>81</v>
      </c>
      <c r="AQ16" s="12" t="s">
        <v>146</v>
      </c>
      <c r="AR16" s="12" t="s">
        <v>83</v>
      </c>
      <c r="AS16" s="12" t="s">
        <v>84</v>
      </c>
      <c r="AT16" s="12" t="s">
        <v>110</v>
      </c>
      <c r="AU16" s="13"/>
      <c r="AV16" s="13"/>
      <c r="AW16" s="15">
        <v>1</v>
      </c>
      <c r="AX16" s="13"/>
      <c r="AY16" s="14">
        <v>0</v>
      </c>
      <c r="AZ16" s="14">
        <v>0</v>
      </c>
      <c r="BA16" s="15">
        <v>1</v>
      </c>
      <c r="BB16" s="14">
        <v>140</v>
      </c>
      <c r="BC16" s="14">
        <v>18</v>
      </c>
      <c r="BD16" s="14">
        <v>11.8</v>
      </c>
      <c r="BE16" s="12" t="s">
        <v>85</v>
      </c>
      <c r="BF16" s="12" t="s">
        <v>85</v>
      </c>
      <c r="BG16" s="12" t="s">
        <v>147</v>
      </c>
      <c r="BH16" s="12" t="s">
        <v>148</v>
      </c>
      <c r="BI16" s="12" t="s">
        <v>187</v>
      </c>
      <c r="BJ16" s="12" t="s">
        <v>89</v>
      </c>
      <c r="BK16" s="13"/>
      <c r="BL16" s="13"/>
      <c r="BM16" s="12" t="s">
        <v>90</v>
      </c>
      <c r="BO16" s="60">
        <f>'LookUp Roll&amp;Packs'!$U$8</f>
        <v>61.97</v>
      </c>
      <c r="BR16" s="60">
        <f>'LookUp Roll&amp;Packs'!$V$8</f>
        <v>5.22</v>
      </c>
      <c r="BT16" s="62">
        <f t="shared" si="3"/>
        <v>32</v>
      </c>
      <c r="BU16" s="60">
        <f>'LookUp Roll&amp;Packs'!$BI$8</f>
        <v>22.56</v>
      </c>
      <c r="BV16" s="60">
        <f>'LookUp Roll&amp;Packs'!$CO$8</f>
        <v>2796.7</v>
      </c>
      <c r="BW16" s="60">
        <f>'LookUp Roll&amp;Packs'!$CQ$8</f>
        <v>175.14</v>
      </c>
      <c r="BX16" s="61">
        <f>'LookUp Roll&amp;Packs'!$CP$8</f>
        <v>66.8</v>
      </c>
      <c r="BY16" s="61">
        <v>1</v>
      </c>
      <c r="BZ16" s="62">
        <f t="shared" si="4"/>
        <v>22.56</v>
      </c>
      <c r="CA16" s="67">
        <f>((AI16*BO16)+BV16)/1000</f>
        <v>4.7797399999999994</v>
      </c>
      <c r="CB16" s="67"/>
      <c r="CC16" s="67">
        <f>(AI16*BR16)/1000</f>
        <v>0.16703999999999999</v>
      </c>
      <c r="CD16" s="67">
        <f>BW16/1000</f>
        <v>0.17513999999999999</v>
      </c>
      <c r="CE16" s="67">
        <f t="shared" si="5"/>
        <v>6.6799999999999998E-2</v>
      </c>
      <c r="CH16" s="54" t="s">
        <v>564</v>
      </c>
      <c r="CI16" s="1" t="s">
        <v>564</v>
      </c>
      <c r="CJ16" s="1" t="s">
        <v>564</v>
      </c>
    </row>
    <row r="17" spans="1:88" ht="20.100000000000001" customHeight="1">
      <c r="A17" s="84">
        <v>10000192</v>
      </c>
      <c r="B17" s="84">
        <v>10000192</v>
      </c>
      <c r="C17" s="84"/>
      <c r="D17" s="10">
        <v>10000192</v>
      </c>
      <c r="E17" s="11" t="s">
        <v>61</v>
      </c>
      <c r="F17" s="12" t="s">
        <v>62</v>
      </c>
      <c r="G17" s="12" t="s">
        <v>112</v>
      </c>
      <c r="H17" s="12" t="s">
        <v>190</v>
      </c>
      <c r="I17" s="12" t="s">
        <v>191</v>
      </c>
      <c r="J17" s="12" t="s">
        <v>192</v>
      </c>
      <c r="K17" s="12" t="s">
        <v>193</v>
      </c>
      <c r="L17" s="12" t="s">
        <v>194</v>
      </c>
      <c r="M17" s="12" t="s">
        <v>99</v>
      </c>
      <c r="N17" s="12" t="s">
        <v>133</v>
      </c>
      <c r="O17" s="12" t="s">
        <v>134</v>
      </c>
      <c r="P17" s="14">
        <v>1</v>
      </c>
      <c r="Q17" s="12" t="s">
        <v>70</v>
      </c>
      <c r="R17" s="12" t="s">
        <v>71</v>
      </c>
      <c r="S17" s="12" t="s">
        <v>72</v>
      </c>
      <c r="T17" s="14">
        <v>8721284290131</v>
      </c>
      <c r="U17" s="13"/>
      <c r="V17" s="12" t="s">
        <v>135</v>
      </c>
      <c r="W17" s="14">
        <v>164</v>
      </c>
      <c r="X17" s="14">
        <v>0.51</v>
      </c>
      <c r="Y17" s="13"/>
      <c r="Z17" s="13"/>
      <c r="AA17" s="14">
        <v>6.8</v>
      </c>
      <c r="AB17" s="12" t="s">
        <v>195</v>
      </c>
      <c r="AC17" s="13"/>
      <c r="AD17" s="14">
        <v>48042110</v>
      </c>
      <c r="AE17" s="13"/>
      <c r="AF17" s="13"/>
      <c r="AG17" s="12" t="s">
        <v>196</v>
      </c>
      <c r="AH17" s="14">
        <v>0.8</v>
      </c>
      <c r="AI17" s="14">
        <v>30</v>
      </c>
      <c r="AJ17" s="14">
        <v>1.2</v>
      </c>
      <c r="AK17" s="14">
        <v>0.66</v>
      </c>
      <c r="AL17" s="12" t="s">
        <v>197</v>
      </c>
      <c r="AM17" s="12" t="s">
        <v>62</v>
      </c>
      <c r="AN17" s="14">
        <v>228</v>
      </c>
      <c r="AO17" s="14">
        <v>203</v>
      </c>
      <c r="AP17" s="12" t="s">
        <v>81</v>
      </c>
      <c r="AQ17" s="12" t="s">
        <v>82</v>
      </c>
      <c r="AR17" s="12" t="s">
        <v>83</v>
      </c>
      <c r="AS17" s="12" t="s">
        <v>84</v>
      </c>
      <c r="AT17" s="12" t="s">
        <v>62</v>
      </c>
      <c r="AU17" s="13"/>
      <c r="AV17" s="15">
        <v>0.85</v>
      </c>
      <c r="AW17" s="14">
        <v>0.15</v>
      </c>
      <c r="AX17" s="13"/>
      <c r="AY17" s="14">
        <v>0.85</v>
      </c>
      <c r="AZ17" s="14">
        <v>0</v>
      </c>
      <c r="BA17" s="14">
        <v>0.15</v>
      </c>
      <c r="BB17" s="14">
        <v>0</v>
      </c>
      <c r="BC17" s="14">
        <v>0</v>
      </c>
      <c r="BD17" s="14">
        <v>0</v>
      </c>
      <c r="BE17" s="12" t="s">
        <v>85</v>
      </c>
      <c r="BF17" s="12" t="s">
        <v>85</v>
      </c>
      <c r="BG17" s="12" t="s">
        <v>125</v>
      </c>
      <c r="BH17" s="12" t="s">
        <v>87</v>
      </c>
      <c r="BI17" s="12" t="s">
        <v>187</v>
      </c>
      <c r="BJ17" s="12" t="s">
        <v>89</v>
      </c>
      <c r="BK17" s="13"/>
      <c r="BL17" s="13"/>
      <c r="BM17" s="12" t="s">
        <v>90</v>
      </c>
      <c r="BO17" s="60">
        <f>'LookUp Roll&amp;Packs'!$W$11</f>
        <v>182.41</v>
      </c>
      <c r="BT17" s="62">
        <f t="shared" si="3"/>
        <v>30</v>
      </c>
      <c r="BU17" s="60">
        <f>'LookUp Roll&amp;Packs'!$CJ$11</f>
        <v>22.56</v>
      </c>
      <c r="BV17" s="60">
        <f>'LookUp Roll&amp;Packs'!$CO$11</f>
        <v>514.76</v>
      </c>
      <c r="BW17" s="60">
        <f>'LookUp Roll&amp;Packs'!$CQ$11</f>
        <v>156.29</v>
      </c>
      <c r="BX17" s="61"/>
      <c r="BY17" s="61"/>
      <c r="CH17" s="54" t="s">
        <v>564</v>
      </c>
      <c r="CI17" s="1" t="s">
        <v>564</v>
      </c>
      <c r="CJ17" s="1" t="s">
        <v>564</v>
      </c>
    </row>
    <row r="18" spans="1:88" ht="20.100000000000001" customHeight="1">
      <c r="A18" s="84">
        <v>10000193</v>
      </c>
      <c r="B18" s="84">
        <v>10000193</v>
      </c>
      <c r="C18" s="84"/>
      <c r="D18" s="10">
        <v>10000193</v>
      </c>
      <c r="E18" s="11" t="s">
        <v>61</v>
      </c>
      <c r="F18" s="12" t="s">
        <v>62</v>
      </c>
      <c r="G18" s="12" t="s">
        <v>112</v>
      </c>
      <c r="H18" s="12" t="s">
        <v>198</v>
      </c>
      <c r="I18" s="12" t="s">
        <v>199</v>
      </c>
      <c r="J18" s="12" t="s">
        <v>200</v>
      </c>
      <c r="K18" s="12" t="s">
        <v>116</v>
      </c>
      <c r="L18" s="12" t="s">
        <v>116</v>
      </c>
      <c r="M18" s="12" t="s">
        <v>201</v>
      </c>
      <c r="N18" s="12" t="s">
        <v>133</v>
      </c>
      <c r="O18" s="12" t="s">
        <v>134</v>
      </c>
      <c r="P18" s="14">
        <v>1</v>
      </c>
      <c r="Q18" s="12" t="s">
        <v>70</v>
      </c>
      <c r="R18" s="12" t="s">
        <v>71</v>
      </c>
      <c r="S18" s="12" t="s">
        <v>72</v>
      </c>
      <c r="T18" s="13"/>
      <c r="U18" s="13"/>
      <c r="V18" s="12" t="s">
        <v>202</v>
      </c>
      <c r="W18" s="14">
        <v>0.4</v>
      </c>
      <c r="X18" s="14">
        <v>0.51</v>
      </c>
      <c r="Y18" s="12" t="s">
        <v>203</v>
      </c>
      <c r="Z18" s="13"/>
      <c r="AA18" s="14">
        <v>8.9</v>
      </c>
      <c r="AB18" s="13"/>
      <c r="AC18" s="13"/>
      <c r="AD18" s="14">
        <v>48043158</v>
      </c>
      <c r="AE18" s="13"/>
      <c r="AF18" s="13"/>
      <c r="AG18" s="12" t="s">
        <v>204</v>
      </c>
      <c r="AH18" s="14">
        <v>0.8</v>
      </c>
      <c r="AI18" s="13"/>
      <c r="AJ18" s="14">
        <v>1.2</v>
      </c>
      <c r="AK18" s="14">
        <v>1</v>
      </c>
      <c r="AL18" s="12" t="s">
        <v>124</v>
      </c>
      <c r="AM18" s="12" t="s">
        <v>62</v>
      </c>
      <c r="AN18" s="14">
        <v>450</v>
      </c>
      <c r="AO18" s="14">
        <v>425</v>
      </c>
      <c r="AP18" s="12" t="s">
        <v>81</v>
      </c>
      <c r="AQ18" s="13"/>
      <c r="AR18" s="12" t="s">
        <v>83</v>
      </c>
      <c r="AS18" s="12" t="s">
        <v>84</v>
      </c>
      <c r="AT18" s="12" t="s">
        <v>62</v>
      </c>
      <c r="AU18" s="13"/>
      <c r="AV18" s="15">
        <v>0.85</v>
      </c>
      <c r="AW18" s="14">
        <v>0.15</v>
      </c>
      <c r="AX18" s="13"/>
      <c r="AY18" s="14">
        <v>0.85</v>
      </c>
      <c r="AZ18" s="14">
        <v>0</v>
      </c>
      <c r="BA18" s="14">
        <v>0.15</v>
      </c>
      <c r="BB18" s="14">
        <v>0</v>
      </c>
      <c r="BC18" s="14">
        <v>0</v>
      </c>
      <c r="BD18" s="14">
        <v>0</v>
      </c>
      <c r="BE18" s="12" t="s">
        <v>85</v>
      </c>
      <c r="BF18" s="12" t="s">
        <v>85</v>
      </c>
      <c r="BG18" s="12" t="s">
        <v>125</v>
      </c>
      <c r="BH18" s="12" t="s">
        <v>87</v>
      </c>
      <c r="BI18" s="12" t="s">
        <v>187</v>
      </c>
      <c r="BJ18" s="12" t="s">
        <v>89</v>
      </c>
      <c r="BK18" s="13"/>
      <c r="BL18" s="13"/>
      <c r="BM18" s="12" t="s">
        <v>90</v>
      </c>
      <c r="BT18" s="62">
        <f t="shared" si="3"/>
        <v>0</v>
      </c>
      <c r="BX18" s="61"/>
      <c r="BY18" s="61">
        <v>1</v>
      </c>
      <c r="CF18" s="62"/>
      <c r="CG18" s="1"/>
      <c r="CJ18" s="1" t="s">
        <v>564</v>
      </c>
    </row>
    <row r="19" spans="1:88" ht="20.100000000000001" customHeight="1">
      <c r="A19" s="84">
        <v>10000194</v>
      </c>
      <c r="B19" s="84">
        <v>10000194</v>
      </c>
      <c r="C19" s="84"/>
      <c r="D19" s="10">
        <v>10000194</v>
      </c>
      <c r="E19" s="11" t="s">
        <v>61</v>
      </c>
      <c r="F19" s="12" t="s">
        <v>62</v>
      </c>
      <c r="G19" s="12" t="s">
        <v>112</v>
      </c>
      <c r="H19" s="12" t="s">
        <v>198</v>
      </c>
      <c r="I19" s="12" t="s">
        <v>205</v>
      </c>
      <c r="J19" s="12" t="s">
        <v>206</v>
      </c>
      <c r="K19" s="12" t="s">
        <v>198</v>
      </c>
      <c r="L19" s="12" t="s">
        <v>198</v>
      </c>
      <c r="M19" s="12" t="s">
        <v>99</v>
      </c>
      <c r="N19" s="12" t="s">
        <v>133</v>
      </c>
      <c r="O19" s="12" t="s">
        <v>134</v>
      </c>
      <c r="P19" s="14">
        <v>1</v>
      </c>
      <c r="Q19" s="12" t="s">
        <v>70</v>
      </c>
      <c r="R19" s="12" t="s">
        <v>71</v>
      </c>
      <c r="S19" s="12" t="s">
        <v>72</v>
      </c>
      <c r="T19" s="14">
        <v>8721284290155</v>
      </c>
      <c r="U19" s="13"/>
      <c r="V19" s="12" t="s">
        <v>207</v>
      </c>
      <c r="W19" s="14">
        <v>250</v>
      </c>
      <c r="X19" s="14">
        <v>0.51</v>
      </c>
      <c r="Y19" s="13"/>
      <c r="Z19" s="13"/>
      <c r="AA19" s="14">
        <v>10.6</v>
      </c>
      <c r="AB19" s="12" t="s">
        <v>208</v>
      </c>
      <c r="AC19" s="13"/>
      <c r="AD19" s="14">
        <v>48043158</v>
      </c>
      <c r="AE19" s="13"/>
      <c r="AF19" s="13"/>
      <c r="AG19" s="12" t="s">
        <v>209</v>
      </c>
      <c r="AH19" s="14">
        <v>0.8</v>
      </c>
      <c r="AI19" s="14">
        <v>40</v>
      </c>
      <c r="AJ19" s="14">
        <v>1.2</v>
      </c>
      <c r="AK19" s="14">
        <v>1.17</v>
      </c>
      <c r="AL19" s="12" t="s">
        <v>210</v>
      </c>
      <c r="AM19" s="12" t="s">
        <v>62</v>
      </c>
      <c r="AN19" s="14">
        <v>450</v>
      </c>
      <c r="AO19" s="14">
        <v>425</v>
      </c>
      <c r="AP19" s="12" t="s">
        <v>81</v>
      </c>
      <c r="AQ19" s="12" t="s">
        <v>82</v>
      </c>
      <c r="AR19" s="12" t="s">
        <v>83</v>
      </c>
      <c r="AS19" s="12" t="s">
        <v>84</v>
      </c>
      <c r="AT19" s="12" t="s">
        <v>62</v>
      </c>
      <c r="AU19" s="13"/>
      <c r="AV19" s="15">
        <v>0.85</v>
      </c>
      <c r="AW19" s="14">
        <v>0.15</v>
      </c>
      <c r="AX19" s="13"/>
      <c r="AY19" s="14">
        <v>0.85</v>
      </c>
      <c r="AZ19" s="14">
        <v>0</v>
      </c>
      <c r="BA19" s="14">
        <v>0.15</v>
      </c>
      <c r="BB19" s="14">
        <v>0</v>
      </c>
      <c r="BC19" s="14">
        <v>0</v>
      </c>
      <c r="BD19" s="14">
        <v>0</v>
      </c>
      <c r="BE19" s="12" t="s">
        <v>85</v>
      </c>
      <c r="BF19" s="12" t="s">
        <v>85</v>
      </c>
      <c r="BG19" s="12" t="s">
        <v>125</v>
      </c>
      <c r="BH19" s="12" t="s">
        <v>87</v>
      </c>
      <c r="BI19" s="12" t="s">
        <v>187</v>
      </c>
      <c r="BJ19" s="12" t="s">
        <v>89</v>
      </c>
      <c r="BK19" s="13"/>
      <c r="BL19" s="13"/>
      <c r="BM19" s="12" t="s">
        <v>90</v>
      </c>
      <c r="BO19" s="60">
        <f>'LookUp Roll&amp;Packs'!$W$11</f>
        <v>182.41</v>
      </c>
      <c r="BT19" s="62">
        <f t="shared" si="3"/>
        <v>40</v>
      </c>
      <c r="BU19" s="60">
        <f>'LookUp Roll&amp;Packs'!$CJ$11</f>
        <v>22.56</v>
      </c>
      <c r="BV19" s="60">
        <f>'LookUp Roll&amp;Packs'!$CO$11</f>
        <v>514.76</v>
      </c>
      <c r="BW19" s="60">
        <f>'LookUp Roll&amp;Packs'!$CQ$11</f>
        <v>156.29</v>
      </c>
      <c r="BX19" s="61"/>
      <c r="BY19" s="61">
        <v>1</v>
      </c>
      <c r="BZ19" s="62">
        <f>BU19</f>
        <v>22.56</v>
      </c>
      <c r="CA19" s="67">
        <f t="shared" ref="CA19:CA23" si="6">((AI19*BO19)+BV19)/1000</f>
        <v>7.8111600000000001</v>
      </c>
      <c r="CB19" s="67"/>
      <c r="CD19" s="67">
        <f t="shared" ref="CD19:CD23" si="7">BW19/1000</f>
        <v>0.15628999999999998</v>
      </c>
      <c r="CH19" s="54" t="s">
        <v>564</v>
      </c>
      <c r="CI19" s="1" t="s">
        <v>564</v>
      </c>
      <c r="CJ19" s="1" t="s">
        <v>564</v>
      </c>
    </row>
    <row r="20" spans="1:88" ht="20.100000000000001" customHeight="1">
      <c r="A20" s="84">
        <v>10000195</v>
      </c>
      <c r="B20" s="84">
        <v>10000195</v>
      </c>
      <c r="C20" s="84"/>
      <c r="D20" s="10">
        <v>10000195</v>
      </c>
      <c r="E20" s="11" t="s">
        <v>61</v>
      </c>
      <c r="F20" s="12" t="s">
        <v>62</v>
      </c>
      <c r="G20" s="12" t="s">
        <v>112</v>
      </c>
      <c r="H20" s="12" t="s">
        <v>198</v>
      </c>
      <c r="I20" s="12" t="s">
        <v>211</v>
      </c>
      <c r="J20" s="12" t="s">
        <v>212</v>
      </c>
      <c r="K20" s="12" t="s">
        <v>198</v>
      </c>
      <c r="L20" s="12" t="s">
        <v>198</v>
      </c>
      <c r="M20" s="12" t="s">
        <v>99</v>
      </c>
      <c r="N20" s="12" t="s">
        <v>133</v>
      </c>
      <c r="O20" s="12" t="s">
        <v>134</v>
      </c>
      <c r="P20" s="14">
        <v>1</v>
      </c>
      <c r="Q20" s="12" t="s">
        <v>70</v>
      </c>
      <c r="R20" s="12" t="s">
        <v>93</v>
      </c>
      <c r="S20" s="12" t="s">
        <v>72</v>
      </c>
      <c r="T20" s="14">
        <v>8721284290162</v>
      </c>
      <c r="U20" s="13"/>
      <c r="V20" s="12" t="s">
        <v>207</v>
      </c>
      <c r="W20" s="14">
        <v>250</v>
      </c>
      <c r="X20" s="14">
        <v>0.51</v>
      </c>
      <c r="Y20" s="12" t="s">
        <v>93</v>
      </c>
      <c r="Z20" s="13"/>
      <c r="AA20" s="14">
        <v>10.6</v>
      </c>
      <c r="AB20" s="12" t="s">
        <v>208</v>
      </c>
      <c r="AC20" s="13"/>
      <c r="AD20" s="14">
        <v>48043158</v>
      </c>
      <c r="AE20" s="13"/>
      <c r="AF20" s="13"/>
      <c r="AG20" s="12" t="s">
        <v>213</v>
      </c>
      <c r="AH20" s="14">
        <v>0.8</v>
      </c>
      <c r="AI20" s="14">
        <v>40</v>
      </c>
      <c r="AJ20" s="14">
        <v>1.2</v>
      </c>
      <c r="AK20" s="14">
        <v>1.17</v>
      </c>
      <c r="AL20" s="12" t="s">
        <v>210</v>
      </c>
      <c r="AM20" s="12" t="s">
        <v>62</v>
      </c>
      <c r="AN20" s="14">
        <v>450</v>
      </c>
      <c r="AO20" s="14">
        <v>425</v>
      </c>
      <c r="AP20" s="12" t="s">
        <v>81</v>
      </c>
      <c r="AQ20" s="12" t="s">
        <v>82</v>
      </c>
      <c r="AR20" s="12" t="s">
        <v>83</v>
      </c>
      <c r="AS20" s="12" t="s">
        <v>84</v>
      </c>
      <c r="AT20" s="12" t="s">
        <v>62</v>
      </c>
      <c r="AU20" s="13"/>
      <c r="AV20" s="15">
        <v>0.85</v>
      </c>
      <c r="AW20" s="14">
        <v>0.15</v>
      </c>
      <c r="AX20" s="13"/>
      <c r="AY20" s="14">
        <v>0.85</v>
      </c>
      <c r="AZ20" s="14">
        <v>0</v>
      </c>
      <c r="BA20" s="14">
        <v>0.15</v>
      </c>
      <c r="BB20" s="14">
        <v>0</v>
      </c>
      <c r="BC20" s="14">
        <v>0</v>
      </c>
      <c r="BD20" s="14">
        <v>0</v>
      </c>
      <c r="BE20" s="12" t="s">
        <v>85</v>
      </c>
      <c r="BF20" s="12" t="s">
        <v>85</v>
      </c>
      <c r="BG20" s="12" t="s">
        <v>125</v>
      </c>
      <c r="BH20" s="12" t="s">
        <v>87</v>
      </c>
      <c r="BI20" s="12" t="s">
        <v>187</v>
      </c>
      <c r="BJ20" s="12" t="s">
        <v>89</v>
      </c>
      <c r="BK20" s="13"/>
      <c r="BL20" s="13"/>
      <c r="BM20" s="12" t="s">
        <v>90</v>
      </c>
      <c r="BO20" s="60">
        <f>'LookUp Roll&amp;Packs'!$W$11</f>
        <v>182.41</v>
      </c>
      <c r="BT20" s="62">
        <f t="shared" si="3"/>
        <v>40</v>
      </c>
      <c r="BU20" s="60">
        <f>'LookUp Roll&amp;Packs'!$CJ$11</f>
        <v>22.56</v>
      </c>
      <c r="BV20" s="60">
        <f>'LookUp Roll&amp;Packs'!$CO$11</f>
        <v>514.76</v>
      </c>
      <c r="BW20" s="60">
        <f>'LookUp Roll&amp;Packs'!$CQ$11</f>
        <v>156.29</v>
      </c>
      <c r="BX20" s="61"/>
      <c r="BY20" s="61">
        <v>1</v>
      </c>
      <c r="BZ20" s="62">
        <f>BU20</f>
        <v>22.56</v>
      </c>
      <c r="CA20" s="67">
        <f t="shared" si="6"/>
        <v>7.8111600000000001</v>
      </c>
      <c r="CB20" s="67"/>
      <c r="CD20" s="67">
        <f t="shared" si="7"/>
        <v>0.15628999999999998</v>
      </c>
      <c r="CH20" s="54" t="s">
        <v>564</v>
      </c>
      <c r="CI20" s="1" t="s">
        <v>564</v>
      </c>
      <c r="CJ20" s="1" t="s">
        <v>564</v>
      </c>
    </row>
    <row r="21" spans="1:88" ht="20.100000000000001" customHeight="1">
      <c r="A21" s="84">
        <v>10000365</v>
      </c>
      <c r="B21" s="84">
        <v>10000365</v>
      </c>
      <c r="C21" s="84"/>
      <c r="D21" s="10">
        <v>10000365</v>
      </c>
      <c r="E21" s="11" t="s">
        <v>61</v>
      </c>
      <c r="F21" s="12" t="s">
        <v>62</v>
      </c>
      <c r="G21" s="12" t="s">
        <v>112</v>
      </c>
      <c r="H21" s="12" t="s">
        <v>198</v>
      </c>
      <c r="I21" s="12" t="s">
        <v>214</v>
      </c>
      <c r="J21" s="12" t="s">
        <v>215</v>
      </c>
      <c r="K21" s="12" t="s">
        <v>198</v>
      </c>
      <c r="L21" s="12" t="s">
        <v>198</v>
      </c>
      <c r="M21" s="12" t="s">
        <v>99</v>
      </c>
      <c r="N21" s="12" t="s">
        <v>216</v>
      </c>
      <c r="O21" s="12" t="s">
        <v>217</v>
      </c>
      <c r="P21" s="14">
        <v>1</v>
      </c>
      <c r="Q21" s="12" t="s">
        <v>70</v>
      </c>
      <c r="R21" s="12" t="s">
        <v>93</v>
      </c>
      <c r="S21" s="12" t="s">
        <v>72</v>
      </c>
      <c r="T21" s="14">
        <v>8721284290179</v>
      </c>
      <c r="U21" s="13"/>
      <c r="V21" s="12" t="s">
        <v>218</v>
      </c>
      <c r="W21" s="14">
        <v>840</v>
      </c>
      <c r="X21" s="14">
        <v>0.3</v>
      </c>
      <c r="Y21" s="13"/>
      <c r="Z21" s="13"/>
      <c r="AA21" s="14">
        <v>5.8</v>
      </c>
      <c r="AB21" s="12" t="s">
        <v>219</v>
      </c>
      <c r="AC21" s="13"/>
      <c r="AD21" s="14">
        <v>48043951</v>
      </c>
      <c r="AE21" s="13"/>
      <c r="AF21" s="13"/>
      <c r="AG21" s="12" t="s">
        <v>220</v>
      </c>
      <c r="AH21" s="14">
        <v>0.8</v>
      </c>
      <c r="AI21" s="14">
        <v>20</v>
      </c>
      <c r="AJ21" s="14">
        <v>1.2</v>
      </c>
      <c r="AK21" s="14">
        <v>0.46</v>
      </c>
      <c r="AL21" s="12" t="s">
        <v>221</v>
      </c>
      <c r="AM21" s="12" t="s">
        <v>62</v>
      </c>
      <c r="AN21" s="14">
        <v>140</v>
      </c>
      <c r="AO21" s="14">
        <v>115</v>
      </c>
      <c r="AP21" s="12" t="s">
        <v>81</v>
      </c>
      <c r="AQ21" s="12" t="s">
        <v>82</v>
      </c>
      <c r="AR21" s="12" t="s">
        <v>83</v>
      </c>
      <c r="AS21" s="12" t="s">
        <v>84</v>
      </c>
      <c r="AT21" s="12" t="s">
        <v>62</v>
      </c>
      <c r="AU21" s="13"/>
      <c r="AV21" s="15">
        <v>0.85</v>
      </c>
      <c r="AW21" s="14">
        <v>0.15</v>
      </c>
      <c r="AX21" s="13"/>
      <c r="AY21" s="14">
        <v>0.85</v>
      </c>
      <c r="AZ21" s="14">
        <v>0</v>
      </c>
      <c r="BA21" s="14">
        <v>0.15</v>
      </c>
      <c r="BB21" s="14">
        <v>0</v>
      </c>
      <c r="BC21" s="14">
        <v>0</v>
      </c>
      <c r="BD21" s="14">
        <v>0</v>
      </c>
      <c r="BE21" s="12" t="s">
        <v>85</v>
      </c>
      <c r="BF21" s="13"/>
      <c r="BG21" s="12" t="s">
        <v>125</v>
      </c>
      <c r="BH21" s="12" t="s">
        <v>87</v>
      </c>
      <c r="BI21" s="12" t="s">
        <v>187</v>
      </c>
      <c r="BJ21" s="12" t="s">
        <v>89</v>
      </c>
      <c r="BK21" s="13"/>
      <c r="BL21" s="13"/>
      <c r="BM21" s="12" t="s">
        <v>90</v>
      </c>
      <c r="BO21" s="60">
        <f>'LookUp Roll&amp;Packs'!$E$12</f>
        <v>110</v>
      </c>
      <c r="BT21" s="62">
        <f t="shared" si="3"/>
        <v>20</v>
      </c>
      <c r="BU21" s="60">
        <f>'LookUp Roll&amp;Packs'!$CJ$12</f>
        <v>22.56</v>
      </c>
      <c r="BV21" s="60">
        <f>'LookUp Roll&amp;Packs'!$CO$12</f>
        <v>514.76</v>
      </c>
      <c r="BW21" s="60">
        <f>'LookUp Roll&amp;Packs'!$CQ$12</f>
        <v>100</v>
      </c>
      <c r="BX21" s="61"/>
      <c r="BY21" s="61">
        <v>1</v>
      </c>
      <c r="BZ21" s="62">
        <f>BU21</f>
        <v>22.56</v>
      </c>
      <c r="CA21" s="67">
        <f>((AI21*BO21)+BV21)/1000</f>
        <v>2.7147600000000001</v>
      </c>
      <c r="CB21" s="67"/>
      <c r="CD21" s="67">
        <f t="shared" si="7"/>
        <v>0.1</v>
      </c>
      <c r="CH21" s="54" t="s">
        <v>564</v>
      </c>
      <c r="CI21" s="1" t="s">
        <v>564</v>
      </c>
      <c r="CJ21" s="1" t="s">
        <v>564</v>
      </c>
    </row>
    <row r="22" spans="1:88" ht="20.100000000000001" customHeight="1">
      <c r="A22" s="84">
        <v>10000368</v>
      </c>
      <c r="B22" s="84">
        <v>10000368</v>
      </c>
      <c r="C22" s="84"/>
      <c r="D22" s="10">
        <v>10000368</v>
      </c>
      <c r="E22" s="11" t="s">
        <v>61</v>
      </c>
      <c r="F22" s="12" t="s">
        <v>62</v>
      </c>
      <c r="G22" s="12" t="s">
        <v>112</v>
      </c>
      <c r="H22" s="12" t="s">
        <v>198</v>
      </c>
      <c r="I22" s="12" t="s">
        <v>222</v>
      </c>
      <c r="J22" s="12" t="s">
        <v>223</v>
      </c>
      <c r="K22" s="12" t="s">
        <v>198</v>
      </c>
      <c r="L22" s="12" t="s">
        <v>198</v>
      </c>
      <c r="M22" s="12" t="s">
        <v>99</v>
      </c>
      <c r="N22" s="12" t="s">
        <v>216</v>
      </c>
      <c r="O22" s="12" t="s">
        <v>217</v>
      </c>
      <c r="P22" s="14">
        <v>1</v>
      </c>
      <c r="Q22" s="12" t="s">
        <v>70</v>
      </c>
      <c r="R22" s="12" t="s">
        <v>224</v>
      </c>
      <c r="S22" s="12" t="s">
        <v>72</v>
      </c>
      <c r="T22" s="13"/>
      <c r="U22" s="13"/>
      <c r="V22" s="12" t="s">
        <v>218</v>
      </c>
      <c r="W22" s="14">
        <v>840</v>
      </c>
      <c r="X22" s="14">
        <v>0.3</v>
      </c>
      <c r="Y22" s="12" t="s">
        <v>224</v>
      </c>
      <c r="Z22" s="13"/>
      <c r="AA22" s="14">
        <v>5.8</v>
      </c>
      <c r="AB22" s="13"/>
      <c r="AC22" s="13"/>
      <c r="AD22" s="14">
        <v>48053000</v>
      </c>
      <c r="AE22" s="13"/>
      <c r="AF22" s="13"/>
      <c r="AG22" s="12" t="s">
        <v>225</v>
      </c>
      <c r="AH22" s="14">
        <v>0.8</v>
      </c>
      <c r="AI22" s="13">
        <v>20</v>
      </c>
      <c r="AJ22" s="14">
        <v>1.2</v>
      </c>
      <c r="AK22" s="14">
        <v>0.46</v>
      </c>
      <c r="AL22" s="12" t="s">
        <v>221</v>
      </c>
      <c r="AM22" s="12" t="s">
        <v>62</v>
      </c>
      <c r="AN22" s="14">
        <v>140</v>
      </c>
      <c r="AO22" s="14">
        <v>115</v>
      </c>
      <c r="AP22" s="12" t="s">
        <v>81</v>
      </c>
      <c r="AQ22" s="13"/>
      <c r="AR22" s="12" t="s">
        <v>83</v>
      </c>
      <c r="AS22" s="12" t="s">
        <v>84</v>
      </c>
      <c r="AT22" s="12" t="s">
        <v>62</v>
      </c>
      <c r="AU22" s="13"/>
      <c r="AV22" s="15">
        <v>0.85</v>
      </c>
      <c r="AW22" s="14">
        <v>0.15</v>
      </c>
      <c r="AX22" s="13"/>
      <c r="AY22" s="14">
        <v>0.85</v>
      </c>
      <c r="AZ22" s="14">
        <v>0</v>
      </c>
      <c r="BA22" s="14">
        <v>0.15</v>
      </c>
      <c r="BB22" s="14">
        <v>0</v>
      </c>
      <c r="BC22" s="14">
        <v>0</v>
      </c>
      <c r="BD22" s="14">
        <v>0</v>
      </c>
      <c r="BE22" s="12" t="s">
        <v>85</v>
      </c>
      <c r="BF22" s="12" t="s">
        <v>85</v>
      </c>
      <c r="BG22" s="12" t="s">
        <v>125</v>
      </c>
      <c r="BH22" s="12" t="s">
        <v>87</v>
      </c>
      <c r="BI22" s="12" t="s">
        <v>187</v>
      </c>
      <c r="BJ22" s="12" t="s">
        <v>89</v>
      </c>
      <c r="BK22" s="13"/>
      <c r="BL22" s="13"/>
      <c r="BM22" s="12" t="s">
        <v>90</v>
      </c>
      <c r="BO22" s="60">
        <f>'LookUp Roll&amp;Packs'!$E$12</f>
        <v>110</v>
      </c>
      <c r="BT22" s="62">
        <f t="shared" si="3"/>
        <v>20</v>
      </c>
      <c r="BU22" s="60">
        <f>'LookUp Roll&amp;Packs'!$CJ$12</f>
        <v>22.56</v>
      </c>
      <c r="BV22" s="60">
        <f>'LookUp Roll&amp;Packs'!$CO$12</f>
        <v>514.76</v>
      </c>
      <c r="BW22" s="60">
        <f>'LookUp Roll&amp;Packs'!$CQ$12</f>
        <v>100</v>
      </c>
      <c r="BX22" s="61"/>
      <c r="BY22" s="61">
        <v>1</v>
      </c>
      <c r="BZ22" s="62">
        <f>BU22</f>
        <v>22.56</v>
      </c>
      <c r="CA22" s="67">
        <f t="shared" si="6"/>
        <v>2.7147600000000001</v>
      </c>
      <c r="CB22" s="67"/>
      <c r="CD22" s="67">
        <f t="shared" si="7"/>
        <v>0.1</v>
      </c>
      <c r="CH22" s="54" t="s">
        <v>564</v>
      </c>
      <c r="CI22" s="1" t="s">
        <v>564</v>
      </c>
      <c r="CJ22" s="1" t="s">
        <v>564</v>
      </c>
    </row>
    <row r="23" spans="1:88" ht="20.100000000000001" customHeight="1">
      <c r="A23" s="84">
        <v>10000398</v>
      </c>
      <c r="B23" s="84">
        <v>10000398</v>
      </c>
      <c r="C23" s="84"/>
      <c r="D23" s="10">
        <v>10000398</v>
      </c>
      <c r="E23" s="11" t="s">
        <v>61</v>
      </c>
      <c r="F23" s="12" t="s">
        <v>62</v>
      </c>
      <c r="G23" s="12" t="s">
        <v>63</v>
      </c>
      <c r="H23" s="12" t="s">
        <v>226</v>
      </c>
      <c r="I23" s="12" t="s">
        <v>227</v>
      </c>
      <c r="J23" s="13"/>
      <c r="K23" s="13"/>
      <c r="L23" s="12" t="s">
        <v>228</v>
      </c>
      <c r="M23" s="12" t="s">
        <v>99</v>
      </c>
      <c r="N23" s="12" t="s">
        <v>229</v>
      </c>
      <c r="O23" s="12" t="s">
        <v>230</v>
      </c>
      <c r="P23" s="14">
        <v>2</v>
      </c>
      <c r="Q23" s="12" t="s">
        <v>102</v>
      </c>
      <c r="R23" s="12" t="s">
        <v>71</v>
      </c>
      <c r="S23" s="12" t="s">
        <v>72</v>
      </c>
      <c r="T23" s="14">
        <v>8721284290193</v>
      </c>
      <c r="U23" s="13"/>
      <c r="V23" s="12" t="s">
        <v>231</v>
      </c>
      <c r="W23" s="12" t="s">
        <v>232</v>
      </c>
      <c r="X23" s="12" t="s">
        <v>233</v>
      </c>
      <c r="Y23" s="13"/>
      <c r="Z23" s="13"/>
      <c r="AA23" s="14">
        <v>14.5</v>
      </c>
      <c r="AB23" s="12" t="s">
        <v>208</v>
      </c>
      <c r="AC23" s="13"/>
      <c r="AD23" s="14">
        <v>48043158</v>
      </c>
      <c r="AE23" s="12" t="s">
        <v>77</v>
      </c>
      <c r="AF23" s="13"/>
      <c r="AG23" s="12" t="s">
        <v>234</v>
      </c>
      <c r="AH23" s="14">
        <v>0.8</v>
      </c>
      <c r="AI23" s="14">
        <v>20</v>
      </c>
      <c r="AJ23" s="14">
        <v>1.2</v>
      </c>
      <c r="AK23" s="14">
        <v>0.83</v>
      </c>
      <c r="AL23" s="12" t="s">
        <v>235</v>
      </c>
      <c r="AM23" s="12" t="s">
        <v>62</v>
      </c>
      <c r="AN23" s="12" t="s">
        <v>236</v>
      </c>
      <c r="AO23" s="14">
        <v>290</v>
      </c>
      <c r="AP23" s="12" t="s">
        <v>81</v>
      </c>
      <c r="AQ23" s="12" t="s">
        <v>82</v>
      </c>
      <c r="AR23" s="12" t="s">
        <v>83</v>
      </c>
      <c r="AS23" s="12" t="s">
        <v>84</v>
      </c>
      <c r="AT23" s="12" t="s">
        <v>62</v>
      </c>
      <c r="AU23" s="13"/>
      <c r="AV23" s="15">
        <v>0.85</v>
      </c>
      <c r="AW23" s="15">
        <v>0.15</v>
      </c>
      <c r="AX23" s="13"/>
      <c r="AY23" s="15">
        <v>0.85</v>
      </c>
      <c r="AZ23" s="14">
        <v>0</v>
      </c>
      <c r="BA23" s="15">
        <v>0.15</v>
      </c>
      <c r="BB23" s="13"/>
      <c r="BC23" s="13"/>
      <c r="BD23" s="13"/>
      <c r="BE23" s="12" t="s">
        <v>85</v>
      </c>
      <c r="BF23" s="12" t="s">
        <v>85</v>
      </c>
      <c r="BG23" s="16" t="s">
        <v>86</v>
      </c>
      <c r="BH23" s="12" t="s">
        <v>87</v>
      </c>
      <c r="BI23" s="12" t="s">
        <v>187</v>
      </c>
      <c r="BJ23" s="12" t="s">
        <v>89</v>
      </c>
      <c r="BK23" s="13"/>
      <c r="BL23" s="13"/>
      <c r="BM23" s="12" t="s">
        <v>90</v>
      </c>
      <c r="BO23" s="60">
        <f>'LookUp Roll&amp;Packs'!$W$5</f>
        <v>156.91999999999999</v>
      </c>
      <c r="BT23" s="62">
        <f t="shared" si="3"/>
        <v>20</v>
      </c>
      <c r="BU23" s="60">
        <f>'LookUp Roll&amp;Packs'!$CJ$5</f>
        <v>22.56</v>
      </c>
      <c r="BV23" s="60">
        <f>'LookUp Roll&amp;Packs'!$CO$5</f>
        <v>257.38</v>
      </c>
      <c r="BW23" s="60">
        <f>'LookUp Roll&amp;Packs'!$CQ$5</f>
        <v>135</v>
      </c>
      <c r="BX23" s="61"/>
      <c r="BY23" s="61">
        <v>1</v>
      </c>
      <c r="BZ23" s="62">
        <f t="shared" ref="BZ23" si="8">BU23</f>
        <v>22.56</v>
      </c>
      <c r="CA23" s="67">
        <f t="shared" si="6"/>
        <v>3.3957799999999998</v>
      </c>
      <c r="CB23" s="67"/>
      <c r="CC23" s="67">
        <f t="shared" ref="CC23" si="9">(AI23*BR23)/1000</f>
        <v>0</v>
      </c>
      <c r="CD23" s="67">
        <f t="shared" si="7"/>
        <v>0.13500000000000001</v>
      </c>
      <c r="CE23" s="67">
        <f t="shared" ref="CE23" si="10">BX23/1000</f>
        <v>0</v>
      </c>
      <c r="CH23" s="54" t="s">
        <v>564</v>
      </c>
      <c r="CI23" s="1" t="s">
        <v>564</v>
      </c>
      <c r="CJ23" s="1" t="s">
        <v>564</v>
      </c>
    </row>
    <row r="24" spans="1:88" ht="20.100000000000001" customHeight="1">
      <c r="A24" s="84">
        <v>10000411</v>
      </c>
      <c r="B24" s="84">
        <v>10000411</v>
      </c>
      <c r="C24" s="89" t="s">
        <v>678</v>
      </c>
      <c r="D24" s="90">
        <v>10000411</v>
      </c>
      <c r="E24" s="11"/>
      <c r="F24" s="12"/>
      <c r="G24" s="12"/>
      <c r="H24" s="12"/>
      <c r="I24" s="12"/>
      <c r="J24" s="13"/>
      <c r="K24" s="13"/>
      <c r="L24" s="13"/>
      <c r="M24" s="12"/>
      <c r="N24" s="12"/>
      <c r="O24" s="16"/>
      <c r="P24" s="14"/>
      <c r="Q24" s="12"/>
      <c r="R24" s="12"/>
      <c r="S24" s="12"/>
      <c r="T24" s="13"/>
      <c r="U24" s="13"/>
      <c r="V24" s="12"/>
      <c r="W24" s="14"/>
      <c r="X24" s="14"/>
      <c r="Y24" s="12"/>
      <c r="Z24" s="13"/>
      <c r="AA24" s="14"/>
      <c r="AB24" s="13"/>
      <c r="AC24" s="13"/>
      <c r="AD24" s="14"/>
      <c r="AE24" s="12"/>
      <c r="AF24" s="13"/>
      <c r="AG24" s="12" t="s">
        <v>678</v>
      </c>
      <c r="AH24" s="14"/>
      <c r="AI24" s="13">
        <v>24</v>
      </c>
      <c r="AJ24" s="14"/>
      <c r="AK24" s="14"/>
      <c r="AL24" s="12"/>
      <c r="AM24" s="12"/>
      <c r="AN24" s="14"/>
      <c r="AO24" s="14"/>
      <c r="AP24" s="12"/>
      <c r="AQ24" s="13"/>
      <c r="AR24" s="12"/>
      <c r="AS24" s="12"/>
      <c r="AT24" s="12"/>
      <c r="AU24" s="13"/>
      <c r="AV24" s="12"/>
      <c r="AW24" s="13"/>
      <c r="AX24" s="13"/>
      <c r="AY24" s="14"/>
      <c r="AZ24" s="14"/>
      <c r="BA24" s="14"/>
      <c r="BB24" s="14"/>
      <c r="BC24" s="14"/>
      <c r="BD24" s="14"/>
      <c r="BE24" s="13"/>
      <c r="BF24" s="13"/>
      <c r="BG24" s="13"/>
      <c r="BH24" s="13"/>
      <c r="BI24" s="12"/>
      <c r="BJ24" s="12"/>
      <c r="BK24" s="13"/>
      <c r="BL24" s="13"/>
      <c r="BM24" s="12"/>
      <c r="BO24" s="60">
        <f>'LookUp Roll&amp;Packs'!$U$7</f>
        <v>80.739999999999995</v>
      </c>
      <c r="BR24" s="60">
        <f>'LookUp Roll&amp;Packs'!$V$7</f>
        <v>5.22</v>
      </c>
      <c r="BT24" s="62">
        <v>24</v>
      </c>
      <c r="BU24" s="60">
        <f>'LookUp Roll&amp;Packs'!$CJ$7</f>
        <v>22.56</v>
      </c>
      <c r="BV24" s="60">
        <f>'LookUp Roll&amp;Packs'!$CO$7</f>
        <v>2796.7</v>
      </c>
      <c r="BW24" s="60">
        <f>'LookUp Roll&amp;Packs'!$CQ$7</f>
        <v>175.14</v>
      </c>
      <c r="BX24" s="61">
        <f>'LookUp Roll&amp;Packs'!$CP$7</f>
        <v>66.8</v>
      </c>
      <c r="BY24" s="61">
        <v>1</v>
      </c>
      <c r="BZ24" s="62">
        <f t="shared" ref="BZ24" si="11">BU24</f>
        <v>22.56</v>
      </c>
      <c r="CA24" s="67">
        <f t="shared" ref="CA24" si="12">((AI24*BO24)+BV24)/1000</f>
        <v>4.7344599999999994</v>
      </c>
      <c r="CB24" s="67"/>
      <c r="CC24" s="67">
        <f>(AI24*BR24)/1000</f>
        <v>0.12528</v>
      </c>
      <c r="CD24" s="67">
        <f t="shared" ref="CD24" si="13">BW24/1000</f>
        <v>0.17513999999999999</v>
      </c>
      <c r="CE24" s="67">
        <f t="shared" ref="CE24" si="14">BX24/1000</f>
        <v>6.6799999999999998E-2</v>
      </c>
      <c r="CG24" s="1"/>
    </row>
    <row r="25" spans="1:88" ht="19.5" customHeight="1">
      <c r="A25" s="84">
        <v>10000416</v>
      </c>
      <c r="B25" s="84">
        <v>10000416</v>
      </c>
      <c r="C25" s="89" t="s">
        <v>679</v>
      </c>
      <c r="D25" s="90">
        <v>10000416</v>
      </c>
      <c r="E25" s="11"/>
      <c r="F25" s="12"/>
      <c r="G25" s="12"/>
      <c r="H25" s="12"/>
      <c r="I25" s="12"/>
      <c r="J25" s="13"/>
      <c r="K25" s="13"/>
      <c r="L25" s="13"/>
      <c r="M25" s="12"/>
      <c r="N25" s="12"/>
      <c r="O25" s="16"/>
      <c r="P25" s="14"/>
      <c r="Q25" s="12"/>
      <c r="R25" s="12"/>
      <c r="S25" s="12"/>
      <c r="T25" s="13"/>
      <c r="U25" s="13"/>
      <c r="V25" s="12"/>
      <c r="W25" s="14"/>
      <c r="X25" s="14"/>
      <c r="Y25" s="12"/>
      <c r="Z25" s="13"/>
      <c r="AA25" s="14"/>
      <c r="AB25" s="13"/>
      <c r="AC25" s="13"/>
      <c r="AD25" s="14"/>
      <c r="AE25" s="12"/>
      <c r="AF25" s="13"/>
      <c r="AG25" s="12" t="s">
        <v>679</v>
      </c>
      <c r="AH25" s="14"/>
      <c r="AI25" s="13">
        <v>24</v>
      </c>
      <c r="AJ25" s="14"/>
      <c r="AK25" s="14"/>
      <c r="AL25" s="12"/>
      <c r="AM25" s="12"/>
      <c r="AN25" s="14"/>
      <c r="AO25" s="14"/>
      <c r="AP25" s="12"/>
      <c r="AQ25" s="13"/>
      <c r="AR25" s="12"/>
      <c r="AS25" s="12"/>
      <c r="AT25" s="12"/>
      <c r="AU25" s="13"/>
      <c r="AV25" s="12"/>
      <c r="AW25" s="13"/>
      <c r="AX25" s="13"/>
      <c r="AY25" s="14"/>
      <c r="AZ25" s="14"/>
      <c r="BA25" s="14"/>
      <c r="BB25" s="14"/>
      <c r="BC25" s="14"/>
      <c r="BD25" s="14"/>
      <c r="BE25" s="13"/>
      <c r="BF25" s="13"/>
      <c r="BG25" s="13"/>
      <c r="BH25" s="13"/>
      <c r="BI25" s="12"/>
      <c r="BJ25" s="12"/>
      <c r="BK25" s="13"/>
      <c r="BL25" s="13"/>
      <c r="BM25" s="12"/>
      <c r="BO25" s="60">
        <f>'LookUp Roll&amp;Packs'!$U$7</f>
        <v>80.739999999999995</v>
      </c>
      <c r="BR25" s="60">
        <f>'LookUp Roll&amp;Packs'!$V$7</f>
        <v>5.22</v>
      </c>
      <c r="BT25" s="62">
        <v>24</v>
      </c>
      <c r="BU25" s="60">
        <f>'LookUp Roll&amp;Packs'!$CJ$7</f>
        <v>22.56</v>
      </c>
      <c r="BV25" s="60">
        <f>'LookUp Roll&amp;Packs'!$CO$7</f>
        <v>2796.7</v>
      </c>
      <c r="BW25" s="60">
        <f>'LookUp Roll&amp;Packs'!$CQ$7</f>
        <v>175.14</v>
      </c>
      <c r="BX25" s="61">
        <f>'LookUp Roll&amp;Packs'!$CP$7</f>
        <v>66.8</v>
      </c>
      <c r="BY25" s="61">
        <v>1</v>
      </c>
      <c r="BZ25" s="62">
        <f t="shared" ref="BZ25:BZ27" si="15">BU25</f>
        <v>22.56</v>
      </c>
      <c r="CA25" s="67">
        <f t="shared" ref="CA25:CA27" si="16">((AI25*BO25)+BV25)/1000</f>
        <v>4.7344599999999994</v>
      </c>
      <c r="CB25" s="67"/>
      <c r="CC25" s="67">
        <f t="shared" ref="CC25:CC27" si="17">(AI25*BR25)/1000</f>
        <v>0.12528</v>
      </c>
      <c r="CD25" s="67">
        <f t="shared" ref="CD25:CD27" si="18">BW25/1000</f>
        <v>0.17513999999999999</v>
      </c>
      <c r="CE25" s="67">
        <f t="shared" ref="CE25:CE27" si="19">BX25/1000</f>
        <v>6.6799999999999998E-2</v>
      </c>
      <c r="CG25" s="1"/>
    </row>
    <row r="26" spans="1:88" ht="19.5" customHeight="1">
      <c r="A26" s="84">
        <v>10000418</v>
      </c>
      <c r="B26" s="84">
        <v>10000418</v>
      </c>
      <c r="C26" s="89" t="s">
        <v>680</v>
      </c>
      <c r="D26" s="90">
        <v>10000418</v>
      </c>
      <c r="E26" s="11"/>
      <c r="F26" s="12"/>
      <c r="G26" s="12"/>
      <c r="H26" s="12"/>
      <c r="I26" s="12"/>
      <c r="J26" s="13"/>
      <c r="K26" s="13"/>
      <c r="L26" s="13"/>
      <c r="M26" s="12"/>
      <c r="N26" s="12"/>
      <c r="O26" s="16"/>
      <c r="P26" s="14"/>
      <c r="Q26" s="12"/>
      <c r="R26" s="12"/>
      <c r="S26" s="12"/>
      <c r="T26" s="13"/>
      <c r="U26" s="13"/>
      <c r="V26" s="12"/>
      <c r="W26" s="14"/>
      <c r="X26" s="14"/>
      <c r="Y26" s="12"/>
      <c r="Z26" s="13"/>
      <c r="AA26" s="14"/>
      <c r="AB26" s="13"/>
      <c r="AC26" s="13"/>
      <c r="AD26" s="14"/>
      <c r="AE26" s="12"/>
      <c r="AF26" s="13"/>
      <c r="AG26" s="12" t="s">
        <v>680</v>
      </c>
      <c r="AH26" s="14"/>
      <c r="AI26" s="13">
        <v>24</v>
      </c>
      <c r="AJ26" s="14"/>
      <c r="AK26" s="14"/>
      <c r="AL26" s="12"/>
      <c r="AM26" s="12"/>
      <c r="AN26" s="14"/>
      <c r="AO26" s="14"/>
      <c r="AP26" s="12"/>
      <c r="AQ26" s="13"/>
      <c r="AR26" s="12"/>
      <c r="AS26" s="12"/>
      <c r="AT26" s="12"/>
      <c r="AU26" s="13"/>
      <c r="AV26" s="12"/>
      <c r="AW26" s="13"/>
      <c r="AX26" s="13"/>
      <c r="AY26" s="14"/>
      <c r="AZ26" s="14"/>
      <c r="BA26" s="14"/>
      <c r="BB26" s="14"/>
      <c r="BC26" s="14"/>
      <c r="BD26" s="14"/>
      <c r="BE26" s="13"/>
      <c r="BF26" s="13"/>
      <c r="BG26" s="13"/>
      <c r="BH26" s="13"/>
      <c r="BI26" s="12"/>
      <c r="BJ26" s="12"/>
      <c r="BK26" s="13"/>
      <c r="BL26" s="13"/>
      <c r="BM26" s="12"/>
      <c r="BO26" s="60">
        <f>'LookUp Roll&amp;Packs'!$U$7</f>
        <v>80.739999999999995</v>
      </c>
      <c r="BR26" s="60">
        <f>'LookUp Roll&amp;Packs'!$V$7</f>
        <v>5.22</v>
      </c>
      <c r="BT26" s="62">
        <v>24</v>
      </c>
      <c r="BU26" s="60">
        <f>'LookUp Roll&amp;Packs'!$CJ$7</f>
        <v>22.56</v>
      </c>
      <c r="BV26" s="60">
        <f>'LookUp Roll&amp;Packs'!$CO$7</f>
        <v>2796.7</v>
      </c>
      <c r="BW26" s="60">
        <f>'LookUp Roll&amp;Packs'!$CQ$7</f>
        <v>175.14</v>
      </c>
      <c r="BX26" s="61">
        <f>'LookUp Roll&amp;Packs'!$CP$7</f>
        <v>66.8</v>
      </c>
      <c r="BY26" s="61">
        <v>1</v>
      </c>
      <c r="BZ26" s="62">
        <f t="shared" si="15"/>
        <v>22.56</v>
      </c>
      <c r="CA26" s="67">
        <f t="shared" si="16"/>
        <v>4.7344599999999994</v>
      </c>
      <c r="CB26" s="67"/>
      <c r="CC26" s="67">
        <f t="shared" si="17"/>
        <v>0.12528</v>
      </c>
      <c r="CD26" s="67">
        <f t="shared" si="18"/>
        <v>0.17513999999999999</v>
      </c>
      <c r="CE26" s="67">
        <f t="shared" si="19"/>
        <v>6.6799999999999998E-2</v>
      </c>
      <c r="CG26" s="1"/>
    </row>
    <row r="27" spans="1:88" ht="19.5" customHeight="1">
      <c r="A27" s="84">
        <v>10000420</v>
      </c>
      <c r="B27" s="84">
        <v>10000420</v>
      </c>
      <c r="C27" s="89" t="s">
        <v>681</v>
      </c>
      <c r="D27" s="90">
        <v>10000420</v>
      </c>
      <c r="E27" s="11"/>
      <c r="F27" s="12"/>
      <c r="G27" s="12"/>
      <c r="H27" s="12"/>
      <c r="I27" s="12"/>
      <c r="J27" s="13"/>
      <c r="K27" s="13"/>
      <c r="L27" s="13"/>
      <c r="M27" s="12"/>
      <c r="N27" s="12"/>
      <c r="O27" s="16"/>
      <c r="P27" s="14"/>
      <c r="Q27" s="12"/>
      <c r="R27" s="12"/>
      <c r="S27" s="12"/>
      <c r="T27" s="13"/>
      <c r="U27" s="13"/>
      <c r="V27" s="12"/>
      <c r="W27" s="14"/>
      <c r="X27" s="14"/>
      <c r="Y27" s="12"/>
      <c r="Z27" s="13"/>
      <c r="AA27" s="14"/>
      <c r="AB27" s="13"/>
      <c r="AC27" s="13"/>
      <c r="AD27" s="14"/>
      <c r="AE27" s="12"/>
      <c r="AF27" s="13"/>
      <c r="AG27" s="12" t="s">
        <v>681</v>
      </c>
      <c r="AH27" s="14"/>
      <c r="AI27" s="13">
        <v>24</v>
      </c>
      <c r="AJ27" s="14"/>
      <c r="AK27" s="14"/>
      <c r="AL27" s="12"/>
      <c r="AM27" s="12"/>
      <c r="AN27" s="14"/>
      <c r="AO27" s="14"/>
      <c r="AP27" s="12"/>
      <c r="AQ27" s="13"/>
      <c r="AR27" s="12"/>
      <c r="AS27" s="12"/>
      <c r="AT27" s="12"/>
      <c r="AU27" s="13"/>
      <c r="AV27" s="12"/>
      <c r="AW27" s="13"/>
      <c r="AX27" s="13"/>
      <c r="AY27" s="14"/>
      <c r="AZ27" s="14"/>
      <c r="BA27" s="14"/>
      <c r="BB27" s="14"/>
      <c r="BC27" s="14"/>
      <c r="BD27" s="14"/>
      <c r="BE27" s="13"/>
      <c r="BF27" s="13"/>
      <c r="BG27" s="13"/>
      <c r="BH27" s="13"/>
      <c r="BI27" s="12"/>
      <c r="BJ27" s="12"/>
      <c r="BK27" s="13"/>
      <c r="BL27" s="13"/>
      <c r="BM27" s="12"/>
      <c r="BO27" s="60">
        <f>'LookUp Roll&amp;Packs'!$U$7</f>
        <v>80.739999999999995</v>
      </c>
      <c r="BR27" s="60">
        <f>'LookUp Roll&amp;Packs'!$V$7</f>
        <v>5.22</v>
      </c>
      <c r="BT27" s="62">
        <v>24</v>
      </c>
      <c r="BU27" s="60">
        <f>'LookUp Roll&amp;Packs'!$CJ$7</f>
        <v>22.56</v>
      </c>
      <c r="BV27" s="60">
        <f>'LookUp Roll&amp;Packs'!$CO$7</f>
        <v>2796.7</v>
      </c>
      <c r="BW27" s="60">
        <f>'LookUp Roll&amp;Packs'!$CQ$7</f>
        <v>175.14</v>
      </c>
      <c r="BX27" s="61">
        <f>'LookUp Roll&amp;Packs'!$CP$7</f>
        <v>66.8</v>
      </c>
      <c r="BY27" s="61">
        <v>1</v>
      </c>
      <c r="BZ27" s="62">
        <f t="shared" si="15"/>
        <v>22.56</v>
      </c>
      <c r="CA27" s="67">
        <f t="shared" si="16"/>
        <v>4.7344599999999994</v>
      </c>
      <c r="CB27" s="67"/>
      <c r="CC27" s="67">
        <f t="shared" si="17"/>
        <v>0.12528</v>
      </c>
      <c r="CD27" s="67">
        <f t="shared" si="18"/>
        <v>0.17513999999999999</v>
      </c>
      <c r="CE27" s="67">
        <f t="shared" si="19"/>
        <v>6.6799999999999998E-2</v>
      </c>
      <c r="CG27" s="1"/>
    </row>
    <row r="28" spans="1:88" ht="19.5" customHeight="1">
      <c r="A28" s="84">
        <v>10000426</v>
      </c>
      <c r="B28" s="84">
        <v>10000426</v>
      </c>
      <c r="C28" s="84"/>
      <c r="D28" s="10">
        <v>10000426</v>
      </c>
      <c r="E28" s="11" t="s">
        <v>61</v>
      </c>
      <c r="F28" s="12" t="s">
        <v>62</v>
      </c>
      <c r="G28" s="12" t="s">
        <v>63</v>
      </c>
      <c r="H28" s="12" t="s">
        <v>240</v>
      </c>
      <c r="I28" s="12" t="s">
        <v>241</v>
      </c>
      <c r="J28" s="13"/>
      <c r="K28" s="13"/>
      <c r="L28" s="12" t="s">
        <v>242</v>
      </c>
      <c r="M28" s="12" t="s">
        <v>168</v>
      </c>
      <c r="N28" s="12" t="s">
        <v>68</v>
      </c>
      <c r="O28" s="12" t="s">
        <v>69</v>
      </c>
      <c r="P28" s="14">
        <v>1</v>
      </c>
      <c r="Q28" s="12" t="s">
        <v>142</v>
      </c>
      <c r="R28" s="12" t="s">
        <v>71</v>
      </c>
      <c r="S28" s="12" t="s">
        <v>72</v>
      </c>
      <c r="T28" s="14">
        <v>8721284290209</v>
      </c>
      <c r="U28" s="13"/>
      <c r="V28" s="12" t="s">
        <v>243</v>
      </c>
      <c r="W28" s="12" t="s">
        <v>244</v>
      </c>
      <c r="X28" s="12" t="s">
        <v>162</v>
      </c>
      <c r="Y28" s="13"/>
      <c r="Z28" s="13"/>
      <c r="AA28" s="14">
        <v>472</v>
      </c>
      <c r="AB28" s="13"/>
      <c r="AC28" s="12" t="s">
        <v>245</v>
      </c>
      <c r="AD28" s="14">
        <v>48043158</v>
      </c>
      <c r="AE28" s="12" t="s">
        <v>77</v>
      </c>
      <c r="AF28" s="12" t="s">
        <v>171</v>
      </c>
      <c r="AG28" s="12" t="s">
        <v>246</v>
      </c>
      <c r="AH28" s="14">
        <v>0.8</v>
      </c>
      <c r="AI28" s="14">
        <v>1</v>
      </c>
      <c r="AJ28" s="14">
        <v>1.2</v>
      </c>
      <c r="AK28" s="14">
        <v>1.2</v>
      </c>
      <c r="AL28" s="12" t="s">
        <v>79</v>
      </c>
      <c r="AM28" s="12" t="s">
        <v>62</v>
      </c>
      <c r="AN28" s="12" t="s">
        <v>186</v>
      </c>
      <c r="AO28" s="14">
        <v>472</v>
      </c>
      <c r="AP28" s="12" t="s">
        <v>81</v>
      </c>
      <c r="AQ28" s="12" t="s">
        <v>146</v>
      </c>
      <c r="AR28" s="12" t="s">
        <v>83</v>
      </c>
      <c r="AS28" s="12" t="s">
        <v>84</v>
      </c>
      <c r="AT28" s="12" t="s">
        <v>110</v>
      </c>
      <c r="AU28" s="13"/>
      <c r="AV28" s="13"/>
      <c r="AW28" s="15">
        <v>1</v>
      </c>
      <c r="AX28" s="13"/>
      <c r="AY28" s="14">
        <v>0</v>
      </c>
      <c r="AZ28" s="14">
        <v>0</v>
      </c>
      <c r="BA28" s="15">
        <v>1</v>
      </c>
      <c r="BB28" s="12" t="s">
        <v>247</v>
      </c>
      <c r="BC28" s="14">
        <v>574</v>
      </c>
      <c r="BD28" s="14">
        <v>384.1</v>
      </c>
      <c r="BE28" s="12" t="s">
        <v>85</v>
      </c>
      <c r="BF28" s="12" t="s">
        <v>85</v>
      </c>
      <c r="BG28" s="16" t="s">
        <v>86</v>
      </c>
      <c r="BH28" s="12" t="s">
        <v>248</v>
      </c>
      <c r="BI28" s="12" t="s">
        <v>187</v>
      </c>
      <c r="BJ28" s="12" t="s">
        <v>89</v>
      </c>
      <c r="BK28" s="13"/>
      <c r="BL28" s="13"/>
      <c r="BM28" s="12" t="s">
        <v>90</v>
      </c>
      <c r="BT28" s="62">
        <f t="shared" ref="BT28:BT33" si="20">AI28</f>
        <v>1</v>
      </c>
      <c r="BU28" s="60">
        <f>'LookUp Roll&amp;Packs'!$CJ$7</f>
        <v>22.56</v>
      </c>
      <c r="BV28" s="60">
        <f>'LookUp Roll&amp;Packs'!$CO$7</f>
        <v>2796.7</v>
      </c>
      <c r="BW28" s="60">
        <f>'LookUp Roll&amp;Packs'!$CQ$7</f>
        <v>175.14</v>
      </c>
      <c r="BX28" s="61">
        <f>'LookUp Roll&amp;Packs'!$CP$7</f>
        <v>66.8</v>
      </c>
      <c r="BY28" s="61">
        <v>1</v>
      </c>
      <c r="BZ28" s="62">
        <f t="shared" ref="BZ28:BZ32" si="21">BU28</f>
        <v>22.56</v>
      </c>
      <c r="CA28" s="67">
        <f t="shared" ref="CA28:CA34" si="22">((AI28*BO28)+BV28)/1000</f>
        <v>2.7967</v>
      </c>
      <c r="CB28" s="67"/>
      <c r="CC28" s="67">
        <f t="shared" ref="CC28:CC34" si="23">(AI28*BR28)/1000</f>
        <v>0</v>
      </c>
      <c r="CD28" s="67">
        <f t="shared" ref="CD28:CD34" si="24">BW28/1000</f>
        <v>0.17513999999999999</v>
      </c>
      <c r="CE28" s="67">
        <f t="shared" ref="CE28:CE32" si="25">BX28/1000</f>
        <v>6.6799999999999998E-2</v>
      </c>
      <c r="CH28" s="55" t="s">
        <v>564</v>
      </c>
      <c r="CI28" s="1" t="s">
        <v>564</v>
      </c>
      <c r="CJ28" s="1" t="s">
        <v>564</v>
      </c>
    </row>
    <row r="29" spans="1:88" ht="19.5" customHeight="1">
      <c r="A29" s="84">
        <v>10000427</v>
      </c>
      <c r="B29" s="84">
        <v>10000427</v>
      </c>
      <c r="C29" s="84"/>
      <c r="D29" s="10">
        <v>10000427</v>
      </c>
      <c r="E29" s="11" t="s">
        <v>61</v>
      </c>
      <c r="F29" s="12" t="s">
        <v>62</v>
      </c>
      <c r="G29" s="12" t="s">
        <v>63</v>
      </c>
      <c r="H29" s="12" t="s">
        <v>240</v>
      </c>
      <c r="I29" s="12" t="s">
        <v>249</v>
      </c>
      <c r="J29" s="13"/>
      <c r="K29" s="13"/>
      <c r="L29" s="12" t="s">
        <v>250</v>
      </c>
      <c r="M29" s="12" t="s">
        <v>168</v>
      </c>
      <c r="N29" s="12" t="s">
        <v>68</v>
      </c>
      <c r="O29" s="12" t="s">
        <v>69</v>
      </c>
      <c r="P29" s="14">
        <v>1</v>
      </c>
      <c r="Q29" s="12" t="s">
        <v>70</v>
      </c>
      <c r="R29" s="12" t="s">
        <v>71</v>
      </c>
      <c r="S29" s="12" t="s">
        <v>72</v>
      </c>
      <c r="T29" s="14">
        <v>8721284290216</v>
      </c>
      <c r="U29" s="13"/>
      <c r="V29" s="12" t="s">
        <v>243</v>
      </c>
      <c r="W29" s="12" t="s">
        <v>244</v>
      </c>
      <c r="X29" s="12" t="s">
        <v>162</v>
      </c>
      <c r="Y29" s="13"/>
      <c r="Z29" s="13"/>
      <c r="AA29" s="14">
        <v>458</v>
      </c>
      <c r="AB29" s="13"/>
      <c r="AC29" s="12" t="s">
        <v>245</v>
      </c>
      <c r="AD29" s="14">
        <v>48043158</v>
      </c>
      <c r="AE29" s="12" t="s">
        <v>77</v>
      </c>
      <c r="AF29" s="12" t="s">
        <v>171</v>
      </c>
      <c r="AG29" s="12" t="s">
        <v>251</v>
      </c>
      <c r="AH29" s="14">
        <v>0.8</v>
      </c>
      <c r="AI29" s="14">
        <v>1</v>
      </c>
      <c r="AJ29" s="14">
        <v>1.2</v>
      </c>
      <c r="AK29" s="14">
        <v>1.2</v>
      </c>
      <c r="AL29" s="12" t="s">
        <v>79</v>
      </c>
      <c r="AM29" s="12" t="s">
        <v>62</v>
      </c>
      <c r="AN29" s="12" t="s">
        <v>186</v>
      </c>
      <c r="AO29" s="14">
        <v>458</v>
      </c>
      <c r="AP29" s="12" t="s">
        <v>81</v>
      </c>
      <c r="AQ29" s="12" t="s">
        <v>82</v>
      </c>
      <c r="AR29" s="12" t="s">
        <v>83</v>
      </c>
      <c r="AS29" s="12" t="s">
        <v>84</v>
      </c>
      <c r="AT29" s="12" t="s">
        <v>62</v>
      </c>
      <c r="AU29" s="13"/>
      <c r="AV29" s="15">
        <v>0.85</v>
      </c>
      <c r="AW29" s="15">
        <v>0.15</v>
      </c>
      <c r="AX29" s="13"/>
      <c r="AY29" s="15">
        <v>0.85</v>
      </c>
      <c r="AZ29" s="14">
        <v>0</v>
      </c>
      <c r="BA29" s="15">
        <v>0.15</v>
      </c>
      <c r="BB29" s="12" t="s">
        <v>252</v>
      </c>
      <c r="BC29" s="14">
        <v>572</v>
      </c>
      <c r="BD29" s="14">
        <v>275.2</v>
      </c>
      <c r="BE29" s="12" t="s">
        <v>85</v>
      </c>
      <c r="BF29" s="12" t="s">
        <v>85</v>
      </c>
      <c r="BG29" s="16" t="s">
        <v>86</v>
      </c>
      <c r="BH29" s="12" t="s">
        <v>87</v>
      </c>
      <c r="BI29" s="12" t="s">
        <v>187</v>
      </c>
      <c r="BJ29" s="12" t="s">
        <v>89</v>
      </c>
      <c r="BK29" s="13"/>
      <c r="BL29" s="13"/>
      <c r="BM29" s="12" t="s">
        <v>90</v>
      </c>
      <c r="BT29" s="62">
        <f t="shared" si="20"/>
        <v>1</v>
      </c>
      <c r="BU29" s="60">
        <f>'LookUp Roll&amp;Packs'!$CJ$7</f>
        <v>22.56</v>
      </c>
      <c r="BV29" s="60">
        <f>'LookUp Roll&amp;Packs'!$CO$7</f>
        <v>2796.7</v>
      </c>
      <c r="BW29" s="60">
        <f>'LookUp Roll&amp;Packs'!$CQ$7</f>
        <v>175.14</v>
      </c>
      <c r="BX29" s="61">
        <f>'LookUp Roll&amp;Packs'!$CP$7</f>
        <v>66.8</v>
      </c>
      <c r="BY29" s="61">
        <v>1</v>
      </c>
      <c r="BZ29" s="62">
        <f t="shared" si="21"/>
        <v>22.56</v>
      </c>
      <c r="CA29" s="67">
        <f t="shared" si="22"/>
        <v>2.7967</v>
      </c>
      <c r="CB29" s="67"/>
      <c r="CC29" s="67">
        <f t="shared" si="23"/>
        <v>0</v>
      </c>
      <c r="CD29" s="67">
        <f t="shared" si="24"/>
        <v>0.17513999999999999</v>
      </c>
      <c r="CE29" s="67">
        <f t="shared" si="25"/>
        <v>6.6799999999999998E-2</v>
      </c>
      <c r="CH29" s="55" t="s">
        <v>564</v>
      </c>
      <c r="CI29" s="1" t="s">
        <v>564</v>
      </c>
      <c r="CJ29" s="1" t="s">
        <v>564</v>
      </c>
    </row>
    <row r="30" spans="1:88" ht="19.5" customHeight="1">
      <c r="A30" s="84">
        <v>10000429</v>
      </c>
      <c r="B30" s="84">
        <v>10000429</v>
      </c>
      <c r="C30" s="84"/>
      <c r="D30" s="10">
        <v>10000429</v>
      </c>
      <c r="E30" s="11" t="s">
        <v>61</v>
      </c>
      <c r="F30" s="12" t="s">
        <v>62</v>
      </c>
      <c r="G30" s="12" t="s">
        <v>63</v>
      </c>
      <c r="H30" s="12" t="s">
        <v>240</v>
      </c>
      <c r="I30" s="12" t="s">
        <v>253</v>
      </c>
      <c r="J30" s="13"/>
      <c r="K30" s="13"/>
      <c r="L30" s="12" t="s">
        <v>254</v>
      </c>
      <c r="M30" s="12" t="s">
        <v>168</v>
      </c>
      <c r="N30" s="12" t="s">
        <v>68</v>
      </c>
      <c r="O30" s="12" t="s">
        <v>69</v>
      </c>
      <c r="P30" s="14">
        <v>2</v>
      </c>
      <c r="Q30" s="12" t="s">
        <v>102</v>
      </c>
      <c r="R30" s="12" t="s">
        <v>71</v>
      </c>
      <c r="S30" s="12" t="s">
        <v>72</v>
      </c>
      <c r="T30" s="14">
        <v>8721284290223</v>
      </c>
      <c r="U30" s="13"/>
      <c r="V30" s="12" t="s">
        <v>255</v>
      </c>
      <c r="W30" s="12" t="s">
        <v>256</v>
      </c>
      <c r="X30" s="12" t="s">
        <v>162</v>
      </c>
      <c r="Y30" s="13"/>
      <c r="Z30" s="13"/>
      <c r="AA30" s="14">
        <v>458</v>
      </c>
      <c r="AB30" s="13"/>
      <c r="AC30" s="12" t="s">
        <v>245</v>
      </c>
      <c r="AD30" s="14">
        <v>48043158</v>
      </c>
      <c r="AE30" s="12" t="s">
        <v>77</v>
      </c>
      <c r="AF30" s="13"/>
      <c r="AG30" s="12" t="s">
        <v>257</v>
      </c>
      <c r="AH30" s="14">
        <v>0.8</v>
      </c>
      <c r="AI30" s="14">
        <v>1</v>
      </c>
      <c r="AJ30" s="14">
        <v>1.2</v>
      </c>
      <c r="AK30" s="14">
        <v>1.2</v>
      </c>
      <c r="AL30" s="12" t="s">
        <v>79</v>
      </c>
      <c r="AM30" s="12" t="s">
        <v>62</v>
      </c>
      <c r="AN30" s="12" t="s">
        <v>186</v>
      </c>
      <c r="AO30" s="14">
        <v>458</v>
      </c>
      <c r="AP30" s="12" t="s">
        <v>81</v>
      </c>
      <c r="AQ30" s="12" t="s">
        <v>82</v>
      </c>
      <c r="AR30" s="12" t="s">
        <v>83</v>
      </c>
      <c r="AS30" s="12" t="s">
        <v>84</v>
      </c>
      <c r="AT30" s="12" t="s">
        <v>62</v>
      </c>
      <c r="AU30" s="13"/>
      <c r="AV30" s="15">
        <v>0.85</v>
      </c>
      <c r="AW30" s="15">
        <v>0.15</v>
      </c>
      <c r="AX30" s="13"/>
      <c r="AY30" s="15">
        <v>0.85</v>
      </c>
      <c r="AZ30" s="14">
        <v>0</v>
      </c>
      <c r="BA30" s="15">
        <v>0.15</v>
      </c>
      <c r="BB30" s="12" t="s">
        <v>252</v>
      </c>
      <c r="BC30" s="14">
        <v>572</v>
      </c>
      <c r="BD30" s="14">
        <v>275.2</v>
      </c>
      <c r="BE30" s="12" t="s">
        <v>85</v>
      </c>
      <c r="BF30" s="12" t="s">
        <v>85</v>
      </c>
      <c r="BG30" s="16" t="s">
        <v>86</v>
      </c>
      <c r="BH30" s="12" t="s">
        <v>87</v>
      </c>
      <c r="BI30" s="12" t="s">
        <v>187</v>
      </c>
      <c r="BJ30" s="12" t="s">
        <v>89</v>
      </c>
      <c r="BK30" s="13"/>
      <c r="BL30" s="13"/>
      <c r="BM30" s="12" t="s">
        <v>90</v>
      </c>
      <c r="BT30" s="62">
        <f t="shared" si="20"/>
        <v>1</v>
      </c>
      <c r="BU30" s="60">
        <f>'LookUp Roll&amp;Packs'!$CJ$7</f>
        <v>22.56</v>
      </c>
      <c r="BV30" s="60">
        <f>'LookUp Roll&amp;Packs'!$CO$7</f>
        <v>2796.7</v>
      </c>
      <c r="BW30" s="60">
        <f>'LookUp Roll&amp;Packs'!$CQ$7</f>
        <v>175.14</v>
      </c>
      <c r="BX30" s="61">
        <f>'LookUp Roll&amp;Packs'!$CP$7</f>
        <v>66.8</v>
      </c>
      <c r="BY30" s="61">
        <v>1</v>
      </c>
      <c r="BZ30" s="62">
        <f t="shared" si="21"/>
        <v>22.56</v>
      </c>
      <c r="CA30" s="67">
        <f t="shared" si="22"/>
        <v>2.7967</v>
      </c>
      <c r="CB30" s="67"/>
      <c r="CC30" s="67">
        <f t="shared" si="23"/>
        <v>0</v>
      </c>
      <c r="CD30" s="67">
        <f t="shared" si="24"/>
        <v>0.17513999999999999</v>
      </c>
      <c r="CE30" s="67">
        <f t="shared" si="25"/>
        <v>6.6799999999999998E-2</v>
      </c>
      <c r="CH30" s="55" t="s">
        <v>564</v>
      </c>
      <c r="CI30" s="1" t="s">
        <v>564</v>
      </c>
      <c r="CJ30" s="1" t="s">
        <v>564</v>
      </c>
    </row>
    <row r="31" spans="1:88" ht="19.5" customHeight="1">
      <c r="A31" s="84">
        <v>10000430</v>
      </c>
      <c r="B31" s="84">
        <v>10000430</v>
      </c>
      <c r="C31" s="84"/>
      <c r="D31" s="10">
        <v>10000430</v>
      </c>
      <c r="E31" s="11" t="s">
        <v>61</v>
      </c>
      <c r="F31" s="12" t="s">
        <v>62</v>
      </c>
      <c r="G31" s="12" t="s">
        <v>63</v>
      </c>
      <c r="H31" s="12" t="s">
        <v>240</v>
      </c>
      <c r="I31" s="12" t="s">
        <v>258</v>
      </c>
      <c r="J31" s="13"/>
      <c r="K31" s="13"/>
      <c r="L31" s="12" t="s">
        <v>254</v>
      </c>
      <c r="M31" s="12" t="s">
        <v>168</v>
      </c>
      <c r="N31" s="12" t="s">
        <v>68</v>
      </c>
      <c r="O31" s="12" t="s">
        <v>69</v>
      </c>
      <c r="P31" s="14">
        <v>2</v>
      </c>
      <c r="Q31" s="12" t="s">
        <v>109</v>
      </c>
      <c r="R31" s="12" t="s">
        <v>71</v>
      </c>
      <c r="S31" s="12" t="s">
        <v>72</v>
      </c>
      <c r="T31" s="14">
        <v>8721284290230</v>
      </c>
      <c r="U31" s="13"/>
      <c r="V31" s="12" t="s">
        <v>255</v>
      </c>
      <c r="W31" s="12" t="s">
        <v>256</v>
      </c>
      <c r="X31" s="12" t="s">
        <v>162</v>
      </c>
      <c r="Y31" s="13"/>
      <c r="Z31" s="13"/>
      <c r="AA31" s="14">
        <v>458</v>
      </c>
      <c r="AB31" s="13"/>
      <c r="AC31" s="12" t="s">
        <v>245</v>
      </c>
      <c r="AD31" s="14">
        <v>48043158</v>
      </c>
      <c r="AE31" s="12" t="s">
        <v>77</v>
      </c>
      <c r="AF31" s="12" t="s">
        <v>171</v>
      </c>
      <c r="AG31" s="12" t="s">
        <v>259</v>
      </c>
      <c r="AH31" s="14">
        <v>0.8</v>
      </c>
      <c r="AI31" s="14">
        <v>1</v>
      </c>
      <c r="AJ31" s="14">
        <v>1.2</v>
      </c>
      <c r="AK31" s="14">
        <v>1.2</v>
      </c>
      <c r="AL31" s="12" t="s">
        <v>79</v>
      </c>
      <c r="AM31" s="12" t="s">
        <v>62</v>
      </c>
      <c r="AN31" s="12" t="s">
        <v>186</v>
      </c>
      <c r="AO31" s="14">
        <v>458</v>
      </c>
      <c r="AP31" s="12" t="s">
        <v>81</v>
      </c>
      <c r="AQ31" s="12" t="s">
        <v>82</v>
      </c>
      <c r="AR31" s="12" t="s">
        <v>83</v>
      </c>
      <c r="AS31" s="12" t="s">
        <v>84</v>
      </c>
      <c r="AT31" s="12" t="s">
        <v>110</v>
      </c>
      <c r="AU31" s="13"/>
      <c r="AV31" s="15">
        <v>0.5</v>
      </c>
      <c r="AW31" s="15">
        <v>0.5</v>
      </c>
      <c r="AX31" s="13"/>
      <c r="AY31" s="15">
        <v>0.5</v>
      </c>
      <c r="AZ31" s="15">
        <v>0.15</v>
      </c>
      <c r="BA31" s="15">
        <v>0.35</v>
      </c>
      <c r="BB31" s="12" t="s">
        <v>260</v>
      </c>
      <c r="BC31" s="14">
        <v>572</v>
      </c>
      <c r="BD31" s="14">
        <v>299</v>
      </c>
      <c r="BE31" s="12" t="s">
        <v>85</v>
      </c>
      <c r="BF31" s="12" t="s">
        <v>85</v>
      </c>
      <c r="BG31" s="16" t="s">
        <v>86</v>
      </c>
      <c r="BH31" s="12" t="s">
        <v>111</v>
      </c>
      <c r="BI31" s="12" t="s">
        <v>187</v>
      </c>
      <c r="BJ31" s="12" t="s">
        <v>89</v>
      </c>
      <c r="BK31" s="13"/>
      <c r="BL31" s="13"/>
      <c r="BM31" s="12" t="s">
        <v>90</v>
      </c>
      <c r="BT31" s="62">
        <f t="shared" si="20"/>
        <v>1</v>
      </c>
      <c r="BU31" s="60">
        <f>'LookUp Roll&amp;Packs'!$CJ$7</f>
        <v>22.56</v>
      </c>
      <c r="BV31" s="60">
        <f>'LookUp Roll&amp;Packs'!$CO$7</f>
        <v>2796.7</v>
      </c>
      <c r="BW31" s="60">
        <f>'LookUp Roll&amp;Packs'!$CQ$7</f>
        <v>175.14</v>
      </c>
      <c r="BX31" s="61">
        <f>'LookUp Roll&amp;Packs'!$CP$7</f>
        <v>66.8</v>
      </c>
      <c r="BY31" s="61">
        <v>1</v>
      </c>
      <c r="BZ31" s="62">
        <f t="shared" si="21"/>
        <v>22.56</v>
      </c>
      <c r="CA31" s="67">
        <f t="shared" si="22"/>
        <v>2.7967</v>
      </c>
      <c r="CB31" s="67"/>
      <c r="CC31" s="67">
        <f t="shared" si="23"/>
        <v>0</v>
      </c>
      <c r="CD31" s="67">
        <f t="shared" si="24"/>
        <v>0.17513999999999999</v>
      </c>
      <c r="CE31" s="67">
        <f t="shared" si="25"/>
        <v>6.6799999999999998E-2</v>
      </c>
      <c r="CH31" s="55" t="s">
        <v>564</v>
      </c>
      <c r="CI31" s="1" t="s">
        <v>564</v>
      </c>
      <c r="CJ31" s="1" t="s">
        <v>564</v>
      </c>
    </row>
    <row r="32" spans="1:88" ht="18.75" customHeight="1">
      <c r="A32" s="84">
        <v>10000431</v>
      </c>
      <c r="B32" s="84">
        <v>10000431</v>
      </c>
      <c r="C32" s="84"/>
      <c r="D32" s="10">
        <v>10000431</v>
      </c>
      <c r="E32" s="11" t="s">
        <v>61</v>
      </c>
      <c r="F32" s="12" t="s">
        <v>62</v>
      </c>
      <c r="G32" s="12" t="s">
        <v>63</v>
      </c>
      <c r="H32" s="12" t="s">
        <v>240</v>
      </c>
      <c r="I32" s="12" t="s">
        <v>261</v>
      </c>
      <c r="J32" s="13"/>
      <c r="K32" s="13"/>
      <c r="L32" s="12" t="s">
        <v>242</v>
      </c>
      <c r="M32" s="12" t="s">
        <v>168</v>
      </c>
      <c r="N32" s="12" t="s">
        <v>262</v>
      </c>
      <c r="O32" s="12" t="s">
        <v>263</v>
      </c>
      <c r="P32" s="14">
        <v>1</v>
      </c>
      <c r="Q32" s="12" t="s">
        <v>142</v>
      </c>
      <c r="R32" s="12" t="s">
        <v>71</v>
      </c>
      <c r="S32" s="12" t="s">
        <v>72</v>
      </c>
      <c r="T32" s="14">
        <v>8721284290247</v>
      </c>
      <c r="U32" s="13"/>
      <c r="V32" s="12" t="s">
        <v>264</v>
      </c>
      <c r="W32" s="12" t="s">
        <v>265</v>
      </c>
      <c r="X32" s="12" t="s">
        <v>162</v>
      </c>
      <c r="Y32" s="13"/>
      <c r="Z32" s="13"/>
      <c r="AA32" s="14">
        <v>502</v>
      </c>
      <c r="AB32" s="13"/>
      <c r="AC32" s="12" t="s">
        <v>245</v>
      </c>
      <c r="AD32" s="14">
        <v>48043158</v>
      </c>
      <c r="AE32" s="12" t="s">
        <v>77</v>
      </c>
      <c r="AF32" s="12" t="s">
        <v>171</v>
      </c>
      <c r="AG32" s="12" t="s">
        <v>266</v>
      </c>
      <c r="AH32" s="14">
        <v>0.8</v>
      </c>
      <c r="AI32" s="14">
        <v>1</v>
      </c>
      <c r="AJ32" s="14">
        <v>1.2</v>
      </c>
      <c r="AK32" s="14">
        <v>1.2</v>
      </c>
      <c r="AL32" s="12" t="s">
        <v>79</v>
      </c>
      <c r="AM32" s="12" t="s">
        <v>62</v>
      </c>
      <c r="AN32" s="12" t="s">
        <v>267</v>
      </c>
      <c r="AO32" s="14">
        <v>502</v>
      </c>
      <c r="AP32" s="12" t="s">
        <v>81</v>
      </c>
      <c r="AQ32" s="12" t="s">
        <v>146</v>
      </c>
      <c r="AR32" s="12" t="s">
        <v>83</v>
      </c>
      <c r="AS32" s="12" t="s">
        <v>84</v>
      </c>
      <c r="AT32" s="12" t="s">
        <v>110</v>
      </c>
      <c r="AU32" s="13"/>
      <c r="AV32" s="13"/>
      <c r="AW32" s="15">
        <v>1</v>
      </c>
      <c r="AX32" s="13"/>
      <c r="AY32" s="14">
        <v>0</v>
      </c>
      <c r="AZ32" s="14">
        <v>0</v>
      </c>
      <c r="BA32" s="15">
        <v>1</v>
      </c>
      <c r="BB32" s="12" t="s">
        <v>268</v>
      </c>
      <c r="BC32" s="14">
        <v>615</v>
      </c>
      <c r="BD32" s="14">
        <v>406.1</v>
      </c>
      <c r="BE32" s="12" t="s">
        <v>85</v>
      </c>
      <c r="BF32" s="12" t="s">
        <v>85</v>
      </c>
      <c r="BG32" s="16" t="s">
        <v>86</v>
      </c>
      <c r="BH32" s="12" t="s">
        <v>248</v>
      </c>
      <c r="BI32" s="12" t="s">
        <v>187</v>
      </c>
      <c r="BJ32" s="12" t="s">
        <v>89</v>
      </c>
      <c r="BK32" s="13"/>
      <c r="BL32" s="13"/>
      <c r="BM32" s="12" t="s">
        <v>90</v>
      </c>
      <c r="BT32" s="62">
        <f t="shared" si="20"/>
        <v>1</v>
      </c>
      <c r="BU32" s="60">
        <f>'LookUp Roll&amp;Packs'!$CJ$7</f>
        <v>22.56</v>
      </c>
      <c r="BV32" s="60">
        <f>'LookUp Roll&amp;Packs'!$CO$7</f>
        <v>2796.7</v>
      </c>
      <c r="BW32" s="60">
        <f>'LookUp Roll&amp;Packs'!$CQ$7</f>
        <v>175.14</v>
      </c>
      <c r="BX32" s="61">
        <f>'LookUp Roll&amp;Packs'!$CP$7</f>
        <v>66.8</v>
      </c>
      <c r="BY32" s="61">
        <v>1</v>
      </c>
      <c r="BZ32" s="62">
        <f t="shared" si="21"/>
        <v>22.56</v>
      </c>
      <c r="CA32" s="67">
        <f t="shared" si="22"/>
        <v>2.7967</v>
      </c>
      <c r="CB32" s="67"/>
      <c r="CC32" s="67">
        <f t="shared" si="23"/>
        <v>0</v>
      </c>
      <c r="CD32" s="67">
        <f t="shared" si="24"/>
        <v>0.17513999999999999</v>
      </c>
      <c r="CE32" s="67">
        <f t="shared" si="25"/>
        <v>6.6799999999999998E-2</v>
      </c>
      <c r="CH32" s="55" t="s">
        <v>564</v>
      </c>
      <c r="CI32" s="1" t="s">
        <v>564</v>
      </c>
      <c r="CJ32" s="1" t="s">
        <v>564</v>
      </c>
    </row>
    <row r="33" spans="1:88" ht="19.5" customHeight="1">
      <c r="A33" s="84">
        <v>10000432</v>
      </c>
      <c r="B33" s="84">
        <v>10000432</v>
      </c>
      <c r="C33" s="89" t="s">
        <v>674</v>
      </c>
      <c r="D33" s="90">
        <v>10000432</v>
      </c>
      <c r="E33" s="11"/>
      <c r="F33" s="12"/>
      <c r="G33" s="12"/>
      <c r="H33" s="12"/>
      <c r="I33" s="12"/>
      <c r="J33" s="13"/>
      <c r="K33" s="13"/>
      <c r="L33" s="12"/>
      <c r="M33" s="12"/>
      <c r="N33" s="12"/>
      <c r="O33" s="12"/>
      <c r="P33" s="14"/>
      <c r="Q33" s="12"/>
      <c r="R33" s="12"/>
      <c r="S33" s="12"/>
      <c r="T33" s="14"/>
      <c r="U33" s="13"/>
      <c r="V33" s="12"/>
      <c r="W33" s="12"/>
      <c r="X33" s="12"/>
      <c r="Y33" s="12"/>
      <c r="Z33" s="13"/>
      <c r="AA33" s="14"/>
      <c r="AB33" s="13"/>
      <c r="AC33" s="12"/>
      <c r="AD33" s="14"/>
      <c r="AE33" s="12"/>
      <c r="AF33" s="13"/>
      <c r="AG33" s="12" t="s">
        <v>674</v>
      </c>
      <c r="AH33" s="14"/>
      <c r="AI33" s="14">
        <v>1</v>
      </c>
      <c r="AJ33" s="14"/>
      <c r="AK33" s="14"/>
      <c r="AL33" s="12"/>
      <c r="AM33" s="12"/>
      <c r="AN33" s="12"/>
      <c r="AO33" s="14"/>
      <c r="AP33" s="12"/>
      <c r="AQ33" s="12"/>
      <c r="AR33" s="12"/>
      <c r="AS33" s="12"/>
      <c r="AT33" s="12"/>
      <c r="AU33" s="13"/>
      <c r="AV33" s="15"/>
      <c r="AW33" s="15"/>
      <c r="AX33" s="13"/>
      <c r="AY33" s="15"/>
      <c r="AZ33" s="14"/>
      <c r="BA33" s="15"/>
      <c r="BB33" s="14"/>
      <c r="BC33" s="14"/>
      <c r="BD33" s="14"/>
      <c r="BE33" s="12"/>
      <c r="BF33" s="12"/>
      <c r="BG33" s="16"/>
      <c r="BH33" s="12"/>
      <c r="BI33" s="12"/>
      <c r="BJ33" s="12"/>
      <c r="BK33" s="13"/>
      <c r="BL33" s="13"/>
      <c r="BM33" s="12"/>
      <c r="BT33" s="62">
        <f t="shared" si="20"/>
        <v>1</v>
      </c>
      <c r="BU33" s="60">
        <f>'LookUp Roll&amp;Packs'!$CJ$7</f>
        <v>22.56</v>
      </c>
      <c r="BV33" s="60">
        <f>'LookUp Roll&amp;Packs'!$CO$7</f>
        <v>2796.7</v>
      </c>
      <c r="BW33" s="60">
        <f>'LookUp Roll&amp;Packs'!$CQ$7</f>
        <v>175.14</v>
      </c>
      <c r="BX33" s="61">
        <f>'LookUp Roll&amp;Packs'!$CP$7</f>
        <v>66.8</v>
      </c>
      <c r="BY33" s="61">
        <v>1</v>
      </c>
      <c r="BZ33" s="62">
        <f t="shared" ref="BZ33" si="26">BU33</f>
        <v>22.56</v>
      </c>
      <c r="CA33" s="67">
        <f t="shared" si="22"/>
        <v>2.7967</v>
      </c>
      <c r="CB33" s="67"/>
      <c r="CC33" s="67">
        <f t="shared" si="23"/>
        <v>0</v>
      </c>
      <c r="CD33" s="67">
        <f t="shared" si="24"/>
        <v>0.17513999999999999</v>
      </c>
      <c r="CE33" s="67">
        <f t="shared" ref="CE33" si="27">BX33/1000</f>
        <v>6.6799999999999998E-2</v>
      </c>
      <c r="CH33" s="55"/>
    </row>
    <row r="34" spans="1:88" ht="19.5" customHeight="1">
      <c r="A34" s="84">
        <v>10000434</v>
      </c>
      <c r="B34" s="84">
        <v>10000434</v>
      </c>
      <c r="C34" s="89" t="s">
        <v>675</v>
      </c>
      <c r="D34" s="90">
        <v>10000434</v>
      </c>
      <c r="E34" s="17"/>
      <c r="F34" s="13"/>
      <c r="G34" s="12"/>
      <c r="H34" s="12"/>
      <c r="I34" s="12"/>
      <c r="J34" s="13"/>
      <c r="K34" s="13"/>
      <c r="L34" s="12"/>
      <c r="M34" s="12"/>
      <c r="N34" s="12"/>
      <c r="O34" s="12"/>
      <c r="P34" s="14"/>
      <c r="Q34" s="12"/>
      <c r="R34" s="12"/>
      <c r="S34" s="12"/>
      <c r="T34" s="13"/>
      <c r="U34" s="13"/>
      <c r="V34" s="12"/>
      <c r="W34" s="12"/>
      <c r="X34" s="12"/>
      <c r="Y34" s="12"/>
      <c r="Z34" s="13"/>
      <c r="AA34" s="14"/>
      <c r="AB34" s="13"/>
      <c r="AC34" s="12"/>
      <c r="AD34" s="14"/>
      <c r="AE34" s="12"/>
      <c r="AF34" s="12"/>
      <c r="AG34" s="12" t="s">
        <v>675</v>
      </c>
      <c r="AH34" s="14"/>
      <c r="AI34" s="14">
        <v>32</v>
      </c>
      <c r="AJ34" s="14"/>
      <c r="AK34" s="14"/>
      <c r="AL34" s="12"/>
      <c r="AM34" s="12"/>
      <c r="AN34" s="12"/>
      <c r="AO34" s="14"/>
      <c r="AP34" s="12"/>
      <c r="AQ34" s="12"/>
      <c r="AR34" s="12"/>
      <c r="AS34" s="12"/>
      <c r="AT34" s="12"/>
      <c r="AU34" s="13"/>
      <c r="AV34" s="15"/>
      <c r="AW34" s="15"/>
      <c r="AX34" s="13"/>
      <c r="AY34" s="15"/>
      <c r="AZ34" s="14"/>
      <c r="BA34" s="15"/>
      <c r="BB34" s="12"/>
      <c r="BC34" s="14"/>
      <c r="BD34" s="14"/>
      <c r="BE34" s="12"/>
      <c r="BF34" s="12"/>
      <c r="BG34" s="16"/>
      <c r="BH34" s="12"/>
      <c r="BI34" s="12"/>
      <c r="BJ34" s="12"/>
      <c r="BK34" s="13"/>
      <c r="BL34" s="13"/>
      <c r="BM34" s="12"/>
      <c r="BO34" s="60">
        <f>'LookUp Roll&amp;Packs'!$U$8</f>
        <v>61.97</v>
      </c>
      <c r="BR34" s="60">
        <f>'LookUp Roll&amp;Packs'!$V$8</f>
        <v>5.22</v>
      </c>
      <c r="BT34" s="62">
        <v>32</v>
      </c>
      <c r="BU34" s="60">
        <f>'LookUp Roll&amp;Packs'!$CJ$8</f>
        <v>22.56</v>
      </c>
      <c r="BV34" s="60">
        <f>'LookUp Roll&amp;Packs'!$CO$8</f>
        <v>2796.7</v>
      </c>
      <c r="BW34" s="60">
        <f>'LookUp Roll&amp;Packs'!$CQ$8</f>
        <v>175.14</v>
      </c>
      <c r="BX34" s="61">
        <f>'LookUp Roll&amp;Packs'!$CP$8</f>
        <v>66.8</v>
      </c>
      <c r="BY34" s="61">
        <v>1</v>
      </c>
      <c r="BZ34" s="62">
        <f t="shared" ref="BZ34" si="28">BU34</f>
        <v>22.56</v>
      </c>
      <c r="CA34" s="67">
        <f t="shared" si="22"/>
        <v>4.7797399999999994</v>
      </c>
      <c r="CB34" s="67"/>
      <c r="CC34" s="67">
        <f t="shared" si="23"/>
        <v>0.16703999999999999</v>
      </c>
      <c r="CD34" s="67">
        <f t="shared" si="24"/>
        <v>0.17513999999999999</v>
      </c>
      <c r="CE34" s="67">
        <f t="shared" ref="CE34" si="29">BX34/1000</f>
        <v>6.6799999999999998E-2</v>
      </c>
      <c r="CH34" s="55"/>
    </row>
    <row r="35" spans="1:88" ht="19.5" customHeight="1">
      <c r="A35" s="84">
        <v>10000435</v>
      </c>
      <c r="B35" s="84">
        <v>10000435</v>
      </c>
      <c r="C35" s="89" t="s">
        <v>676</v>
      </c>
      <c r="D35" s="90">
        <v>10000435</v>
      </c>
      <c r="E35" s="17"/>
      <c r="F35" s="13"/>
      <c r="G35" s="12"/>
      <c r="H35" s="12"/>
      <c r="I35" s="12"/>
      <c r="J35" s="13"/>
      <c r="K35" s="13"/>
      <c r="L35" s="12"/>
      <c r="M35" s="12"/>
      <c r="N35" s="12"/>
      <c r="O35" s="12"/>
      <c r="P35" s="14"/>
      <c r="Q35" s="12"/>
      <c r="R35" s="12"/>
      <c r="S35" s="12"/>
      <c r="T35" s="13"/>
      <c r="U35" s="13"/>
      <c r="V35" s="12"/>
      <c r="W35" s="12"/>
      <c r="X35" s="12"/>
      <c r="Y35" s="12"/>
      <c r="Z35" s="13"/>
      <c r="AA35" s="14"/>
      <c r="AB35" s="13"/>
      <c r="AC35" s="12"/>
      <c r="AD35" s="14"/>
      <c r="AE35" s="12"/>
      <c r="AF35" s="12"/>
      <c r="AG35" s="12" t="s">
        <v>676</v>
      </c>
      <c r="AH35" s="14"/>
      <c r="AI35" s="14">
        <v>32</v>
      </c>
      <c r="AJ35" s="14"/>
      <c r="AK35" s="14"/>
      <c r="AL35" s="12"/>
      <c r="AM35" s="12"/>
      <c r="AN35" s="12"/>
      <c r="AO35" s="14"/>
      <c r="AP35" s="12"/>
      <c r="AQ35" s="12"/>
      <c r="AR35" s="12"/>
      <c r="AS35" s="12"/>
      <c r="AT35" s="12"/>
      <c r="AU35" s="13"/>
      <c r="AV35" s="15"/>
      <c r="AW35" s="15"/>
      <c r="AX35" s="13"/>
      <c r="AY35" s="15"/>
      <c r="AZ35" s="14"/>
      <c r="BA35" s="15"/>
      <c r="BB35" s="12"/>
      <c r="BC35" s="14"/>
      <c r="BD35" s="14"/>
      <c r="BE35" s="12"/>
      <c r="BF35" s="12"/>
      <c r="BG35" s="16"/>
      <c r="BH35" s="12"/>
      <c r="BI35" s="12"/>
      <c r="BJ35" s="12"/>
      <c r="BK35" s="13"/>
      <c r="BL35" s="13"/>
      <c r="BM35" s="12"/>
      <c r="BO35" s="60">
        <f>'LookUp Roll&amp;Packs'!$U$8</f>
        <v>61.97</v>
      </c>
      <c r="BR35" s="60">
        <f>'LookUp Roll&amp;Packs'!$V$8</f>
        <v>5.22</v>
      </c>
      <c r="BT35" s="62">
        <v>32</v>
      </c>
      <c r="BU35" s="60">
        <f>'LookUp Roll&amp;Packs'!$CJ$8</f>
        <v>22.56</v>
      </c>
      <c r="BV35" s="60">
        <f>'LookUp Roll&amp;Packs'!$CO$8</f>
        <v>2796.7</v>
      </c>
      <c r="BW35" s="60">
        <f>'LookUp Roll&amp;Packs'!$CQ$8</f>
        <v>175.14</v>
      </c>
      <c r="BX35" s="61">
        <f>'LookUp Roll&amp;Packs'!$CP$8</f>
        <v>66.8</v>
      </c>
      <c r="BY35" s="61">
        <v>1</v>
      </c>
      <c r="BZ35" s="62">
        <f t="shared" ref="BZ35:BZ36" si="30">BU35</f>
        <v>22.56</v>
      </c>
      <c r="CA35" s="67">
        <f t="shared" ref="CA35:CA36" si="31">((AI35*BO35)+BV35)/1000</f>
        <v>4.7797399999999994</v>
      </c>
      <c r="CB35" s="67"/>
      <c r="CC35" s="67">
        <f t="shared" ref="CC35:CC36" si="32">(AI35*BR35)/1000</f>
        <v>0.16703999999999999</v>
      </c>
      <c r="CD35" s="67">
        <f t="shared" ref="CD35:CD36" si="33">BW35/1000</f>
        <v>0.17513999999999999</v>
      </c>
      <c r="CE35" s="67">
        <f t="shared" ref="CE35:CE36" si="34">BX35/1000</f>
        <v>6.6799999999999998E-2</v>
      </c>
      <c r="CH35" s="55"/>
    </row>
    <row r="36" spans="1:88" ht="19.5" customHeight="1">
      <c r="A36" s="84">
        <v>10000436</v>
      </c>
      <c r="B36" s="84">
        <v>10000436</v>
      </c>
      <c r="C36" s="89" t="s">
        <v>677</v>
      </c>
      <c r="D36" s="90">
        <v>10000436</v>
      </c>
      <c r="E36" s="11"/>
      <c r="F36" s="12"/>
      <c r="G36" s="12"/>
      <c r="H36" s="12"/>
      <c r="I36" s="12"/>
      <c r="J36" s="13"/>
      <c r="K36" s="13"/>
      <c r="L36" s="13"/>
      <c r="M36" s="12"/>
      <c r="N36" s="12"/>
      <c r="O36" s="16"/>
      <c r="P36" s="14"/>
      <c r="Q36" s="12"/>
      <c r="R36" s="12"/>
      <c r="S36" s="12"/>
      <c r="T36" s="13"/>
      <c r="U36" s="13"/>
      <c r="V36" s="12"/>
      <c r="W36" s="14"/>
      <c r="X36" s="14"/>
      <c r="Y36" s="12"/>
      <c r="Z36" s="13"/>
      <c r="AA36" s="14"/>
      <c r="AB36" s="13"/>
      <c r="AC36" s="13"/>
      <c r="AD36" s="14"/>
      <c r="AE36" s="12"/>
      <c r="AF36" s="13"/>
      <c r="AG36" s="12" t="s">
        <v>677</v>
      </c>
      <c r="AH36" s="14"/>
      <c r="AI36" s="13">
        <v>32</v>
      </c>
      <c r="AJ36" s="14"/>
      <c r="AK36" s="14"/>
      <c r="AL36" s="12"/>
      <c r="AM36" s="12"/>
      <c r="AN36" s="14"/>
      <c r="AO36" s="14"/>
      <c r="AP36" s="12"/>
      <c r="AQ36" s="13"/>
      <c r="AR36" s="12"/>
      <c r="AS36" s="12"/>
      <c r="AT36" s="12"/>
      <c r="AU36" s="13"/>
      <c r="AV36" s="12"/>
      <c r="AW36" s="13"/>
      <c r="AX36" s="13"/>
      <c r="AY36" s="14"/>
      <c r="AZ36" s="14"/>
      <c r="BA36" s="14"/>
      <c r="BB36" s="14"/>
      <c r="BC36" s="14"/>
      <c r="BD36" s="14"/>
      <c r="BE36" s="13"/>
      <c r="BF36" s="13"/>
      <c r="BG36" s="13"/>
      <c r="BH36" s="13"/>
      <c r="BI36" s="12"/>
      <c r="BJ36" s="12"/>
      <c r="BK36" s="13"/>
      <c r="BL36" s="13"/>
      <c r="BM36" s="12"/>
      <c r="BO36" s="60">
        <f>'LookUp Roll&amp;Packs'!$U$8</f>
        <v>61.97</v>
      </c>
      <c r="BR36" s="60">
        <f>'LookUp Roll&amp;Packs'!$V$8</f>
        <v>5.22</v>
      </c>
      <c r="BT36" s="62">
        <v>32</v>
      </c>
      <c r="BU36" s="60">
        <f>'LookUp Roll&amp;Packs'!$CJ$8</f>
        <v>22.56</v>
      </c>
      <c r="BV36" s="60">
        <f>'LookUp Roll&amp;Packs'!$CO$8</f>
        <v>2796.7</v>
      </c>
      <c r="BW36" s="60">
        <f>'LookUp Roll&amp;Packs'!$CQ$8</f>
        <v>175.14</v>
      </c>
      <c r="BX36" s="61">
        <f>'LookUp Roll&amp;Packs'!$CP$8</f>
        <v>66.8</v>
      </c>
      <c r="BY36" s="61">
        <v>1</v>
      </c>
      <c r="BZ36" s="62">
        <f t="shared" si="30"/>
        <v>22.56</v>
      </c>
      <c r="CA36" s="67">
        <f t="shared" si="31"/>
        <v>4.7797399999999994</v>
      </c>
      <c r="CB36" s="67"/>
      <c r="CC36" s="67">
        <f t="shared" si="32"/>
        <v>0.16703999999999999</v>
      </c>
      <c r="CD36" s="67">
        <f t="shared" si="33"/>
        <v>0.17513999999999999</v>
      </c>
      <c r="CE36" s="67">
        <f t="shared" si="34"/>
        <v>6.6799999999999998E-2</v>
      </c>
      <c r="CG36" s="1"/>
    </row>
    <row r="37" spans="1:88" ht="19.5" customHeight="1">
      <c r="A37" s="84">
        <v>10000458</v>
      </c>
      <c r="B37" s="84">
        <v>10000458</v>
      </c>
      <c r="C37" s="84"/>
      <c r="D37" s="10">
        <v>10000458</v>
      </c>
      <c r="E37" s="11" t="s">
        <v>61</v>
      </c>
      <c r="F37" s="12" t="s">
        <v>62</v>
      </c>
      <c r="G37" s="12" t="s">
        <v>63</v>
      </c>
      <c r="H37" s="12" t="s">
        <v>271</v>
      </c>
      <c r="I37" s="12" t="s">
        <v>272</v>
      </c>
      <c r="J37" s="13"/>
      <c r="K37" s="13"/>
      <c r="L37" s="12" t="s">
        <v>273</v>
      </c>
      <c r="M37" s="12" t="s">
        <v>67</v>
      </c>
      <c r="N37" s="12" t="s">
        <v>262</v>
      </c>
      <c r="O37" s="12" t="s">
        <v>263</v>
      </c>
      <c r="P37" s="14">
        <v>0</v>
      </c>
      <c r="Q37" s="12" t="s">
        <v>70</v>
      </c>
      <c r="R37" s="12" t="s">
        <v>71</v>
      </c>
      <c r="S37" s="12" t="s">
        <v>72</v>
      </c>
      <c r="T37" s="14">
        <v>8721284290261</v>
      </c>
      <c r="U37" s="13"/>
      <c r="V37" s="12" t="s">
        <v>274</v>
      </c>
      <c r="W37" s="12" t="s">
        <v>269</v>
      </c>
      <c r="X37" s="12" t="s">
        <v>75</v>
      </c>
      <c r="Y37" s="13"/>
      <c r="Z37" s="13"/>
      <c r="AA37" s="14">
        <v>20.9</v>
      </c>
      <c r="AB37" s="13"/>
      <c r="AC37" s="12" t="s">
        <v>275</v>
      </c>
      <c r="AD37" s="14">
        <v>48042110</v>
      </c>
      <c r="AE37" s="12" t="s">
        <v>77</v>
      </c>
      <c r="AF37" s="13"/>
      <c r="AG37" s="12" t="s">
        <v>276</v>
      </c>
      <c r="AH37" s="14">
        <v>0.8</v>
      </c>
      <c r="AI37" s="14">
        <v>24</v>
      </c>
      <c r="AJ37" s="14">
        <v>1.2</v>
      </c>
      <c r="AK37" s="14">
        <v>1.2</v>
      </c>
      <c r="AL37" s="12" t="s">
        <v>79</v>
      </c>
      <c r="AM37" s="12" t="s">
        <v>62</v>
      </c>
      <c r="AN37" s="12" t="s">
        <v>270</v>
      </c>
      <c r="AO37" s="14">
        <v>502</v>
      </c>
      <c r="AP37" s="12" t="s">
        <v>81</v>
      </c>
      <c r="AQ37" s="12" t="s">
        <v>82</v>
      </c>
      <c r="AR37" s="12" t="s">
        <v>83</v>
      </c>
      <c r="AS37" s="12" t="s">
        <v>84</v>
      </c>
      <c r="AT37" s="12" t="s">
        <v>62</v>
      </c>
      <c r="AU37" s="13"/>
      <c r="AV37" s="15">
        <v>0.85</v>
      </c>
      <c r="AW37" s="15">
        <v>0.15</v>
      </c>
      <c r="AX37" s="13"/>
      <c r="AY37" s="15">
        <v>0.85</v>
      </c>
      <c r="AZ37" s="14">
        <v>0</v>
      </c>
      <c r="BA37" s="15">
        <v>0.15</v>
      </c>
      <c r="BB37" s="14">
        <v>269</v>
      </c>
      <c r="BC37" s="14">
        <v>25</v>
      </c>
      <c r="BD37" s="14">
        <v>8.8000000000000007</v>
      </c>
      <c r="BE37" s="12" t="s">
        <v>85</v>
      </c>
      <c r="BF37" s="12" t="s">
        <v>85</v>
      </c>
      <c r="BG37" s="16" t="s">
        <v>86</v>
      </c>
      <c r="BH37" s="12" t="s">
        <v>87</v>
      </c>
      <c r="BI37" s="12" t="s">
        <v>187</v>
      </c>
      <c r="BJ37" s="12" t="s">
        <v>89</v>
      </c>
      <c r="BK37" s="13"/>
      <c r="BL37" s="13"/>
      <c r="BM37" s="12" t="s">
        <v>90</v>
      </c>
      <c r="BO37" s="60">
        <f>'LookUp Roll&amp;Packs'!$U$10</f>
        <v>71.260000000000005</v>
      </c>
      <c r="BR37" s="60">
        <f>'LookUp Roll&amp;Packs'!$V$10</f>
        <v>7.78</v>
      </c>
      <c r="BT37" s="62">
        <f t="shared" ref="BT37:BT52" si="35">AI37</f>
        <v>24</v>
      </c>
      <c r="BU37" s="60">
        <f>'LookUp Roll&amp;Packs'!$BI$10</f>
        <v>22.56</v>
      </c>
      <c r="BV37" s="60">
        <f>'LookUp Roll&amp;Packs'!$CO$10</f>
        <v>2796.7</v>
      </c>
      <c r="BW37" s="60">
        <f>'LookUp Roll&amp;Packs'!$CQ$10</f>
        <v>160.74</v>
      </c>
      <c r="BX37" s="61">
        <f>'LookUp Roll&amp;Packs'!$CP$10</f>
        <v>66.8</v>
      </c>
      <c r="BY37" s="61">
        <v>1</v>
      </c>
      <c r="BZ37" s="62">
        <f>BU37</f>
        <v>22.56</v>
      </c>
      <c r="CA37" s="67">
        <f t="shared" ref="CA37:CA52" si="36">((AI37*BO37)+BV37)/1000</f>
        <v>4.5069400000000002</v>
      </c>
      <c r="CB37" s="67"/>
      <c r="CC37" s="67">
        <f t="shared" ref="CC37:CC52" si="37">(AI37*BR37)/1000</f>
        <v>0.18672</v>
      </c>
      <c r="CD37" s="67">
        <f t="shared" ref="CD37:CD52" si="38">BW37/1000</f>
        <v>0.16074000000000002</v>
      </c>
      <c r="CE37" s="67">
        <f t="shared" ref="CE37:CE52" si="39">BX37/1000</f>
        <v>6.6799999999999998E-2</v>
      </c>
      <c r="CH37" s="55" t="s">
        <v>564</v>
      </c>
      <c r="CI37" s="1" t="s">
        <v>564</v>
      </c>
      <c r="CJ37" s="1" t="s">
        <v>564</v>
      </c>
    </row>
    <row r="38" spans="1:88" ht="19.5" customHeight="1">
      <c r="A38" s="84">
        <v>10000459</v>
      </c>
      <c r="B38" s="84">
        <v>10000459</v>
      </c>
      <c r="C38" s="84"/>
      <c r="D38" s="10">
        <v>10000459</v>
      </c>
      <c r="E38" s="11" t="s">
        <v>61</v>
      </c>
      <c r="F38" s="12" t="s">
        <v>62</v>
      </c>
      <c r="G38" s="12" t="s">
        <v>63</v>
      </c>
      <c r="H38" s="12" t="s">
        <v>271</v>
      </c>
      <c r="I38" s="12" t="s">
        <v>277</v>
      </c>
      <c r="J38" s="13"/>
      <c r="K38" s="13"/>
      <c r="L38" s="12" t="s">
        <v>273</v>
      </c>
      <c r="M38" s="12" t="s">
        <v>67</v>
      </c>
      <c r="N38" s="12" t="s">
        <v>262</v>
      </c>
      <c r="O38" s="12" t="s">
        <v>263</v>
      </c>
      <c r="P38" s="14">
        <v>0</v>
      </c>
      <c r="Q38" s="12" t="s">
        <v>142</v>
      </c>
      <c r="R38" s="12" t="s">
        <v>71</v>
      </c>
      <c r="S38" s="12" t="s">
        <v>72</v>
      </c>
      <c r="T38" s="14">
        <v>8721284290278</v>
      </c>
      <c r="U38" s="13"/>
      <c r="V38" s="12" t="s">
        <v>274</v>
      </c>
      <c r="W38" s="12" t="s">
        <v>269</v>
      </c>
      <c r="X38" s="12" t="s">
        <v>75</v>
      </c>
      <c r="Y38" s="13"/>
      <c r="Z38" s="13"/>
      <c r="AA38" s="14">
        <v>20.9</v>
      </c>
      <c r="AB38" s="13"/>
      <c r="AC38" s="12" t="s">
        <v>275</v>
      </c>
      <c r="AD38" s="14">
        <v>48043158</v>
      </c>
      <c r="AE38" s="12" t="s">
        <v>77</v>
      </c>
      <c r="AF38" s="13"/>
      <c r="AG38" s="12" t="s">
        <v>278</v>
      </c>
      <c r="AH38" s="14">
        <v>0.8</v>
      </c>
      <c r="AI38" s="14">
        <v>24</v>
      </c>
      <c r="AJ38" s="14">
        <v>1.2</v>
      </c>
      <c r="AK38" s="14">
        <v>1.2</v>
      </c>
      <c r="AL38" s="12" t="s">
        <v>79</v>
      </c>
      <c r="AM38" s="12" t="s">
        <v>62</v>
      </c>
      <c r="AN38" s="12" t="s">
        <v>270</v>
      </c>
      <c r="AO38" s="14">
        <v>502</v>
      </c>
      <c r="AP38" s="12" t="s">
        <v>81</v>
      </c>
      <c r="AQ38" s="12" t="s">
        <v>146</v>
      </c>
      <c r="AR38" s="12" t="s">
        <v>83</v>
      </c>
      <c r="AS38" s="12" t="s">
        <v>84</v>
      </c>
      <c r="AT38" s="12" t="s">
        <v>110</v>
      </c>
      <c r="AU38" s="13"/>
      <c r="AV38" s="13"/>
      <c r="AW38" s="15">
        <v>1</v>
      </c>
      <c r="AX38" s="13"/>
      <c r="AY38" s="14">
        <v>0</v>
      </c>
      <c r="AZ38" s="14">
        <v>0</v>
      </c>
      <c r="BA38" s="15">
        <v>1</v>
      </c>
      <c r="BB38" s="14">
        <v>199</v>
      </c>
      <c r="BC38" s="14">
        <v>26</v>
      </c>
      <c r="BD38" s="14">
        <v>17</v>
      </c>
      <c r="BE38" s="12" t="s">
        <v>85</v>
      </c>
      <c r="BF38" s="12" t="s">
        <v>85</v>
      </c>
      <c r="BG38" s="16" t="s">
        <v>86</v>
      </c>
      <c r="BH38" s="12" t="s">
        <v>248</v>
      </c>
      <c r="BI38" s="12" t="s">
        <v>187</v>
      </c>
      <c r="BJ38" s="12" t="s">
        <v>89</v>
      </c>
      <c r="BK38" s="13"/>
      <c r="BL38" s="13"/>
      <c r="BM38" s="12" t="s">
        <v>90</v>
      </c>
      <c r="BO38" s="60">
        <f>'LookUp Roll&amp;Packs'!$U$10</f>
        <v>71.260000000000005</v>
      </c>
      <c r="BR38" s="60">
        <f>'LookUp Roll&amp;Packs'!$V$10</f>
        <v>7.78</v>
      </c>
      <c r="BT38" s="62">
        <f t="shared" si="35"/>
        <v>24</v>
      </c>
      <c r="BU38" s="60">
        <f>'LookUp Roll&amp;Packs'!$BI$10</f>
        <v>22.56</v>
      </c>
      <c r="BV38" s="60">
        <f>'LookUp Roll&amp;Packs'!$CO$10</f>
        <v>2796.7</v>
      </c>
      <c r="BW38" s="60">
        <f>'LookUp Roll&amp;Packs'!$CQ$10</f>
        <v>160.74</v>
      </c>
      <c r="BX38" s="61">
        <f>'LookUp Roll&amp;Packs'!$CP$10</f>
        <v>66.8</v>
      </c>
      <c r="BY38" s="61">
        <v>1</v>
      </c>
      <c r="BZ38" s="62">
        <f>BU38</f>
        <v>22.56</v>
      </c>
      <c r="CA38" s="67">
        <f t="shared" si="36"/>
        <v>4.5069400000000002</v>
      </c>
      <c r="CB38" s="67"/>
      <c r="CC38" s="67">
        <f t="shared" si="37"/>
        <v>0.18672</v>
      </c>
      <c r="CD38" s="67">
        <f t="shared" si="38"/>
        <v>0.16074000000000002</v>
      </c>
      <c r="CE38" s="67">
        <f t="shared" si="39"/>
        <v>6.6799999999999998E-2</v>
      </c>
      <c r="CH38" s="55" t="s">
        <v>564</v>
      </c>
      <c r="CI38" s="1" t="s">
        <v>564</v>
      </c>
      <c r="CJ38" s="1" t="s">
        <v>564</v>
      </c>
    </row>
    <row r="39" spans="1:88" ht="19.5" customHeight="1">
      <c r="A39" s="84">
        <v>10000460</v>
      </c>
      <c r="B39" s="84">
        <v>10000460</v>
      </c>
      <c r="C39" s="84"/>
      <c r="D39" s="10">
        <v>10000460</v>
      </c>
      <c r="E39" s="11" t="s">
        <v>61</v>
      </c>
      <c r="F39" s="12" t="s">
        <v>62</v>
      </c>
      <c r="G39" s="12" t="s">
        <v>63</v>
      </c>
      <c r="H39" s="12" t="s">
        <v>271</v>
      </c>
      <c r="I39" s="12" t="s">
        <v>279</v>
      </c>
      <c r="J39" s="13"/>
      <c r="K39" s="13"/>
      <c r="L39" s="12" t="s">
        <v>271</v>
      </c>
      <c r="M39" s="12" t="s">
        <v>67</v>
      </c>
      <c r="N39" s="12" t="s">
        <v>68</v>
      </c>
      <c r="O39" s="12" t="s">
        <v>69</v>
      </c>
      <c r="P39" s="14">
        <v>0</v>
      </c>
      <c r="Q39" s="12" t="s">
        <v>70</v>
      </c>
      <c r="R39" s="12" t="s">
        <v>71</v>
      </c>
      <c r="S39" s="12" t="s">
        <v>72</v>
      </c>
      <c r="T39" s="14">
        <v>8721284290285</v>
      </c>
      <c r="U39" s="13"/>
      <c r="V39" s="12" t="s">
        <v>73</v>
      </c>
      <c r="W39" s="12" t="s">
        <v>74</v>
      </c>
      <c r="X39" s="12" t="s">
        <v>75</v>
      </c>
      <c r="Y39" s="13"/>
      <c r="Z39" s="13"/>
      <c r="AA39" s="14">
        <v>20</v>
      </c>
      <c r="AB39" s="13"/>
      <c r="AC39" s="12" t="s">
        <v>275</v>
      </c>
      <c r="AD39" s="14">
        <v>48043158</v>
      </c>
      <c r="AE39" s="12" t="s">
        <v>77</v>
      </c>
      <c r="AF39" s="13"/>
      <c r="AG39" s="12" t="s">
        <v>280</v>
      </c>
      <c r="AH39" s="14">
        <v>0.8</v>
      </c>
      <c r="AI39" s="14">
        <v>24</v>
      </c>
      <c r="AJ39" s="14">
        <v>1.2</v>
      </c>
      <c r="AK39" s="14">
        <v>1.2</v>
      </c>
      <c r="AL39" s="12" t="s">
        <v>79</v>
      </c>
      <c r="AM39" s="12" t="s">
        <v>62</v>
      </c>
      <c r="AN39" s="12" t="s">
        <v>281</v>
      </c>
      <c r="AO39" s="14">
        <v>480</v>
      </c>
      <c r="AP39" s="12" t="s">
        <v>81</v>
      </c>
      <c r="AQ39" s="12" t="s">
        <v>82</v>
      </c>
      <c r="AR39" s="12" t="s">
        <v>83</v>
      </c>
      <c r="AS39" s="12" t="s">
        <v>84</v>
      </c>
      <c r="AT39" s="12" t="s">
        <v>62</v>
      </c>
      <c r="AU39" s="13"/>
      <c r="AV39" s="15">
        <v>0.85</v>
      </c>
      <c r="AW39" s="15">
        <v>0.15</v>
      </c>
      <c r="AX39" s="13"/>
      <c r="AY39" s="15">
        <v>0.85</v>
      </c>
      <c r="AZ39" s="14">
        <v>0</v>
      </c>
      <c r="BA39" s="15">
        <v>0.15</v>
      </c>
      <c r="BB39" s="14">
        <v>251</v>
      </c>
      <c r="BC39" s="14">
        <v>24</v>
      </c>
      <c r="BD39" s="14">
        <v>2.1</v>
      </c>
      <c r="BE39" s="12" t="s">
        <v>85</v>
      </c>
      <c r="BF39" s="12" t="s">
        <v>85</v>
      </c>
      <c r="BG39" s="16" t="s">
        <v>86</v>
      </c>
      <c r="BH39" s="12" t="s">
        <v>87</v>
      </c>
      <c r="BI39" s="12" t="s">
        <v>187</v>
      </c>
      <c r="BJ39" s="12" t="s">
        <v>89</v>
      </c>
      <c r="BK39" s="13"/>
      <c r="BL39" s="13"/>
      <c r="BM39" s="12" t="s">
        <v>90</v>
      </c>
      <c r="BO39" s="60">
        <f>'LookUp Roll&amp;Packs'!$U$10</f>
        <v>71.260000000000005</v>
      </c>
      <c r="BR39" s="60">
        <f>'LookUp Roll&amp;Packs'!$V$10</f>
        <v>7.78</v>
      </c>
      <c r="BT39" s="62">
        <f t="shared" si="35"/>
        <v>24</v>
      </c>
      <c r="BU39" s="60">
        <f>'LookUp Roll&amp;Packs'!$BI$10</f>
        <v>22.56</v>
      </c>
      <c r="BV39" s="60">
        <f>'LookUp Roll&amp;Packs'!$CO$10</f>
        <v>2796.7</v>
      </c>
      <c r="BW39" s="60">
        <f>'LookUp Roll&amp;Packs'!$CQ$10</f>
        <v>160.74</v>
      </c>
      <c r="BX39" s="61">
        <f>'LookUp Roll&amp;Packs'!$CP$10</f>
        <v>66.8</v>
      </c>
      <c r="BY39" s="61">
        <v>1</v>
      </c>
      <c r="BZ39" s="62">
        <f>BU39</f>
        <v>22.56</v>
      </c>
      <c r="CA39" s="67">
        <f t="shared" si="36"/>
        <v>4.5069400000000002</v>
      </c>
      <c r="CB39" s="67"/>
      <c r="CC39" s="67">
        <f t="shared" si="37"/>
        <v>0.18672</v>
      </c>
      <c r="CD39" s="67">
        <f t="shared" si="38"/>
        <v>0.16074000000000002</v>
      </c>
      <c r="CE39" s="67">
        <f t="shared" si="39"/>
        <v>6.6799999999999998E-2</v>
      </c>
      <c r="CH39" s="55" t="s">
        <v>564</v>
      </c>
      <c r="CI39" s="1" t="s">
        <v>564</v>
      </c>
      <c r="CJ39" s="1" t="s">
        <v>564</v>
      </c>
    </row>
    <row r="40" spans="1:88" ht="19.5" customHeight="1">
      <c r="A40" s="84">
        <v>10000468</v>
      </c>
      <c r="B40" s="84">
        <v>10000468</v>
      </c>
      <c r="C40" s="84"/>
      <c r="D40" s="10">
        <v>10000468</v>
      </c>
      <c r="E40" s="11" t="s">
        <v>61</v>
      </c>
      <c r="F40" s="12" t="s">
        <v>62</v>
      </c>
      <c r="G40" s="12" t="s">
        <v>63</v>
      </c>
      <c r="H40" s="12" t="s">
        <v>271</v>
      </c>
      <c r="I40" s="12" t="s">
        <v>282</v>
      </c>
      <c r="J40" s="13"/>
      <c r="K40" s="13"/>
      <c r="L40" s="12" t="s">
        <v>271</v>
      </c>
      <c r="M40" s="12" t="s">
        <v>67</v>
      </c>
      <c r="N40" s="12" t="s">
        <v>237</v>
      </c>
      <c r="O40" s="12" t="s">
        <v>238</v>
      </c>
      <c r="P40" s="14">
        <v>0</v>
      </c>
      <c r="Q40" s="12" t="s">
        <v>109</v>
      </c>
      <c r="R40" s="12" t="s">
        <v>71</v>
      </c>
      <c r="S40" s="12" t="s">
        <v>72</v>
      </c>
      <c r="T40" s="14">
        <v>8721284290292</v>
      </c>
      <c r="U40" s="13"/>
      <c r="V40" s="12" t="s">
        <v>103</v>
      </c>
      <c r="W40" s="12" t="s">
        <v>104</v>
      </c>
      <c r="X40" s="12" t="s">
        <v>75</v>
      </c>
      <c r="Y40" s="13"/>
      <c r="Z40" s="13"/>
      <c r="AA40" s="14">
        <v>19.399999999999999</v>
      </c>
      <c r="AB40" s="13"/>
      <c r="AC40" s="12" t="s">
        <v>275</v>
      </c>
      <c r="AD40" s="14">
        <v>48059100</v>
      </c>
      <c r="AE40" s="12" t="s">
        <v>77</v>
      </c>
      <c r="AF40" s="13"/>
      <c r="AG40" s="12" t="s">
        <v>283</v>
      </c>
      <c r="AH40" s="14">
        <v>0.8</v>
      </c>
      <c r="AI40" s="14">
        <v>24</v>
      </c>
      <c r="AJ40" s="14">
        <v>1.2</v>
      </c>
      <c r="AK40" s="14">
        <v>1.2</v>
      </c>
      <c r="AL40" s="12" t="s">
        <v>79</v>
      </c>
      <c r="AM40" s="12" t="s">
        <v>62</v>
      </c>
      <c r="AN40" s="12" t="s">
        <v>281</v>
      </c>
      <c r="AO40" s="14">
        <v>466</v>
      </c>
      <c r="AP40" s="12" t="s">
        <v>81</v>
      </c>
      <c r="AQ40" s="12" t="s">
        <v>82</v>
      </c>
      <c r="AR40" s="12" t="s">
        <v>83</v>
      </c>
      <c r="AS40" s="12" t="s">
        <v>84</v>
      </c>
      <c r="AT40" s="12" t="s">
        <v>110</v>
      </c>
      <c r="AU40" s="13"/>
      <c r="AV40" s="15">
        <v>0.5</v>
      </c>
      <c r="AW40" s="15">
        <v>0.5</v>
      </c>
      <c r="AX40" s="13"/>
      <c r="AY40" s="15">
        <v>0.5</v>
      </c>
      <c r="AZ40" s="15">
        <v>0.15</v>
      </c>
      <c r="BA40" s="15">
        <v>0.35</v>
      </c>
      <c r="BB40" s="14">
        <v>233</v>
      </c>
      <c r="BC40" s="14">
        <v>23</v>
      </c>
      <c r="BD40" s="14">
        <v>6.4</v>
      </c>
      <c r="BE40" s="12" t="s">
        <v>85</v>
      </c>
      <c r="BF40" s="12" t="s">
        <v>85</v>
      </c>
      <c r="BG40" s="16" t="s">
        <v>86</v>
      </c>
      <c r="BH40" s="12" t="s">
        <v>111</v>
      </c>
      <c r="BI40" s="12" t="s">
        <v>187</v>
      </c>
      <c r="BJ40" s="12" t="s">
        <v>89</v>
      </c>
      <c r="BK40" s="13"/>
      <c r="BL40" s="13"/>
      <c r="BM40" s="12" t="s">
        <v>90</v>
      </c>
      <c r="BO40" s="60">
        <f>'LookUp Roll&amp;Packs'!$U$10</f>
        <v>71.260000000000005</v>
      </c>
      <c r="BR40" s="60">
        <f>'LookUp Roll&amp;Packs'!$V$10</f>
        <v>7.78</v>
      </c>
      <c r="BT40" s="62">
        <f t="shared" si="35"/>
        <v>24</v>
      </c>
      <c r="BU40" s="60">
        <f>'LookUp Roll&amp;Packs'!$BI$10</f>
        <v>22.56</v>
      </c>
      <c r="BV40" s="60">
        <f>'LookUp Roll&amp;Packs'!$CO$10</f>
        <v>2796.7</v>
      </c>
      <c r="BW40" s="60">
        <f>'LookUp Roll&amp;Packs'!$CQ$10</f>
        <v>160.74</v>
      </c>
      <c r="BX40" s="61">
        <f>'LookUp Roll&amp;Packs'!$CP$10</f>
        <v>66.8</v>
      </c>
      <c r="BY40" s="61">
        <v>1</v>
      </c>
      <c r="BZ40" s="62">
        <f>BU40</f>
        <v>22.56</v>
      </c>
      <c r="CA40" s="67">
        <f t="shared" si="36"/>
        <v>4.5069400000000002</v>
      </c>
      <c r="CB40" s="67"/>
      <c r="CC40" s="67">
        <f t="shared" si="37"/>
        <v>0.18672</v>
      </c>
      <c r="CD40" s="67">
        <f t="shared" si="38"/>
        <v>0.16074000000000002</v>
      </c>
      <c r="CE40" s="67">
        <f t="shared" si="39"/>
        <v>6.6799999999999998E-2</v>
      </c>
      <c r="CH40" s="55" t="s">
        <v>564</v>
      </c>
      <c r="CI40" s="1" t="s">
        <v>564</v>
      </c>
      <c r="CJ40" s="1" t="s">
        <v>564</v>
      </c>
    </row>
    <row r="41" spans="1:88" ht="19.5" customHeight="1">
      <c r="A41" s="84">
        <v>10000469</v>
      </c>
      <c r="B41" s="84">
        <v>10000469</v>
      </c>
      <c r="C41" s="84"/>
      <c r="D41" s="10">
        <v>10000469</v>
      </c>
      <c r="E41" s="11" t="s">
        <v>61</v>
      </c>
      <c r="F41" s="12" t="s">
        <v>62</v>
      </c>
      <c r="G41" s="12" t="s">
        <v>63</v>
      </c>
      <c r="H41" s="12" t="s">
        <v>271</v>
      </c>
      <c r="I41" s="12" t="s">
        <v>284</v>
      </c>
      <c r="J41" s="13"/>
      <c r="K41" s="13"/>
      <c r="L41" s="12" t="s">
        <v>273</v>
      </c>
      <c r="M41" s="12" t="s">
        <v>67</v>
      </c>
      <c r="N41" s="12" t="s">
        <v>285</v>
      </c>
      <c r="O41" s="16" t="s">
        <v>286</v>
      </c>
      <c r="P41" s="14">
        <v>0</v>
      </c>
      <c r="Q41" s="12" t="s">
        <v>287</v>
      </c>
      <c r="R41" s="12" t="s">
        <v>71</v>
      </c>
      <c r="S41" s="12" t="s">
        <v>72</v>
      </c>
      <c r="T41" s="14">
        <v>8721284290308</v>
      </c>
      <c r="U41" s="13"/>
      <c r="V41" s="12" t="s">
        <v>103</v>
      </c>
      <c r="W41" s="12" t="s">
        <v>104</v>
      </c>
      <c r="X41" s="12" t="s">
        <v>75</v>
      </c>
      <c r="Y41" s="13"/>
      <c r="Z41" s="13"/>
      <c r="AA41" s="14">
        <v>20.100000000000001</v>
      </c>
      <c r="AB41" s="13"/>
      <c r="AC41" s="12" t="s">
        <v>275</v>
      </c>
      <c r="AD41" s="14">
        <v>48043158</v>
      </c>
      <c r="AE41" s="12" t="s">
        <v>77</v>
      </c>
      <c r="AF41" s="13"/>
      <c r="AG41" s="12" t="s">
        <v>288</v>
      </c>
      <c r="AH41" s="14">
        <v>0.8</v>
      </c>
      <c r="AI41" s="14">
        <v>24</v>
      </c>
      <c r="AJ41" s="14">
        <v>1.2</v>
      </c>
      <c r="AK41" s="14">
        <v>1.2</v>
      </c>
      <c r="AL41" s="12" t="s">
        <v>79</v>
      </c>
      <c r="AM41" s="12" t="s">
        <v>62</v>
      </c>
      <c r="AN41" s="12" t="s">
        <v>289</v>
      </c>
      <c r="AO41" s="14">
        <v>482</v>
      </c>
      <c r="AP41" s="12" t="s">
        <v>81</v>
      </c>
      <c r="AQ41" s="12" t="s">
        <v>82</v>
      </c>
      <c r="AR41" s="12" t="s">
        <v>83</v>
      </c>
      <c r="AS41" s="12" t="s">
        <v>84</v>
      </c>
      <c r="AT41" s="12" t="s">
        <v>110</v>
      </c>
      <c r="AU41" s="13"/>
      <c r="AV41" s="18">
        <v>7.4999999999999997E-2</v>
      </c>
      <c r="AW41" s="14">
        <v>92.5</v>
      </c>
      <c r="AX41" s="18">
        <v>7.4999999999999997E-2</v>
      </c>
      <c r="AY41" s="18">
        <v>7.4999999999999997E-2</v>
      </c>
      <c r="AZ41" s="15">
        <v>0.15</v>
      </c>
      <c r="BA41" s="18">
        <v>0.77500000000000002</v>
      </c>
      <c r="BB41" s="14">
        <v>209</v>
      </c>
      <c r="BC41" s="14">
        <v>33</v>
      </c>
      <c r="BD41" s="14">
        <v>15.4</v>
      </c>
      <c r="BE41" s="12" t="s">
        <v>85</v>
      </c>
      <c r="BF41" s="12" t="s">
        <v>85</v>
      </c>
      <c r="BG41" s="16" t="s">
        <v>86</v>
      </c>
      <c r="BH41" s="12" t="s">
        <v>111</v>
      </c>
      <c r="BI41" s="12" t="s">
        <v>187</v>
      </c>
      <c r="BJ41" s="12" t="s">
        <v>89</v>
      </c>
      <c r="BK41" s="13"/>
      <c r="BL41" s="13"/>
      <c r="BM41" s="12" t="s">
        <v>90</v>
      </c>
      <c r="BO41" s="60">
        <f>'LookUp Roll&amp;Packs'!$U$10</f>
        <v>71.260000000000005</v>
      </c>
      <c r="BR41" s="60">
        <f>'LookUp Roll&amp;Packs'!$V$10</f>
        <v>7.78</v>
      </c>
      <c r="BT41" s="62">
        <f t="shared" si="35"/>
        <v>24</v>
      </c>
      <c r="BU41" s="60">
        <f>'LookUp Roll&amp;Packs'!$BI$10</f>
        <v>22.56</v>
      </c>
      <c r="BV41" s="60">
        <f>'LookUp Roll&amp;Packs'!$CO$10</f>
        <v>2796.7</v>
      </c>
      <c r="BW41" s="60">
        <f>'LookUp Roll&amp;Packs'!$CQ$10</f>
        <v>160.74</v>
      </c>
      <c r="BX41" s="61">
        <f>'LookUp Roll&amp;Packs'!$CP$10</f>
        <v>66.8</v>
      </c>
      <c r="BY41" s="61">
        <v>1</v>
      </c>
      <c r="BZ41" s="62">
        <f>BU41</f>
        <v>22.56</v>
      </c>
      <c r="CA41" s="67">
        <f t="shared" si="36"/>
        <v>4.5069400000000002</v>
      </c>
      <c r="CB41" s="67"/>
      <c r="CC41" s="67">
        <f t="shared" si="37"/>
        <v>0.18672</v>
      </c>
      <c r="CD41" s="67">
        <f t="shared" si="38"/>
        <v>0.16074000000000002</v>
      </c>
      <c r="CE41" s="67">
        <f t="shared" si="39"/>
        <v>6.6799999999999998E-2</v>
      </c>
      <c r="CH41" s="55" t="s">
        <v>564</v>
      </c>
      <c r="CI41" s="1" t="s">
        <v>564</v>
      </c>
      <c r="CJ41" s="1" t="s">
        <v>564</v>
      </c>
    </row>
    <row r="42" spans="1:88" ht="19.5" customHeight="1">
      <c r="A42" s="84">
        <v>10000495</v>
      </c>
      <c r="B42" s="84">
        <v>10000495</v>
      </c>
      <c r="C42" s="84"/>
      <c r="D42" s="10">
        <v>10000495</v>
      </c>
      <c r="E42" s="11" t="s">
        <v>61</v>
      </c>
      <c r="F42" s="12" t="s">
        <v>62</v>
      </c>
      <c r="G42" s="12" t="s">
        <v>63</v>
      </c>
      <c r="H42" s="12" t="s">
        <v>291</v>
      </c>
      <c r="I42" s="12" t="s">
        <v>292</v>
      </c>
      <c r="J42" s="13"/>
      <c r="K42" s="13"/>
      <c r="L42" s="12" t="s">
        <v>293</v>
      </c>
      <c r="M42" s="12" t="s">
        <v>99</v>
      </c>
      <c r="N42" s="12" t="s">
        <v>237</v>
      </c>
      <c r="O42" s="12" t="s">
        <v>238</v>
      </c>
      <c r="P42" s="14">
        <v>2</v>
      </c>
      <c r="Q42" s="12" t="s">
        <v>109</v>
      </c>
      <c r="R42" s="12" t="s">
        <v>71</v>
      </c>
      <c r="S42" s="12" t="s">
        <v>72</v>
      </c>
      <c r="T42" s="14">
        <v>8721284290315</v>
      </c>
      <c r="U42" s="13"/>
      <c r="V42" s="12" t="s">
        <v>294</v>
      </c>
      <c r="W42" s="12" t="s">
        <v>295</v>
      </c>
      <c r="X42" s="12" t="s">
        <v>162</v>
      </c>
      <c r="Y42" s="13"/>
      <c r="Z42" s="13"/>
      <c r="AA42" s="14">
        <v>16.899999999999999</v>
      </c>
      <c r="AB42" s="12" t="s">
        <v>296</v>
      </c>
      <c r="AC42" s="13"/>
      <c r="AD42" s="14">
        <v>48043158</v>
      </c>
      <c r="AE42" s="12" t="s">
        <v>77</v>
      </c>
      <c r="AF42" s="13"/>
      <c r="AG42" s="12" t="s">
        <v>297</v>
      </c>
      <c r="AH42" s="14">
        <v>0.8</v>
      </c>
      <c r="AI42" s="14">
        <v>20</v>
      </c>
      <c r="AJ42" s="14">
        <v>1.2</v>
      </c>
      <c r="AK42" s="14">
        <v>0.92</v>
      </c>
      <c r="AL42" s="12" t="s">
        <v>107</v>
      </c>
      <c r="AM42" s="12" t="s">
        <v>62</v>
      </c>
      <c r="AN42" s="12" t="s">
        <v>298</v>
      </c>
      <c r="AO42" s="14">
        <v>339</v>
      </c>
      <c r="AP42" s="12" t="s">
        <v>81</v>
      </c>
      <c r="AQ42" s="12" t="s">
        <v>82</v>
      </c>
      <c r="AR42" s="12" t="s">
        <v>83</v>
      </c>
      <c r="AS42" s="12" t="s">
        <v>84</v>
      </c>
      <c r="AT42" s="12" t="s">
        <v>110</v>
      </c>
      <c r="AU42" s="13"/>
      <c r="AV42" s="15">
        <v>0.5</v>
      </c>
      <c r="AW42" s="15">
        <v>0.5</v>
      </c>
      <c r="AX42" s="13"/>
      <c r="AY42" s="15">
        <v>0.5</v>
      </c>
      <c r="AZ42" s="15">
        <v>0.15</v>
      </c>
      <c r="BA42" s="15">
        <v>0.35</v>
      </c>
      <c r="BB42" s="14">
        <v>213</v>
      </c>
      <c r="BC42" s="14">
        <v>21</v>
      </c>
      <c r="BD42" s="14">
        <v>12.1</v>
      </c>
      <c r="BE42" s="12" t="s">
        <v>85</v>
      </c>
      <c r="BF42" s="12" t="s">
        <v>85</v>
      </c>
      <c r="BG42" s="16" t="s">
        <v>86</v>
      </c>
      <c r="BH42" s="12" t="s">
        <v>111</v>
      </c>
      <c r="BI42" s="12" t="s">
        <v>187</v>
      </c>
      <c r="BJ42" s="12" t="s">
        <v>89</v>
      </c>
      <c r="BK42" s="13"/>
      <c r="BL42" s="13"/>
      <c r="BM42" s="12" t="s">
        <v>90</v>
      </c>
      <c r="BO42" s="60">
        <f>'LookUp Roll&amp;Packs'!$E$4</f>
        <v>185.22</v>
      </c>
      <c r="BQ42" s="60">
        <f>'LookUp Roll&amp;Packs'!$X$4</f>
        <v>18.22</v>
      </c>
      <c r="BR42" s="61"/>
      <c r="BS42" s="63"/>
      <c r="BT42" s="62">
        <f t="shared" si="35"/>
        <v>20</v>
      </c>
      <c r="BU42" s="60">
        <f>'LookUp Roll&amp;Packs'!$BI$4</f>
        <v>22.56</v>
      </c>
      <c r="BV42" s="60">
        <f>'LookUp Roll&amp;Packs'!$CO$4</f>
        <v>257.38</v>
      </c>
      <c r="BW42" s="60">
        <f>'LookUp Roll&amp;Packs'!$CQ$4</f>
        <v>137</v>
      </c>
      <c r="BX42" s="61"/>
      <c r="BY42" s="61">
        <v>1</v>
      </c>
      <c r="BZ42" s="62">
        <f t="shared" ref="BZ42:BZ52" si="40">BU42</f>
        <v>22.56</v>
      </c>
      <c r="CA42" s="67">
        <f t="shared" si="36"/>
        <v>3.9617800000000001</v>
      </c>
      <c r="CB42" s="67"/>
      <c r="CC42" s="67">
        <f t="shared" si="37"/>
        <v>0</v>
      </c>
      <c r="CD42" s="67">
        <f t="shared" si="38"/>
        <v>0.13700000000000001</v>
      </c>
      <c r="CE42" s="67">
        <f t="shared" si="39"/>
        <v>0</v>
      </c>
      <c r="CF42" s="63">
        <f t="shared" ref="CF42:CF52" si="41">(AI42*BQ42)/1000</f>
        <v>0.3644</v>
      </c>
      <c r="CG42" s="23" t="e">
        <f>#REF!</f>
        <v>#REF!</v>
      </c>
      <c r="CH42" s="54" t="s">
        <v>564</v>
      </c>
      <c r="CI42" s="1" t="s">
        <v>564</v>
      </c>
      <c r="CJ42" s="1" t="s">
        <v>564</v>
      </c>
    </row>
    <row r="43" spans="1:88" ht="19.5" customHeight="1">
      <c r="A43" s="84">
        <v>10000496</v>
      </c>
      <c r="B43" s="84">
        <v>10000496</v>
      </c>
      <c r="C43" s="84"/>
      <c r="D43" s="10">
        <v>10000496</v>
      </c>
      <c r="E43" s="11" t="s">
        <v>61</v>
      </c>
      <c r="F43" s="12" t="s">
        <v>62</v>
      </c>
      <c r="G43" s="12" t="s">
        <v>63</v>
      </c>
      <c r="H43" s="12" t="s">
        <v>291</v>
      </c>
      <c r="I43" s="12" t="s">
        <v>299</v>
      </c>
      <c r="J43" s="13"/>
      <c r="K43" s="13"/>
      <c r="L43" s="12" t="s">
        <v>293</v>
      </c>
      <c r="M43" s="12" t="s">
        <v>99</v>
      </c>
      <c r="N43" s="12" t="s">
        <v>100</v>
      </c>
      <c r="O43" s="12" t="s">
        <v>101</v>
      </c>
      <c r="P43" s="14">
        <v>2</v>
      </c>
      <c r="Q43" s="12" t="s">
        <v>109</v>
      </c>
      <c r="R43" s="12" t="s">
        <v>71</v>
      </c>
      <c r="S43" s="12" t="s">
        <v>72</v>
      </c>
      <c r="T43" s="14">
        <v>8721284290322</v>
      </c>
      <c r="U43" s="13"/>
      <c r="V43" s="12" t="s">
        <v>300</v>
      </c>
      <c r="W43" s="12" t="s">
        <v>104</v>
      </c>
      <c r="X43" s="12" t="s">
        <v>162</v>
      </c>
      <c r="Y43" s="13"/>
      <c r="Z43" s="13"/>
      <c r="AA43" s="14">
        <v>16.399999999999999</v>
      </c>
      <c r="AB43" s="12" t="s">
        <v>301</v>
      </c>
      <c r="AC43" s="13"/>
      <c r="AD43" s="14">
        <v>48043158</v>
      </c>
      <c r="AE43" s="12" t="s">
        <v>77</v>
      </c>
      <c r="AF43" s="13"/>
      <c r="AG43" s="12" t="s">
        <v>302</v>
      </c>
      <c r="AH43" s="14">
        <v>0.8</v>
      </c>
      <c r="AI43" s="14">
        <v>20</v>
      </c>
      <c r="AJ43" s="14">
        <v>1.2</v>
      </c>
      <c r="AK43" s="14">
        <v>0.92</v>
      </c>
      <c r="AL43" s="12" t="s">
        <v>107</v>
      </c>
      <c r="AM43" s="12" t="s">
        <v>62</v>
      </c>
      <c r="AN43" s="12" t="s">
        <v>303</v>
      </c>
      <c r="AO43" s="14">
        <v>327</v>
      </c>
      <c r="AP43" s="12" t="s">
        <v>81</v>
      </c>
      <c r="AQ43" s="12" t="s">
        <v>82</v>
      </c>
      <c r="AR43" s="12" t="s">
        <v>83</v>
      </c>
      <c r="AS43" s="12" t="s">
        <v>84</v>
      </c>
      <c r="AT43" s="12" t="s">
        <v>110</v>
      </c>
      <c r="AU43" s="13"/>
      <c r="AV43" s="15">
        <v>0.5</v>
      </c>
      <c r="AW43" s="15">
        <v>0.5</v>
      </c>
      <c r="AX43" s="13"/>
      <c r="AY43" s="15">
        <v>0.5</v>
      </c>
      <c r="AZ43" s="15">
        <v>0.15</v>
      </c>
      <c r="BA43" s="15">
        <v>0.35</v>
      </c>
      <c r="BB43" s="13"/>
      <c r="BC43" s="13"/>
      <c r="BD43" s="13"/>
      <c r="BE43" s="12" t="s">
        <v>85</v>
      </c>
      <c r="BF43" s="12" t="s">
        <v>85</v>
      </c>
      <c r="BG43" s="16" t="s">
        <v>86</v>
      </c>
      <c r="BH43" s="12" t="s">
        <v>111</v>
      </c>
      <c r="BI43" s="12" t="s">
        <v>304</v>
      </c>
      <c r="BJ43" s="12" t="s">
        <v>89</v>
      </c>
      <c r="BK43" s="13"/>
      <c r="BL43" s="13"/>
      <c r="BM43" s="12" t="s">
        <v>90</v>
      </c>
      <c r="BO43" s="60">
        <f>'LookUp Roll&amp;Packs'!$E$4</f>
        <v>185.22</v>
      </c>
      <c r="BQ43" s="60">
        <f>'LookUp Roll&amp;Packs'!$X$4</f>
        <v>18.22</v>
      </c>
      <c r="BR43" s="61"/>
      <c r="BS43" s="63"/>
      <c r="BT43" s="62">
        <f t="shared" si="35"/>
        <v>20</v>
      </c>
      <c r="BU43" s="60">
        <f>'LookUp Roll&amp;Packs'!$BI$4</f>
        <v>22.56</v>
      </c>
      <c r="BV43" s="60">
        <f>'LookUp Roll&amp;Packs'!$CO$4</f>
        <v>257.38</v>
      </c>
      <c r="BW43" s="60">
        <f>'LookUp Roll&amp;Packs'!$CQ$4</f>
        <v>137</v>
      </c>
      <c r="BX43" s="61"/>
      <c r="BY43" s="61">
        <v>1</v>
      </c>
      <c r="BZ43" s="62">
        <f t="shared" si="40"/>
        <v>22.56</v>
      </c>
      <c r="CA43" s="67">
        <f t="shared" si="36"/>
        <v>3.9617800000000001</v>
      </c>
      <c r="CB43" s="67"/>
      <c r="CC43" s="67">
        <f t="shared" si="37"/>
        <v>0</v>
      </c>
      <c r="CD43" s="67">
        <f t="shared" si="38"/>
        <v>0.13700000000000001</v>
      </c>
      <c r="CE43" s="67">
        <f t="shared" si="39"/>
        <v>0</v>
      </c>
      <c r="CF43" s="63">
        <f t="shared" si="41"/>
        <v>0.3644</v>
      </c>
      <c r="CG43" s="23" t="e">
        <f>#REF!</f>
        <v>#REF!</v>
      </c>
      <c r="CH43" s="54" t="s">
        <v>564</v>
      </c>
      <c r="CI43" s="1" t="s">
        <v>564</v>
      </c>
      <c r="CJ43" s="1" t="s">
        <v>564</v>
      </c>
    </row>
    <row r="44" spans="1:88" ht="19.5" customHeight="1">
      <c r="A44" s="84">
        <v>10000497</v>
      </c>
      <c r="B44" s="84">
        <v>10000497</v>
      </c>
      <c r="C44" s="84"/>
      <c r="D44" s="10">
        <v>10000497</v>
      </c>
      <c r="E44" s="11" t="s">
        <v>61</v>
      </c>
      <c r="F44" s="12" t="s">
        <v>62</v>
      </c>
      <c r="G44" s="12" t="s">
        <v>63</v>
      </c>
      <c r="H44" s="12" t="s">
        <v>291</v>
      </c>
      <c r="I44" s="12" t="s">
        <v>305</v>
      </c>
      <c r="J44" s="13"/>
      <c r="K44" s="13"/>
      <c r="L44" s="12" t="s">
        <v>293</v>
      </c>
      <c r="M44" s="12" t="s">
        <v>99</v>
      </c>
      <c r="N44" s="12" t="s">
        <v>229</v>
      </c>
      <c r="O44" s="12" t="s">
        <v>230</v>
      </c>
      <c r="P44" s="14">
        <v>2</v>
      </c>
      <c r="Q44" s="12" t="s">
        <v>102</v>
      </c>
      <c r="R44" s="12" t="s">
        <v>71</v>
      </c>
      <c r="S44" s="12" t="s">
        <v>72</v>
      </c>
      <c r="T44" s="14">
        <v>8721284290339</v>
      </c>
      <c r="U44" s="13"/>
      <c r="V44" s="12" t="s">
        <v>306</v>
      </c>
      <c r="W44" s="12" t="s">
        <v>232</v>
      </c>
      <c r="X44" s="12" t="s">
        <v>162</v>
      </c>
      <c r="Y44" s="13"/>
      <c r="Z44" s="13"/>
      <c r="AA44" s="14">
        <v>16.2</v>
      </c>
      <c r="AB44" s="12" t="s">
        <v>208</v>
      </c>
      <c r="AC44" s="13"/>
      <c r="AD44" s="14">
        <v>48043158</v>
      </c>
      <c r="AE44" s="12" t="s">
        <v>77</v>
      </c>
      <c r="AF44" s="13"/>
      <c r="AG44" s="12" t="s">
        <v>307</v>
      </c>
      <c r="AH44" s="14">
        <v>0.8</v>
      </c>
      <c r="AI44" s="14">
        <v>20</v>
      </c>
      <c r="AJ44" s="14">
        <v>1.2</v>
      </c>
      <c r="AK44" s="14">
        <v>0.92</v>
      </c>
      <c r="AL44" s="12" t="s">
        <v>107</v>
      </c>
      <c r="AM44" s="12" t="s">
        <v>62</v>
      </c>
      <c r="AN44" s="12" t="s">
        <v>308</v>
      </c>
      <c r="AO44" s="14">
        <v>325</v>
      </c>
      <c r="AP44" s="12" t="s">
        <v>81</v>
      </c>
      <c r="AQ44" s="12" t="s">
        <v>82</v>
      </c>
      <c r="AR44" s="12" t="s">
        <v>83</v>
      </c>
      <c r="AS44" s="12" t="s">
        <v>84</v>
      </c>
      <c r="AT44" s="12" t="s">
        <v>62</v>
      </c>
      <c r="AU44" s="13"/>
      <c r="AV44" s="15">
        <v>0.85</v>
      </c>
      <c r="AW44" s="15">
        <v>0.15</v>
      </c>
      <c r="AX44" s="13"/>
      <c r="AY44" s="15">
        <v>0.85</v>
      </c>
      <c r="AZ44" s="14">
        <v>0</v>
      </c>
      <c r="BA44" s="15">
        <v>0.15</v>
      </c>
      <c r="BB44" s="13"/>
      <c r="BC44" s="13"/>
      <c r="BD44" s="13"/>
      <c r="BE44" s="12" t="s">
        <v>85</v>
      </c>
      <c r="BF44" s="12" t="s">
        <v>85</v>
      </c>
      <c r="BG44" s="16" t="s">
        <v>86</v>
      </c>
      <c r="BH44" s="12" t="s">
        <v>87</v>
      </c>
      <c r="BI44" s="12" t="s">
        <v>304</v>
      </c>
      <c r="BJ44" s="12" t="s">
        <v>89</v>
      </c>
      <c r="BK44" s="13"/>
      <c r="BL44" s="13"/>
      <c r="BM44" s="12" t="s">
        <v>90</v>
      </c>
      <c r="BO44" s="60">
        <f>'LookUp Roll&amp;Packs'!$E$4</f>
        <v>185.22</v>
      </c>
      <c r="BQ44" s="60">
        <f>'LookUp Roll&amp;Packs'!$X$4</f>
        <v>18.22</v>
      </c>
      <c r="BR44" s="61"/>
      <c r="BS44" s="63"/>
      <c r="BT44" s="62">
        <f t="shared" si="35"/>
        <v>20</v>
      </c>
      <c r="BU44" s="60">
        <f>'LookUp Roll&amp;Packs'!$BI$4</f>
        <v>22.56</v>
      </c>
      <c r="BV44" s="60">
        <f>'LookUp Roll&amp;Packs'!$CO$4</f>
        <v>257.38</v>
      </c>
      <c r="BW44" s="60">
        <f>'LookUp Roll&amp;Packs'!$CQ$4</f>
        <v>137</v>
      </c>
      <c r="BX44" s="61"/>
      <c r="BY44" s="61">
        <v>1</v>
      </c>
      <c r="BZ44" s="62">
        <f t="shared" si="40"/>
        <v>22.56</v>
      </c>
      <c r="CA44" s="67">
        <f t="shared" si="36"/>
        <v>3.9617800000000001</v>
      </c>
      <c r="CB44" s="67"/>
      <c r="CC44" s="67">
        <f t="shared" si="37"/>
        <v>0</v>
      </c>
      <c r="CD44" s="67">
        <f t="shared" si="38"/>
        <v>0.13700000000000001</v>
      </c>
      <c r="CE44" s="67">
        <f t="shared" si="39"/>
        <v>0</v>
      </c>
      <c r="CF44" s="63">
        <f t="shared" si="41"/>
        <v>0.3644</v>
      </c>
      <c r="CG44" s="23" t="e">
        <f>#REF!</f>
        <v>#REF!</v>
      </c>
      <c r="CH44" s="54" t="s">
        <v>564</v>
      </c>
      <c r="CI44" s="1" t="s">
        <v>564</v>
      </c>
      <c r="CJ44" s="1" t="s">
        <v>564</v>
      </c>
    </row>
    <row r="45" spans="1:88" ht="19.5" customHeight="1">
      <c r="A45" s="84">
        <v>10000498</v>
      </c>
      <c r="B45" s="84">
        <v>10000498</v>
      </c>
      <c r="C45" s="84"/>
      <c r="D45" s="10">
        <v>10000498</v>
      </c>
      <c r="E45" s="11" t="s">
        <v>61</v>
      </c>
      <c r="F45" s="12" t="s">
        <v>62</v>
      </c>
      <c r="G45" s="12" t="s">
        <v>63</v>
      </c>
      <c r="H45" s="12" t="s">
        <v>291</v>
      </c>
      <c r="I45" s="12" t="s">
        <v>309</v>
      </c>
      <c r="J45" s="13"/>
      <c r="K45" s="13"/>
      <c r="L45" s="12" t="s">
        <v>293</v>
      </c>
      <c r="M45" s="12" t="s">
        <v>99</v>
      </c>
      <c r="N45" s="12" t="s">
        <v>237</v>
      </c>
      <c r="O45" s="12" t="s">
        <v>238</v>
      </c>
      <c r="P45" s="14">
        <v>2</v>
      </c>
      <c r="Q45" s="12" t="s">
        <v>109</v>
      </c>
      <c r="R45" s="12" t="s">
        <v>71</v>
      </c>
      <c r="S45" s="12" t="s">
        <v>72</v>
      </c>
      <c r="T45" s="14">
        <v>8721284290346</v>
      </c>
      <c r="U45" s="13"/>
      <c r="V45" s="12" t="s">
        <v>310</v>
      </c>
      <c r="W45" s="12" t="s">
        <v>311</v>
      </c>
      <c r="X45" s="12" t="s">
        <v>162</v>
      </c>
      <c r="Y45" s="13"/>
      <c r="Z45" s="13"/>
      <c r="AA45" s="14">
        <v>31.6</v>
      </c>
      <c r="AB45" s="12" t="s">
        <v>312</v>
      </c>
      <c r="AC45" s="13"/>
      <c r="AD45" s="14">
        <v>48059100</v>
      </c>
      <c r="AE45" s="12" t="s">
        <v>77</v>
      </c>
      <c r="AF45" s="13"/>
      <c r="AG45" s="12" t="s">
        <v>313</v>
      </c>
      <c r="AH45" s="14">
        <v>0.8</v>
      </c>
      <c r="AI45" s="14">
        <v>11</v>
      </c>
      <c r="AJ45" s="14">
        <v>1.2</v>
      </c>
      <c r="AK45" s="14">
        <v>0.92</v>
      </c>
      <c r="AL45" s="12" t="s">
        <v>107</v>
      </c>
      <c r="AM45" s="12" t="s">
        <v>62</v>
      </c>
      <c r="AN45" s="12" t="s">
        <v>314</v>
      </c>
      <c r="AO45" s="14">
        <v>348</v>
      </c>
      <c r="AP45" s="12" t="s">
        <v>81</v>
      </c>
      <c r="AQ45" s="12" t="s">
        <v>82</v>
      </c>
      <c r="AR45" s="12" t="s">
        <v>83</v>
      </c>
      <c r="AS45" s="12" t="s">
        <v>84</v>
      </c>
      <c r="AT45" s="12" t="s">
        <v>110</v>
      </c>
      <c r="AU45" s="13"/>
      <c r="AV45" s="15">
        <v>0.5</v>
      </c>
      <c r="AW45" s="15">
        <v>0.5</v>
      </c>
      <c r="AX45" s="13"/>
      <c r="AY45" s="15">
        <v>0.5</v>
      </c>
      <c r="AZ45" s="15">
        <v>0.15</v>
      </c>
      <c r="BA45" s="15">
        <v>0.35</v>
      </c>
      <c r="BB45" s="13"/>
      <c r="BC45" s="13"/>
      <c r="BD45" s="13"/>
      <c r="BE45" s="12" t="s">
        <v>85</v>
      </c>
      <c r="BF45" s="12" t="s">
        <v>85</v>
      </c>
      <c r="BG45" s="16" t="s">
        <v>86</v>
      </c>
      <c r="BH45" s="12" t="s">
        <v>111</v>
      </c>
      <c r="BI45" s="12" t="s">
        <v>304</v>
      </c>
      <c r="BJ45" s="12" t="s">
        <v>89</v>
      </c>
      <c r="BK45" s="13"/>
      <c r="BL45" s="13"/>
      <c r="BM45" s="12" t="s">
        <v>90</v>
      </c>
      <c r="BO45" s="60">
        <f>'LookUp Roll&amp;Packs'!$E$4</f>
        <v>185.22</v>
      </c>
      <c r="BQ45" s="60">
        <f>'LookUp Roll&amp;Packs'!$X$4</f>
        <v>18.22</v>
      </c>
      <c r="BR45" s="61"/>
      <c r="BS45" s="63"/>
      <c r="BT45" s="62">
        <f t="shared" si="35"/>
        <v>11</v>
      </c>
      <c r="BU45" s="60">
        <f>'LookUp Roll&amp;Packs'!$BI$4</f>
        <v>22.56</v>
      </c>
      <c r="BV45" s="60">
        <f>'LookUp Roll&amp;Packs'!$CO$4</f>
        <v>257.38</v>
      </c>
      <c r="BW45" s="60">
        <f>'LookUp Roll&amp;Packs'!$CQ$4</f>
        <v>137</v>
      </c>
      <c r="BX45" s="61"/>
      <c r="BY45" s="61">
        <v>1</v>
      </c>
      <c r="BZ45" s="62">
        <f t="shared" si="40"/>
        <v>22.56</v>
      </c>
      <c r="CA45" s="67">
        <f t="shared" si="36"/>
        <v>2.2948000000000004</v>
      </c>
      <c r="CB45" s="67"/>
      <c r="CC45" s="67">
        <f t="shared" si="37"/>
        <v>0</v>
      </c>
      <c r="CD45" s="67">
        <f t="shared" si="38"/>
        <v>0.13700000000000001</v>
      </c>
      <c r="CE45" s="67">
        <f t="shared" si="39"/>
        <v>0</v>
      </c>
      <c r="CF45" s="63">
        <f t="shared" si="41"/>
        <v>0.20041999999999999</v>
      </c>
      <c r="CG45" s="23" t="e">
        <f>#REF!</f>
        <v>#REF!</v>
      </c>
      <c r="CH45" s="54" t="s">
        <v>564</v>
      </c>
      <c r="CI45" s="1" t="s">
        <v>564</v>
      </c>
      <c r="CJ45" s="1" t="s">
        <v>564</v>
      </c>
    </row>
    <row r="46" spans="1:88" ht="19.5" customHeight="1">
      <c r="A46" s="84">
        <v>10000501</v>
      </c>
      <c r="B46" s="84">
        <v>10000501</v>
      </c>
      <c r="C46" s="84"/>
      <c r="D46" s="10">
        <v>10000501</v>
      </c>
      <c r="E46" s="11" t="s">
        <v>61</v>
      </c>
      <c r="F46" s="12" t="s">
        <v>62</v>
      </c>
      <c r="G46" s="12" t="s">
        <v>63</v>
      </c>
      <c r="H46" s="12" t="s">
        <v>291</v>
      </c>
      <c r="I46" s="12" t="s">
        <v>315</v>
      </c>
      <c r="J46" s="13"/>
      <c r="K46" s="13"/>
      <c r="L46" s="12" t="s">
        <v>316</v>
      </c>
      <c r="M46" s="12" t="s">
        <v>99</v>
      </c>
      <c r="N46" s="12" t="s">
        <v>285</v>
      </c>
      <c r="O46" s="16" t="s">
        <v>286</v>
      </c>
      <c r="P46" s="14">
        <v>2</v>
      </c>
      <c r="Q46" s="12" t="s">
        <v>287</v>
      </c>
      <c r="R46" s="12" t="s">
        <v>71</v>
      </c>
      <c r="S46" s="12" t="s">
        <v>72</v>
      </c>
      <c r="T46" s="14">
        <v>8721284290353</v>
      </c>
      <c r="U46" s="13"/>
      <c r="V46" s="12" t="s">
        <v>317</v>
      </c>
      <c r="W46" s="12" t="s">
        <v>318</v>
      </c>
      <c r="X46" s="12" t="s">
        <v>162</v>
      </c>
      <c r="Y46" s="13"/>
      <c r="Z46" s="13"/>
      <c r="AA46" s="14">
        <v>28.1</v>
      </c>
      <c r="AB46" s="12" t="s">
        <v>319</v>
      </c>
      <c r="AC46" s="13"/>
      <c r="AD46" s="14">
        <v>48059100</v>
      </c>
      <c r="AE46" s="12" t="s">
        <v>77</v>
      </c>
      <c r="AF46" s="13"/>
      <c r="AG46" s="12" t="s">
        <v>320</v>
      </c>
      <c r="AH46" s="14">
        <v>0.8</v>
      </c>
      <c r="AI46" s="14">
        <v>11</v>
      </c>
      <c r="AJ46" s="14">
        <v>1.2</v>
      </c>
      <c r="AK46" s="14">
        <v>0.92</v>
      </c>
      <c r="AL46" s="12" t="s">
        <v>107</v>
      </c>
      <c r="AM46" s="12" t="s">
        <v>62</v>
      </c>
      <c r="AN46" s="12" t="s">
        <v>321</v>
      </c>
      <c r="AO46" s="14">
        <v>309</v>
      </c>
      <c r="AP46" s="12" t="s">
        <v>81</v>
      </c>
      <c r="AQ46" s="12" t="s">
        <v>82</v>
      </c>
      <c r="AR46" s="12" t="s">
        <v>83</v>
      </c>
      <c r="AS46" s="12" t="s">
        <v>84</v>
      </c>
      <c r="AT46" s="12" t="s">
        <v>110</v>
      </c>
      <c r="AU46" s="13"/>
      <c r="AV46" s="18">
        <v>7.4999999999999997E-2</v>
      </c>
      <c r="AW46" s="14">
        <v>92.5</v>
      </c>
      <c r="AX46" s="18">
        <v>7.4999999999999997E-2</v>
      </c>
      <c r="AY46" s="18">
        <v>7.4999999999999997E-2</v>
      </c>
      <c r="AZ46" s="15">
        <v>0.15</v>
      </c>
      <c r="BA46" s="18">
        <v>0.77500000000000002</v>
      </c>
      <c r="BB46" s="13"/>
      <c r="BC46" s="13"/>
      <c r="BD46" s="13"/>
      <c r="BE46" s="12" t="s">
        <v>85</v>
      </c>
      <c r="BF46" s="12" t="s">
        <v>85</v>
      </c>
      <c r="BG46" s="16" t="s">
        <v>86</v>
      </c>
      <c r="BH46" s="12" t="s">
        <v>111</v>
      </c>
      <c r="BI46" s="12" t="s">
        <v>304</v>
      </c>
      <c r="BJ46" s="12" t="s">
        <v>89</v>
      </c>
      <c r="BK46" s="13"/>
      <c r="BL46" s="13"/>
      <c r="BM46" s="12" t="s">
        <v>90</v>
      </c>
      <c r="BO46" s="60">
        <f>'LookUp Roll&amp;Packs'!$E$4</f>
        <v>185.22</v>
      </c>
      <c r="BQ46" s="60">
        <f>'LookUp Roll&amp;Packs'!$X$4</f>
        <v>18.22</v>
      </c>
      <c r="BR46" s="61"/>
      <c r="BS46" s="63"/>
      <c r="BT46" s="62">
        <f t="shared" si="35"/>
        <v>11</v>
      </c>
      <c r="BU46" s="60">
        <f>'LookUp Roll&amp;Packs'!$BI$4</f>
        <v>22.56</v>
      </c>
      <c r="BV46" s="60">
        <f>'LookUp Roll&amp;Packs'!$CO$4</f>
        <v>257.38</v>
      </c>
      <c r="BW46" s="60">
        <f>'LookUp Roll&amp;Packs'!$CQ$4</f>
        <v>137</v>
      </c>
      <c r="BX46" s="61"/>
      <c r="BY46" s="61">
        <v>1</v>
      </c>
      <c r="BZ46" s="62">
        <f t="shared" si="40"/>
        <v>22.56</v>
      </c>
      <c r="CA46" s="67">
        <f t="shared" si="36"/>
        <v>2.2948000000000004</v>
      </c>
      <c r="CB46" s="67"/>
      <c r="CC46" s="67">
        <f t="shared" si="37"/>
        <v>0</v>
      </c>
      <c r="CD46" s="67">
        <f t="shared" si="38"/>
        <v>0.13700000000000001</v>
      </c>
      <c r="CE46" s="67">
        <f t="shared" si="39"/>
        <v>0</v>
      </c>
      <c r="CF46" s="63">
        <f t="shared" si="41"/>
        <v>0.20041999999999999</v>
      </c>
      <c r="CG46" s="23" t="e">
        <f>#REF!</f>
        <v>#REF!</v>
      </c>
      <c r="CH46" s="54" t="s">
        <v>564</v>
      </c>
      <c r="CI46" s="1" t="s">
        <v>564</v>
      </c>
      <c r="CJ46" s="1" t="s">
        <v>564</v>
      </c>
    </row>
    <row r="47" spans="1:88" ht="19.5" customHeight="1">
      <c r="A47" s="84">
        <v>10000502</v>
      </c>
      <c r="B47" s="84">
        <v>10000502</v>
      </c>
      <c r="C47" s="84"/>
      <c r="D47" s="10">
        <v>10000502</v>
      </c>
      <c r="E47" s="11" t="s">
        <v>61</v>
      </c>
      <c r="F47" s="12" t="s">
        <v>62</v>
      </c>
      <c r="G47" s="12" t="s">
        <v>63</v>
      </c>
      <c r="H47" s="12" t="s">
        <v>291</v>
      </c>
      <c r="I47" s="12" t="s">
        <v>322</v>
      </c>
      <c r="J47" s="13"/>
      <c r="K47" s="13"/>
      <c r="L47" s="12" t="s">
        <v>323</v>
      </c>
      <c r="M47" s="12" t="s">
        <v>99</v>
      </c>
      <c r="N47" s="12" t="s">
        <v>237</v>
      </c>
      <c r="O47" s="12" t="s">
        <v>238</v>
      </c>
      <c r="P47" s="14">
        <v>2</v>
      </c>
      <c r="Q47" s="12" t="s">
        <v>324</v>
      </c>
      <c r="R47" s="12" t="s">
        <v>71</v>
      </c>
      <c r="S47" s="12" t="s">
        <v>72</v>
      </c>
      <c r="T47" s="14">
        <v>8721284290360</v>
      </c>
      <c r="U47" s="13"/>
      <c r="V47" s="12" t="s">
        <v>310</v>
      </c>
      <c r="W47" s="12" t="s">
        <v>311</v>
      </c>
      <c r="X47" s="12" t="s">
        <v>162</v>
      </c>
      <c r="Y47" s="13"/>
      <c r="Z47" s="13"/>
      <c r="AA47" s="14">
        <v>31.6</v>
      </c>
      <c r="AB47" s="12" t="s">
        <v>325</v>
      </c>
      <c r="AC47" s="13"/>
      <c r="AD47" s="14">
        <v>48043158</v>
      </c>
      <c r="AE47" s="12" t="s">
        <v>77</v>
      </c>
      <c r="AF47" s="13"/>
      <c r="AG47" s="12" t="s">
        <v>326</v>
      </c>
      <c r="AH47" s="14">
        <v>0.8</v>
      </c>
      <c r="AI47" s="14">
        <v>11</v>
      </c>
      <c r="AJ47" s="14">
        <v>1.2</v>
      </c>
      <c r="AK47" s="14">
        <v>0.92</v>
      </c>
      <c r="AL47" s="12" t="s">
        <v>107</v>
      </c>
      <c r="AM47" s="12" t="s">
        <v>62</v>
      </c>
      <c r="AN47" s="12" t="s">
        <v>314</v>
      </c>
      <c r="AO47" s="14">
        <v>348</v>
      </c>
      <c r="AP47" s="12" t="s">
        <v>81</v>
      </c>
      <c r="AQ47" s="12" t="s">
        <v>82</v>
      </c>
      <c r="AR47" s="12" t="s">
        <v>83</v>
      </c>
      <c r="AS47" s="12" t="s">
        <v>84</v>
      </c>
      <c r="AT47" s="12" t="s">
        <v>110</v>
      </c>
      <c r="AU47" s="13"/>
      <c r="AV47" s="15">
        <v>0.15</v>
      </c>
      <c r="AW47" s="15">
        <v>0.85</v>
      </c>
      <c r="AX47" s="13"/>
      <c r="AY47" s="15">
        <v>0.15</v>
      </c>
      <c r="AZ47" s="15">
        <v>0.3</v>
      </c>
      <c r="BA47" s="15">
        <v>0.55000000000000004</v>
      </c>
      <c r="BB47" s="13"/>
      <c r="BC47" s="13"/>
      <c r="BD47" s="13"/>
      <c r="BE47" s="12" t="s">
        <v>85</v>
      </c>
      <c r="BF47" s="12" t="s">
        <v>85</v>
      </c>
      <c r="BG47" s="16" t="s">
        <v>86</v>
      </c>
      <c r="BH47" s="12" t="s">
        <v>111</v>
      </c>
      <c r="BI47" s="12" t="s">
        <v>304</v>
      </c>
      <c r="BJ47" s="12" t="s">
        <v>89</v>
      </c>
      <c r="BK47" s="13"/>
      <c r="BL47" s="13"/>
      <c r="BM47" s="12" t="s">
        <v>90</v>
      </c>
      <c r="BO47" s="60">
        <f>'LookUp Roll&amp;Packs'!$E$4</f>
        <v>185.22</v>
      </c>
      <c r="BQ47" s="60">
        <f>'LookUp Roll&amp;Packs'!$X$4</f>
        <v>18.22</v>
      </c>
      <c r="BR47" s="61"/>
      <c r="BS47" s="63"/>
      <c r="BT47" s="62">
        <f t="shared" si="35"/>
        <v>11</v>
      </c>
      <c r="BU47" s="60">
        <f>'LookUp Roll&amp;Packs'!$BI$4</f>
        <v>22.56</v>
      </c>
      <c r="BV47" s="60">
        <f>'LookUp Roll&amp;Packs'!$CO$4</f>
        <v>257.38</v>
      </c>
      <c r="BW47" s="60">
        <f>'LookUp Roll&amp;Packs'!$CQ$4</f>
        <v>137</v>
      </c>
      <c r="BX47" s="61"/>
      <c r="BY47" s="61">
        <v>1</v>
      </c>
      <c r="BZ47" s="62">
        <f t="shared" si="40"/>
        <v>22.56</v>
      </c>
      <c r="CA47" s="67">
        <f t="shared" si="36"/>
        <v>2.2948000000000004</v>
      </c>
      <c r="CB47" s="67"/>
      <c r="CC47" s="67">
        <f t="shared" si="37"/>
        <v>0</v>
      </c>
      <c r="CD47" s="67">
        <f t="shared" si="38"/>
        <v>0.13700000000000001</v>
      </c>
      <c r="CE47" s="67">
        <f t="shared" si="39"/>
        <v>0</v>
      </c>
      <c r="CF47" s="63">
        <f t="shared" si="41"/>
        <v>0.20041999999999999</v>
      </c>
      <c r="CG47" s="23" t="e">
        <f>#REF!</f>
        <v>#REF!</v>
      </c>
      <c r="CH47" s="54" t="s">
        <v>564</v>
      </c>
      <c r="CI47" s="1" t="s">
        <v>564</v>
      </c>
      <c r="CJ47" s="1" t="s">
        <v>564</v>
      </c>
    </row>
    <row r="48" spans="1:88" ht="19.5" customHeight="1">
      <c r="A48" s="84">
        <v>10000503</v>
      </c>
      <c r="B48" s="84">
        <v>10000503</v>
      </c>
      <c r="C48" s="84"/>
      <c r="D48" s="10">
        <v>10000503</v>
      </c>
      <c r="E48" s="11" t="s">
        <v>61</v>
      </c>
      <c r="F48" s="12" t="s">
        <v>62</v>
      </c>
      <c r="G48" s="12" t="s">
        <v>63</v>
      </c>
      <c r="H48" s="12" t="s">
        <v>291</v>
      </c>
      <c r="I48" s="12" t="s">
        <v>327</v>
      </c>
      <c r="J48" s="13"/>
      <c r="K48" s="13"/>
      <c r="L48" s="12" t="s">
        <v>293</v>
      </c>
      <c r="M48" s="12" t="s">
        <v>99</v>
      </c>
      <c r="N48" s="12" t="s">
        <v>100</v>
      </c>
      <c r="O48" s="12" t="s">
        <v>101</v>
      </c>
      <c r="P48" s="14">
        <v>2</v>
      </c>
      <c r="Q48" s="12" t="s">
        <v>109</v>
      </c>
      <c r="R48" s="12" t="s">
        <v>71</v>
      </c>
      <c r="S48" s="12" t="s">
        <v>72</v>
      </c>
      <c r="T48" s="14">
        <v>8721284290377</v>
      </c>
      <c r="U48" s="13"/>
      <c r="V48" s="12" t="s">
        <v>328</v>
      </c>
      <c r="W48" s="12" t="s">
        <v>329</v>
      </c>
      <c r="X48" s="12" t="s">
        <v>162</v>
      </c>
      <c r="Y48" s="13"/>
      <c r="Z48" s="13"/>
      <c r="AA48" s="14">
        <v>30.4</v>
      </c>
      <c r="AB48" s="12" t="s">
        <v>330</v>
      </c>
      <c r="AC48" s="13"/>
      <c r="AD48" s="14">
        <v>48043158</v>
      </c>
      <c r="AE48" s="12" t="s">
        <v>77</v>
      </c>
      <c r="AF48" s="13"/>
      <c r="AG48" s="12" t="s">
        <v>331</v>
      </c>
      <c r="AH48" s="14">
        <v>0.8</v>
      </c>
      <c r="AI48" s="14">
        <v>11</v>
      </c>
      <c r="AJ48" s="14">
        <v>1.2</v>
      </c>
      <c r="AK48" s="14">
        <v>0.92</v>
      </c>
      <c r="AL48" s="12" t="s">
        <v>107</v>
      </c>
      <c r="AM48" s="12" t="s">
        <v>62</v>
      </c>
      <c r="AN48" s="12" t="s">
        <v>332</v>
      </c>
      <c r="AO48" s="14">
        <v>334</v>
      </c>
      <c r="AP48" s="12" t="s">
        <v>81</v>
      </c>
      <c r="AQ48" s="12" t="s">
        <v>82</v>
      </c>
      <c r="AR48" s="12" t="s">
        <v>83</v>
      </c>
      <c r="AS48" s="12" t="s">
        <v>84</v>
      </c>
      <c r="AT48" s="12" t="s">
        <v>110</v>
      </c>
      <c r="AU48" s="13"/>
      <c r="AV48" s="15">
        <v>0.5</v>
      </c>
      <c r="AW48" s="15">
        <v>0.5</v>
      </c>
      <c r="AX48" s="13"/>
      <c r="AY48" s="15">
        <v>0.5</v>
      </c>
      <c r="AZ48" s="15">
        <v>0.15</v>
      </c>
      <c r="BA48" s="15">
        <v>0.35</v>
      </c>
      <c r="BB48" s="13"/>
      <c r="BC48" s="13"/>
      <c r="BD48" s="13"/>
      <c r="BE48" s="12" t="s">
        <v>85</v>
      </c>
      <c r="BF48" s="12" t="s">
        <v>85</v>
      </c>
      <c r="BG48" s="16" t="s">
        <v>86</v>
      </c>
      <c r="BH48" s="12" t="s">
        <v>111</v>
      </c>
      <c r="BI48" s="12" t="s">
        <v>304</v>
      </c>
      <c r="BJ48" s="12" t="s">
        <v>89</v>
      </c>
      <c r="BK48" s="13"/>
      <c r="BL48" s="13"/>
      <c r="BM48" s="12" t="s">
        <v>90</v>
      </c>
      <c r="BO48" s="60">
        <f>'LookUp Roll&amp;Packs'!$E$4</f>
        <v>185.22</v>
      </c>
      <c r="BQ48" s="60">
        <f>'LookUp Roll&amp;Packs'!$X$4</f>
        <v>18.22</v>
      </c>
      <c r="BR48" s="61"/>
      <c r="BS48" s="63"/>
      <c r="BT48" s="62">
        <f t="shared" si="35"/>
        <v>11</v>
      </c>
      <c r="BU48" s="60">
        <f>'LookUp Roll&amp;Packs'!$BI$4</f>
        <v>22.56</v>
      </c>
      <c r="BV48" s="60">
        <f>'LookUp Roll&amp;Packs'!$CO$4</f>
        <v>257.38</v>
      </c>
      <c r="BW48" s="60">
        <f>'LookUp Roll&amp;Packs'!$CQ$4</f>
        <v>137</v>
      </c>
      <c r="BX48" s="61"/>
      <c r="BY48" s="61">
        <v>1</v>
      </c>
      <c r="BZ48" s="62">
        <f t="shared" si="40"/>
        <v>22.56</v>
      </c>
      <c r="CA48" s="67">
        <f t="shared" si="36"/>
        <v>2.2948000000000004</v>
      </c>
      <c r="CB48" s="67"/>
      <c r="CC48" s="67">
        <f t="shared" si="37"/>
        <v>0</v>
      </c>
      <c r="CD48" s="67">
        <f t="shared" si="38"/>
        <v>0.13700000000000001</v>
      </c>
      <c r="CE48" s="67">
        <f t="shared" si="39"/>
        <v>0</v>
      </c>
      <c r="CF48" s="63">
        <f t="shared" si="41"/>
        <v>0.20041999999999999</v>
      </c>
      <c r="CG48" s="23" t="e">
        <f>#REF!</f>
        <v>#REF!</v>
      </c>
      <c r="CH48" s="54" t="s">
        <v>564</v>
      </c>
      <c r="CI48" s="1" t="s">
        <v>564</v>
      </c>
      <c r="CJ48" s="1" t="s">
        <v>564</v>
      </c>
    </row>
    <row r="49" spans="1:88" ht="19.5" customHeight="1">
      <c r="A49" s="84">
        <v>10000504</v>
      </c>
      <c r="B49" s="84">
        <v>10000504</v>
      </c>
      <c r="C49" s="84"/>
      <c r="D49" s="10">
        <v>10000504</v>
      </c>
      <c r="E49" s="11" t="s">
        <v>61</v>
      </c>
      <c r="F49" s="12" t="s">
        <v>62</v>
      </c>
      <c r="G49" s="12" t="s">
        <v>63</v>
      </c>
      <c r="H49" s="12" t="s">
        <v>291</v>
      </c>
      <c r="I49" s="12" t="s">
        <v>333</v>
      </c>
      <c r="J49" s="13"/>
      <c r="K49" s="13"/>
      <c r="L49" s="12" t="s">
        <v>293</v>
      </c>
      <c r="M49" s="12" t="s">
        <v>99</v>
      </c>
      <c r="N49" s="12" t="s">
        <v>100</v>
      </c>
      <c r="O49" s="12" t="s">
        <v>101</v>
      </c>
      <c r="P49" s="14">
        <v>2</v>
      </c>
      <c r="Q49" s="12" t="s">
        <v>109</v>
      </c>
      <c r="R49" s="12" t="s">
        <v>71</v>
      </c>
      <c r="S49" s="12" t="s">
        <v>72</v>
      </c>
      <c r="T49" s="14">
        <v>8721284290384</v>
      </c>
      <c r="U49" s="13"/>
      <c r="V49" s="12" t="s">
        <v>328</v>
      </c>
      <c r="W49" s="12" t="s">
        <v>329</v>
      </c>
      <c r="X49" s="12" t="s">
        <v>162</v>
      </c>
      <c r="Y49" s="12" t="s">
        <v>96</v>
      </c>
      <c r="Z49" s="13"/>
      <c r="AA49" s="14">
        <v>30.4</v>
      </c>
      <c r="AB49" s="12" t="s">
        <v>330</v>
      </c>
      <c r="AC49" s="13"/>
      <c r="AD49" s="14">
        <v>48043158</v>
      </c>
      <c r="AE49" s="12" t="s">
        <v>77</v>
      </c>
      <c r="AF49" s="13"/>
      <c r="AG49" s="12" t="s">
        <v>334</v>
      </c>
      <c r="AH49" s="14">
        <v>0.8</v>
      </c>
      <c r="AI49" s="14">
        <v>11</v>
      </c>
      <c r="AJ49" s="14">
        <v>1.2</v>
      </c>
      <c r="AK49" s="14">
        <v>0.92</v>
      </c>
      <c r="AL49" s="12" t="s">
        <v>107</v>
      </c>
      <c r="AM49" s="12" t="s">
        <v>62</v>
      </c>
      <c r="AN49" s="12" t="s">
        <v>332</v>
      </c>
      <c r="AO49" s="14">
        <v>334</v>
      </c>
      <c r="AP49" s="12" t="s">
        <v>81</v>
      </c>
      <c r="AQ49" s="12" t="s">
        <v>82</v>
      </c>
      <c r="AR49" s="12" t="s">
        <v>83</v>
      </c>
      <c r="AS49" s="12" t="s">
        <v>84</v>
      </c>
      <c r="AT49" s="12" t="s">
        <v>110</v>
      </c>
      <c r="AU49" s="13"/>
      <c r="AV49" s="15">
        <v>0.5</v>
      </c>
      <c r="AW49" s="15">
        <v>0.5</v>
      </c>
      <c r="AX49" s="13"/>
      <c r="AY49" s="15">
        <v>0.5</v>
      </c>
      <c r="AZ49" s="15">
        <v>0.15</v>
      </c>
      <c r="BA49" s="15">
        <v>0.35</v>
      </c>
      <c r="BB49" s="13"/>
      <c r="BC49" s="13"/>
      <c r="BD49" s="13"/>
      <c r="BE49" s="12" t="s">
        <v>85</v>
      </c>
      <c r="BF49" s="12" t="s">
        <v>85</v>
      </c>
      <c r="BG49" s="16" t="s">
        <v>86</v>
      </c>
      <c r="BH49" s="12" t="s">
        <v>111</v>
      </c>
      <c r="BI49" s="12" t="s">
        <v>304</v>
      </c>
      <c r="BJ49" s="12" t="s">
        <v>89</v>
      </c>
      <c r="BK49" s="13"/>
      <c r="BL49" s="13"/>
      <c r="BM49" s="12" t="s">
        <v>90</v>
      </c>
      <c r="BO49" s="60">
        <f>'LookUp Roll&amp;Packs'!$E$4</f>
        <v>185.22</v>
      </c>
      <c r="BQ49" s="60">
        <f>'LookUp Roll&amp;Packs'!$X$4</f>
        <v>18.22</v>
      </c>
      <c r="BR49" s="61"/>
      <c r="BS49" s="63"/>
      <c r="BT49" s="62">
        <f t="shared" si="35"/>
        <v>11</v>
      </c>
      <c r="BU49" s="60">
        <f>'LookUp Roll&amp;Packs'!$BI$4</f>
        <v>22.56</v>
      </c>
      <c r="BV49" s="60">
        <f>'LookUp Roll&amp;Packs'!$CO$4</f>
        <v>257.38</v>
      </c>
      <c r="BW49" s="60">
        <f>'LookUp Roll&amp;Packs'!$CQ$4</f>
        <v>137</v>
      </c>
      <c r="BX49" s="61"/>
      <c r="BY49" s="61">
        <v>1</v>
      </c>
      <c r="BZ49" s="62">
        <f t="shared" si="40"/>
        <v>22.56</v>
      </c>
      <c r="CA49" s="67">
        <f t="shared" si="36"/>
        <v>2.2948000000000004</v>
      </c>
      <c r="CB49" s="67"/>
      <c r="CC49" s="67">
        <f t="shared" si="37"/>
        <v>0</v>
      </c>
      <c r="CD49" s="67">
        <f t="shared" si="38"/>
        <v>0.13700000000000001</v>
      </c>
      <c r="CE49" s="67">
        <f t="shared" si="39"/>
        <v>0</v>
      </c>
      <c r="CF49" s="63">
        <f t="shared" si="41"/>
        <v>0.20041999999999999</v>
      </c>
      <c r="CG49" s="23" t="e">
        <f>#REF!</f>
        <v>#REF!</v>
      </c>
      <c r="CH49" s="54" t="s">
        <v>564</v>
      </c>
      <c r="CI49" s="1" t="s">
        <v>564</v>
      </c>
      <c r="CJ49" s="1" t="s">
        <v>564</v>
      </c>
    </row>
    <row r="50" spans="1:88" ht="19.5" customHeight="1">
      <c r="A50" s="84">
        <v>10000507</v>
      </c>
      <c r="B50" s="84">
        <v>10000507</v>
      </c>
      <c r="C50" s="84"/>
      <c r="D50" s="10">
        <v>10000507</v>
      </c>
      <c r="E50" s="11" t="s">
        <v>61</v>
      </c>
      <c r="F50" s="12" t="s">
        <v>62</v>
      </c>
      <c r="G50" s="12" t="s">
        <v>63</v>
      </c>
      <c r="H50" s="12" t="s">
        <v>291</v>
      </c>
      <c r="I50" s="12" t="s">
        <v>335</v>
      </c>
      <c r="J50" s="13"/>
      <c r="K50" s="13"/>
      <c r="L50" s="12" t="s">
        <v>293</v>
      </c>
      <c r="M50" s="12" t="s">
        <v>99</v>
      </c>
      <c r="N50" s="12" t="s">
        <v>229</v>
      </c>
      <c r="O50" s="12" t="s">
        <v>230</v>
      </c>
      <c r="P50" s="14">
        <v>2</v>
      </c>
      <c r="Q50" s="12" t="s">
        <v>102</v>
      </c>
      <c r="R50" s="12" t="s">
        <v>71</v>
      </c>
      <c r="S50" s="12" t="s">
        <v>72</v>
      </c>
      <c r="T50" s="14">
        <v>8721284290391</v>
      </c>
      <c r="U50" s="13"/>
      <c r="V50" s="12" t="s">
        <v>160</v>
      </c>
      <c r="W50" s="12" t="s">
        <v>161</v>
      </c>
      <c r="X50" s="12" t="s">
        <v>162</v>
      </c>
      <c r="Y50" s="13"/>
      <c r="Z50" s="13"/>
      <c r="AA50" s="14">
        <v>30.3</v>
      </c>
      <c r="AB50" s="12" t="s">
        <v>336</v>
      </c>
      <c r="AC50" s="13"/>
      <c r="AD50" s="14">
        <v>48042110</v>
      </c>
      <c r="AE50" s="12" t="s">
        <v>77</v>
      </c>
      <c r="AF50" s="13"/>
      <c r="AG50" s="12" t="s">
        <v>337</v>
      </c>
      <c r="AH50" s="14">
        <v>0.8</v>
      </c>
      <c r="AI50" s="14">
        <v>11</v>
      </c>
      <c r="AJ50" s="14">
        <v>1.2</v>
      </c>
      <c r="AK50" s="14">
        <v>0.92</v>
      </c>
      <c r="AL50" s="12" t="s">
        <v>107</v>
      </c>
      <c r="AM50" s="12" t="s">
        <v>62</v>
      </c>
      <c r="AN50" s="12" t="s">
        <v>338</v>
      </c>
      <c r="AO50" s="14">
        <v>333</v>
      </c>
      <c r="AP50" s="12" t="s">
        <v>81</v>
      </c>
      <c r="AQ50" s="12" t="s">
        <v>82</v>
      </c>
      <c r="AR50" s="12" t="s">
        <v>83</v>
      </c>
      <c r="AS50" s="12" t="s">
        <v>84</v>
      </c>
      <c r="AT50" s="12" t="s">
        <v>62</v>
      </c>
      <c r="AU50" s="13"/>
      <c r="AV50" s="15">
        <v>0.85</v>
      </c>
      <c r="AW50" s="15">
        <v>0.15</v>
      </c>
      <c r="AX50" s="13"/>
      <c r="AY50" s="15">
        <v>0.85</v>
      </c>
      <c r="AZ50" s="14">
        <v>0</v>
      </c>
      <c r="BA50" s="15">
        <v>0.15</v>
      </c>
      <c r="BB50" s="13"/>
      <c r="BC50" s="13"/>
      <c r="BD50" s="13"/>
      <c r="BE50" s="12" t="s">
        <v>85</v>
      </c>
      <c r="BF50" s="12" t="s">
        <v>85</v>
      </c>
      <c r="BG50" s="16" t="s">
        <v>86</v>
      </c>
      <c r="BH50" s="12" t="s">
        <v>87</v>
      </c>
      <c r="BI50" s="12" t="s">
        <v>304</v>
      </c>
      <c r="BJ50" s="12" t="s">
        <v>89</v>
      </c>
      <c r="BK50" s="13"/>
      <c r="BL50" s="13"/>
      <c r="BM50" s="12" t="s">
        <v>90</v>
      </c>
      <c r="BO50" s="60">
        <f>'LookUp Roll&amp;Packs'!$E$4</f>
        <v>185.22</v>
      </c>
      <c r="BQ50" s="60">
        <f>'LookUp Roll&amp;Packs'!$X$4</f>
        <v>18.22</v>
      </c>
      <c r="BR50" s="61"/>
      <c r="BS50" s="63"/>
      <c r="BT50" s="62">
        <f t="shared" si="35"/>
        <v>11</v>
      </c>
      <c r="BU50" s="60">
        <f>'LookUp Roll&amp;Packs'!$BI$4</f>
        <v>22.56</v>
      </c>
      <c r="BV50" s="60">
        <f>'LookUp Roll&amp;Packs'!$CO$4</f>
        <v>257.38</v>
      </c>
      <c r="BW50" s="60">
        <f>'LookUp Roll&amp;Packs'!$CQ$4</f>
        <v>137</v>
      </c>
      <c r="BX50" s="61"/>
      <c r="BY50" s="61">
        <v>1</v>
      </c>
      <c r="BZ50" s="62">
        <f t="shared" si="40"/>
        <v>22.56</v>
      </c>
      <c r="CA50" s="67">
        <f t="shared" si="36"/>
        <v>2.2948000000000004</v>
      </c>
      <c r="CB50" s="67"/>
      <c r="CC50" s="67">
        <f t="shared" si="37"/>
        <v>0</v>
      </c>
      <c r="CD50" s="67">
        <f t="shared" si="38"/>
        <v>0.13700000000000001</v>
      </c>
      <c r="CE50" s="67">
        <f t="shared" si="39"/>
        <v>0</v>
      </c>
      <c r="CF50" s="63">
        <f t="shared" si="41"/>
        <v>0.20041999999999999</v>
      </c>
      <c r="CG50" s="23" t="e">
        <f>#REF!</f>
        <v>#REF!</v>
      </c>
      <c r="CH50" s="54" t="s">
        <v>564</v>
      </c>
      <c r="CI50" s="1" t="s">
        <v>564</v>
      </c>
      <c r="CJ50" s="1" t="s">
        <v>564</v>
      </c>
    </row>
    <row r="51" spans="1:88" ht="19.5" customHeight="1">
      <c r="A51" s="84">
        <v>10000508</v>
      </c>
      <c r="B51" s="84">
        <v>10000508</v>
      </c>
      <c r="C51" s="84"/>
      <c r="D51" s="10">
        <v>10000508</v>
      </c>
      <c r="E51" s="11" t="s">
        <v>61</v>
      </c>
      <c r="F51" s="12" t="s">
        <v>62</v>
      </c>
      <c r="G51" s="12" t="s">
        <v>63</v>
      </c>
      <c r="H51" s="12" t="s">
        <v>291</v>
      </c>
      <c r="I51" s="12" t="s">
        <v>339</v>
      </c>
      <c r="J51" s="13"/>
      <c r="K51" s="13"/>
      <c r="L51" s="12" t="s">
        <v>293</v>
      </c>
      <c r="M51" s="12" t="s">
        <v>99</v>
      </c>
      <c r="N51" s="12" t="s">
        <v>237</v>
      </c>
      <c r="O51" s="12" t="s">
        <v>238</v>
      </c>
      <c r="P51" s="14">
        <v>2</v>
      </c>
      <c r="Q51" s="12" t="s">
        <v>109</v>
      </c>
      <c r="R51" s="12" t="s">
        <v>71</v>
      </c>
      <c r="S51" s="12" t="s">
        <v>72</v>
      </c>
      <c r="T51" s="14">
        <v>8721284290407</v>
      </c>
      <c r="U51" s="13"/>
      <c r="V51" s="12" t="s">
        <v>160</v>
      </c>
      <c r="W51" s="12" t="s">
        <v>161</v>
      </c>
      <c r="X51" s="12" t="s">
        <v>162</v>
      </c>
      <c r="Y51" s="13"/>
      <c r="Z51" s="13"/>
      <c r="AA51" s="14">
        <v>43.4</v>
      </c>
      <c r="AB51" s="12" t="s">
        <v>340</v>
      </c>
      <c r="AC51" s="13"/>
      <c r="AD51" s="14">
        <v>48043158</v>
      </c>
      <c r="AE51" s="12" t="s">
        <v>77</v>
      </c>
      <c r="AF51" s="13"/>
      <c r="AG51" s="12" t="s">
        <v>341</v>
      </c>
      <c r="AH51" s="14">
        <v>0.8</v>
      </c>
      <c r="AI51" s="14">
        <v>7</v>
      </c>
      <c r="AJ51" s="14">
        <v>1.2</v>
      </c>
      <c r="AK51" s="14">
        <v>0.92</v>
      </c>
      <c r="AL51" s="12" t="s">
        <v>107</v>
      </c>
      <c r="AM51" s="12" t="s">
        <v>62</v>
      </c>
      <c r="AN51" s="12" t="s">
        <v>342</v>
      </c>
      <c r="AO51" s="14">
        <v>304</v>
      </c>
      <c r="AP51" s="12" t="s">
        <v>81</v>
      </c>
      <c r="AQ51" s="12" t="s">
        <v>82</v>
      </c>
      <c r="AR51" s="12" t="s">
        <v>83</v>
      </c>
      <c r="AS51" s="12" t="s">
        <v>84</v>
      </c>
      <c r="AT51" s="12" t="s">
        <v>110</v>
      </c>
      <c r="AU51" s="13"/>
      <c r="AV51" s="15">
        <v>0.5</v>
      </c>
      <c r="AW51" s="15">
        <v>0.5</v>
      </c>
      <c r="AX51" s="13"/>
      <c r="AY51" s="15">
        <v>0.5</v>
      </c>
      <c r="AZ51" s="15">
        <v>0.15</v>
      </c>
      <c r="BA51" s="15">
        <v>0.35</v>
      </c>
      <c r="BB51" s="13"/>
      <c r="BC51" s="13"/>
      <c r="BD51" s="13"/>
      <c r="BE51" s="12" t="s">
        <v>85</v>
      </c>
      <c r="BF51" s="12" t="s">
        <v>85</v>
      </c>
      <c r="BG51" s="16" t="s">
        <v>86</v>
      </c>
      <c r="BH51" s="12" t="s">
        <v>111</v>
      </c>
      <c r="BI51" s="12" t="s">
        <v>304</v>
      </c>
      <c r="BJ51" s="12" t="s">
        <v>89</v>
      </c>
      <c r="BK51" s="13"/>
      <c r="BL51" s="13"/>
      <c r="BM51" s="12" t="s">
        <v>90</v>
      </c>
      <c r="BO51" s="60">
        <f>'LookUp Roll&amp;Packs'!$E$4</f>
        <v>185.22</v>
      </c>
      <c r="BQ51" s="60">
        <f>'LookUp Roll&amp;Packs'!$X$4</f>
        <v>18.22</v>
      </c>
      <c r="BR51" s="61"/>
      <c r="BS51" s="63"/>
      <c r="BT51" s="62">
        <f t="shared" si="35"/>
        <v>7</v>
      </c>
      <c r="BU51" s="60">
        <f>'LookUp Roll&amp;Packs'!$BI$4</f>
        <v>22.56</v>
      </c>
      <c r="BV51" s="60">
        <f>'LookUp Roll&amp;Packs'!$CO$4</f>
        <v>257.38</v>
      </c>
      <c r="BW51" s="60">
        <f>'LookUp Roll&amp;Packs'!$CQ$4</f>
        <v>137</v>
      </c>
      <c r="BX51" s="61"/>
      <c r="BY51" s="61">
        <v>1</v>
      </c>
      <c r="BZ51" s="62">
        <f t="shared" si="40"/>
        <v>22.56</v>
      </c>
      <c r="CA51" s="67">
        <f t="shared" si="36"/>
        <v>1.55392</v>
      </c>
      <c r="CB51" s="67"/>
      <c r="CC51" s="67">
        <f t="shared" si="37"/>
        <v>0</v>
      </c>
      <c r="CD51" s="67">
        <f t="shared" si="38"/>
        <v>0.13700000000000001</v>
      </c>
      <c r="CE51" s="67">
        <f t="shared" si="39"/>
        <v>0</v>
      </c>
      <c r="CF51" s="63">
        <f t="shared" si="41"/>
        <v>0.12753999999999999</v>
      </c>
      <c r="CG51" s="23" t="e">
        <f>#REF!</f>
        <v>#REF!</v>
      </c>
      <c r="CH51" s="54" t="s">
        <v>564</v>
      </c>
      <c r="CI51" s="1" t="s">
        <v>564</v>
      </c>
      <c r="CJ51" s="1" t="s">
        <v>564</v>
      </c>
    </row>
    <row r="52" spans="1:88" ht="19.5" customHeight="1">
      <c r="A52" s="84">
        <v>10000509</v>
      </c>
      <c r="B52" s="84">
        <v>10000509</v>
      </c>
      <c r="C52" s="84"/>
      <c r="D52" s="10">
        <v>10000509</v>
      </c>
      <c r="E52" s="11" t="s">
        <v>61</v>
      </c>
      <c r="F52" s="12" t="s">
        <v>62</v>
      </c>
      <c r="G52" s="12" t="s">
        <v>63</v>
      </c>
      <c r="H52" s="12" t="s">
        <v>291</v>
      </c>
      <c r="I52" s="12" t="s">
        <v>343</v>
      </c>
      <c r="J52" s="13"/>
      <c r="K52" s="13"/>
      <c r="L52" s="12" t="s">
        <v>293</v>
      </c>
      <c r="M52" s="12" t="s">
        <v>99</v>
      </c>
      <c r="N52" s="12" t="s">
        <v>237</v>
      </c>
      <c r="O52" s="12" t="s">
        <v>238</v>
      </c>
      <c r="P52" s="14">
        <v>2</v>
      </c>
      <c r="Q52" s="12" t="s">
        <v>109</v>
      </c>
      <c r="R52" s="12" t="s">
        <v>71</v>
      </c>
      <c r="S52" s="12" t="s">
        <v>72</v>
      </c>
      <c r="T52" s="14">
        <v>8721284290414</v>
      </c>
      <c r="U52" s="13"/>
      <c r="V52" s="12" t="s">
        <v>160</v>
      </c>
      <c r="W52" s="12" t="s">
        <v>161</v>
      </c>
      <c r="X52" s="12" t="s">
        <v>162</v>
      </c>
      <c r="Y52" s="12" t="s">
        <v>96</v>
      </c>
      <c r="Z52" s="13"/>
      <c r="AA52" s="14">
        <v>42.3</v>
      </c>
      <c r="AB52" s="12" t="s">
        <v>340</v>
      </c>
      <c r="AC52" s="13"/>
      <c r="AD52" s="14">
        <v>48043158</v>
      </c>
      <c r="AE52" s="12" t="s">
        <v>77</v>
      </c>
      <c r="AF52" s="13"/>
      <c r="AG52" s="12" t="s">
        <v>344</v>
      </c>
      <c r="AH52" s="14">
        <v>0.8</v>
      </c>
      <c r="AI52" s="14">
        <v>7</v>
      </c>
      <c r="AJ52" s="14">
        <v>1.2</v>
      </c>
      <c r="AK52" s="14">
        <v>0.92</v>
      </c>
      <c r="AL52" s="12" t="s">
        <v>107</v>
      </c>
      <c r="AM52" s="12" t="s">
        <v>62</v>
      </c>
      <c r="AN52" s="12" t="s">
        <v>342</v>
      </c>
      <c r="AO52" s="14">
        <v>296</v>
      </c>
      <c r="AP52" s="12" t="s">
        <v>81</v>
      </c>
      <c r="AQ52" s="12" t="s">
        <v>82</v>
      </c>
      <c r="AR52" s="12" t="s">
        <v>83</v>
      </c>
      <c r="AS52" s="12" t="s">
        <v>84</v>
      </c>
      <c r="AT52" s="12" t="s">
        <v>110</v>
      </c>
      <c r="AU52" s="13"/>
      <c r="AV52" s="15">
        <v>0.5</v>
      </c>
      <c r="AW52" s="15">
        <v>0.5</v>
      </c>
      <c r="AX52" s="13"/>
      <c r="AY52" s="15">
        <v>0.5</v>
      </c>
      <c r="AZ52" s="15">
        <v>0.15</v>
      </c>
      <c r="BA52" s="15">
        <v>0.35</v>
      </c>
      <c r="BB52" s="13"/>
      <c r="BC52" s="13"/>
      <c r="BD52" s="13"/>
      <c r="BE52" s="12" t="s">
        <v>85</v>
      </c>
      <c r="BF52" s="12" t="s">
        <v>85</v>
      </c>
      <c r="BG52" s="16" t="s">
        <v>86</v>
      </c>
      <c r="BH52" s="12" t="s">
        <v>111</v>
      </c>
      <c r="BI52" s="12" t="s">
        <v>304</v>
      </c>
      <c r="BJ52" s="12" t="s">
        <v>89</v>
      </c>
      <c r="BK52" s="13"/>
      <c r="BL52" s="13"/>
      <c r="BM52" s="12" t="s">
        <v>90</v>
      </c>
      <c r="BO52" s="60">
        <f>'LookUp Roll&amp;Packs'!$E$4</f>
        <v>185.22</v>
      </c>
      <c r="BQ52" s="60">
        <f>'LookUp Roll&amp;Packs'!$X$4</f>
        <v>18.22</v>
      </c>
      <c r="BR52" s="61"/>
      <c r="BS52" s="63"/>
      <c r="BT52" s="62">
        <f t="shared" si="35"/>
        <v>7</v>
      </c>
      <c r="BU52" s="60">
        <f>'LookUp Roll&amp;Packs'!$BI$4</f>
        <v>22.56</v>
      </c>
      <c r="BV52" s="60">
        <f>'LookUp Roll&amp;Packs'!$CO$4</f>
        <v>257.38</v>
      </c>
      <c r="BW52" s="60">
        <f>'LookUp Roll&amp;Packs'!$CQ$4</f>
        <v>137</v>
      </c>
      <c r="BX52" s="61"/>
      <c r="BY52" s="61">
        <v>1</v>
      </c>
      <c r="BZ52" s="62">
        <f t="shared" si="40"/>
        <v>22.56</v>
      </c>
      <c r="CA52" s="67">
        <f t="shared" si="36"/>
        <v>1.55392</v>
      </c>
      <c r="CB52" s="67"/>
      <c r="CC52" s="67">
        <f t="shared" si="37"/>
        <v>0</v>
      </c>
      <c r="CD52" s="67">
        <f t="shared" si="38"/>
        <v>0.13700000000000001</v>
      </c>
      <c r="CE52" s="67">
        <f t="shared" si="39"/>
        <v>0</v>
      </c>
      <c r="CF52" s="63">
        <f t="shared" si="41"/>
        <v>0.12753999999999999</v>
      </c>
      <c r="CG52" s="23" t="e">
        <f>#REF!</f>
        <v>#REF!</v>
      </c>
      <c r="CH52" s="54" t="s">
        <v>564</v>
      </c>
      <c r="CI52" s="1" t="s">
        <v>564</v>
      </c>
      <c r="CJ52" s="1" t="s">
        <v>564</v>
      </c>
    </row>
    <row r="53" spans="1:88" ht="19.5" customHeight="1">
      <c r="A53" s="84">
        <v>10000510</v>
      </c>
    </row>
    <row r="54" spans="1:88" ht="19.5" customHeight="1">
      <c r="A54" s="84">
        <v>10000511</v>
      </c>
      <c r="B54" s="84">
        <v>10000511</v>
      </c>
      <c r="C54" s="84"/>
      <c r="D54" s="10">
        <v>10000511</v>
      </c>
      <c r="E54" s="11" t="s">
        <v>61</v>
      </c>
      <c r="F54" s="12" t="s">
        <v>62</v>
      </c>
      <c r="G54" s="12" t="s">
        <v>63</v>
      </c>
      <c r="H54" s="12" t="s">
        <v>291</v>
      </c>
      <c r="I54" s="12" t="s">
        <v>345</v>
      </c>
      <c r="J54" s="13"/>
      <c r="K54" s="13"/>
      <c r="L54" s="12" t="s">
        <v>346</v>
      </c>
      <c r="M54" s="12" t="s">
        <v>99</v>
      </c>
      <c r="N54" s="12" t="s">
        <v>262</v>
      </c>
      <c r="O54" s="12" t="s">
        <v>263</v>
      </c>
      <c r="P54" s="14">
        <v>1</v>
      </c>
      <c r="Q54" s="12" t="s">
        <v>70</v>
      </c>
      <c r="R54" s="12" t="s">
        <v>71</v>
      </c>
      <c r="S54" s="12" t="s">
        <v>72</v>
      </c>
      <c r="T54" s="14">
        <v>8721284290438</v>
      </c>
      <c r="U54" s="13"/>
      <c r="V54" s="12" t="s">
        <v>347</v>
      </c>
      <c r="W54" s="12" t="s">
        <v>348</v>
      </c>
      <c r="X54" s="12" t="s">
        <v>162</v>
      </c>
      <c r="Y54" s="13"/>
      <c r="Z54" s="13"/>
      <c r="AA54" s="14">
        <v>22.1</v>
      </c>
      <c r="AB54" s="12" t="s">
        <v>349</v>
      </c>
      <c r="AC54" s="13"/>
      <c r="AD54" s="14">
        <v>48043158</v>
      </c>
      <c r="AE54" s="12" t="s">
        <v>77</v>
      </c>
      <c r="AF54" s="13"/>
      <c r="AG54" s="12" t="s">
        <v>350</v>
      </c>
      <c r="AH54" s="14">
        <v>0.8</v>
      </c>
      <c r="AI54" s="14">
        <v>15</v>
      </c>
      <c r="AJ54" s="14">
        <v>1.2</v>
      </c>
      <c r="AK54" s="14">
        <v>0.92</v>
      </c>
      <c r="AL54" s="12" t="s">
        <v>107</v>
      </c>
      <c r="AM54" s="12" t="s">
        <v>62</v>
      </c>
      <c r="AN54" s="12" t="s">
        <v>351</v>
      </c>
      <c r="AO54" s="14">
        <v>332</v>
      </c>
      <c r="AP54" s="12" t="s">
        <v>81</v>
      </c>
      <c r="AQ54" s="12" t="s">
        <v>82</v>
      </c>
      <c r="AR54" s="12" t="s">
        <v>83</v>
      </c>
      <c r="AS54" s="12" t="s">
        <v>84</v>
      </c>
      <c r="AT54" s="12" t="s">
        <v>62</v>
      </c>
      <c r="AU54" s="13"/>
      <c r="AV54" s="15">
        <v>0.85</v>
      </c>
      <c r="AW54" s="15">
        <v>0.15</v>
      </c>
      <c r="AX54" s="13"/>
      <c r="AY54" s="15">
        <v>0.85</v>
      </c>
      <c r="AZ54" s="14">
        <v>0</v>
      </c>
      <c r="BA54" s="15">
        <v>0.15</v>
      </c>
      <c r="BB54" s="14">
        <v>299</v>
      </c>
      <c r="BC54" s="14">
        <v>28</v>
      </c>
      <c r="BD54" s="14">
        <v>14.8</v>
      </c>
      <c r="BE54" s="12" t="s">
        <v>85</v>
      </c>
      <c r="BF54" s="12" t="s">
        <v>85</v>
      </c>
      <c r="BG54" s="16" t="s">
        <v>86</v>
      </c>
      <c r="BH54" s="12" t="s">
        <v>87</v>
      </c>
      <c r="BI54" s="12" t="s">
        <v>304</v>
      </c>
      <c r="BJ54" s="12" t="s">
        <v>89</v>
      </c>
      <c r="BK54" s="13"/>
      <c r="BL54" s="13"/>
      <c r="BM54" s="12" t="s">
        <v>90</v>
      </c>
      <c r="BO54" s="60">
        <f>'LookUp Roll&amp;Packs'!$E$4</f>
        <v>185.22</v>
      </c>
      <c r="BQ54" s="60">
        <f>'LookUp Roll&amp;Packs'!$X$4</f>
        <v>18.22</v>
      </c>
      <c r="BR54" s="61"/>
      <c r="BS54" s="63"/>
      <c r="BT54" s="62">
        <f>AI54</f>
        <v>15</v>
      </c>
      <c r="BU54" s="60">
        <f>'LookUp Roll&amp;Packs'!$BI$4</f>
        <v>22.56</v>
      </c>
      <c r="BV54" s="60">
        <f>'LookUp Roll&amp;Packs'!$CO$4</f>
        <v>257.38</v>
      </c>
      <c r="BW54" s="60">
        <f>'LookUp Roll&amp;Packs'!$CQ$4</f>
        <v>137</v>
      </c>
      <c r="BX54" s="61"/>
      <c r="BY54" s="61">
        <v>1</v>
      </c>
      <c r="BZ54" s="62">
        <f>BU54</f>
        <v>22.56</v>
      </c>
      <c r="CA54" s="67">
        <f t="shared" ref="CA54" si="42">((AI54*BO54)+BV54)/1000</f>
        <v>3.0356800000000002</v>
      </c>
      <c r="CB54" s="67"/>
      <c r="CC54" s="67">
        <f>(AI54*BR54)/1000</f>
        <v>0</v>
      </c>
      <c r="CD54" s="67">
        <f t="shared" ref="CD54" si="43">BW54/1000</f>
        <v>0.13700000000000001</v>
      </c>
      <c r="CE54" s="67">
        <f>BX54/1000</f>
        <v>0</v>
      </c>
      <c r="CF54" s="63">
        <f>(AI54*BQ54)/1000</f>
        <v>0.27329999999999993</v>
      </c>
      <c r="CG54" s="23" t="e">
        <f>#REF!</f>
        <v>#REF!</v>
      </c>
      <c r="CH54" s="54" t="s">
        <v>564</v>
      </c>
      <c r="CI54" s="1" t="s">
        <v>564</v>
      </c>
      <c r="CJ54" s="1" t="s">
        <v>564</v>
      </c>
    </row>
    <row r="55" spans="1:88" ht="19.5" customHeight="1">
      <c r="A55" s="84">
        <v>10000513</v>
      </c>
      <c r="CI55" s="1" t="s">
        <v>564</v>
      </c>
      <c r="CJ55" s="1" t="s">
        <v>564</v>
      </c>
    </row>
    <row r="56" spans="1:88" ht="19.5" customHeight="1">
      <c r="A56" s="84">
        <v>10000514</v>
      </c>
      <c r="B56" s="84">
        <v>10000514</v>
      </c>
      <c r="C56" s="84"/>
      <c r="D56" s="10">
        <v>10000514</v>
      </c>
      <c r="E56" s="11" t="s">
        <v>61</v>
      </c>
      <c r="F56" s="12" t="s">
        <v>62</v>
      </c>
      <c r="G56" s="12" t="s">
        <v>63</v>
      </c>
      <c r="H56" s="12" t="s">
        <v>291</v>
      </c>
      <c r="I56" s="12" t="s">
        <v>353</v>
      </c>
      <c r="J56" s="13"/>
      <c r="K56" s="13"/>
      <c r="L56" s="12" t="s">
        <v>354</v>
      </c>
      <c r="M56" s="12" t="s">
        <v>355</v>
      </c>
      <c r="N56" s="12" t="s">
        <v>68</v>
      </c>
      <c r="O56" s="12" t="s">
        <v>69</v>
      </c>
      <c r="P56" s="14">
        <v>2</v>
      </c>
      <c r="Q56" s="12" t="s">
        <v>356</v>
      </c>
      <c r="R56" s="12" t="s">
        <v>71</v>
      </c>
      <c r="S56" s="12" t="s">
        <v>72</v>
      </c>
      <c r="T56" s="14">
        <v>8721284290452</v>
      </c>
      <c r="U56" s="13"/>
      <c r="V56" s="12" t="s">
        <v>255</v>
      </c>
      <c r="W56" s="12" t="s">
        <v>256</v>
      </c>
      <c r="X56" s="12" t="s">
        <v>162</v>
      </c>
      <c r="Y56" s="13"/>
      <c r="Z56" s="13"/>
      <c r="AA56" s="14">
        <v>472</v>
      </c>
      <c r="AB56" s="13"/>
      <c r="AC56" s="12" t="s">
        <v>245</v>
      </c>
      <c r="AD56" s="14">
        <v>48043158</v>
      </c>
      <c r="AE56" s="12" t="s">
        <v>77</v>
      </c>
      <c r="AF56" s="12" t="s">
        <v>171</v>
      </c>
      <c r="AG56" s="12" t="s">
        <v>357</v>
      </c>
      <c r="AH56" s="14">
        <v>0.8</v>
      </c>
      <c r="AI56" s="14">
        <v>1</v>
      </c>
      <c r="AJ56" s="14">
        <v>1.2</v>
      </c>
      <c r="AK56" s="14">
        <v>1.2</v>
      </c>
      <c r="AL56" s="12" t="s">
        <v>79</v>
      </c>
      <c r="AM56" s="12" t="s">
        <v>62</v>
      </c>
      <c r="AN56" s="12" t="s">
        <v>186</v>
      </c>
      <c r="AO56" s="14">
        <v>472</v>
      </c>
      <c r="AP56" s="12" t="s">
        <v>81</v>
      </c>
      <c r="AQ56" s="12" t="s">
        <v>146</v>
      </c>
      <c r="AR56" s="12" t="s">
        <v>83</v>
      </c>
      <c r="AS56" s="12" t="s">
        <v>84</v>
      </c>
      <c r="AT56" s="12" t="s">
        <v>110</v>
      </c>
      <c r="AU56" s="13"/>
      <c r="AV56" s="13"/>
      <c r="AW56" s="12" t="s">
        <v>358</v>
      </c>
      <c r="AX56" s="13"/>
      <c r="AY56" s="14">
        <v>0</v>
      </c>
      <c r="AZ56" s="14">
        <v>0</v>
      </c>
      <c r="BA56" s="15">
        <v>1</v>
      </c>
      <c r="BB56" s="12" t="s">
        <v>247</v>
      </c>
      <c r="BC56" s="14">
        <v>574</v>
      </c>
      <c r="BD56" s="14">
        <v>384.1</v>
      </c>
      <c r="BE56" s="12" t="s">
        <v>85</v>
      </c>
      <c r="BF56" s="12" t="s">
        <v>85</v>
      </c>
      <c r="BG56" s="16" t="s">
        <v>86</v>
      </c>
      <c r="BH56" s="12" t="s">
        <v>248</v>
      </c>
      <c r="BI56" s="12" t="s">
        <v>304</v>
      </c>
      <c r="BJ56" s="12" t="s">
        <v>89</v>
      </c>
      <c r="BK56" s="13"/>
      <c r="BL56" s="13"/>
      <c r="BM56" s="12" t="s">
        <v>90</v>
      </c>
      <c r="BT56" s="62">
        <f>AI56</f>
        <v>1</v>
      </c>
      <c r="BU56" s="60">
        <f>'LookUp Roll&amp;Packs'!$BI$4</f>
        <v>22.56</v>
      </c>
      <c r="BV56" s="60">
        <f>'LookUp Roll&amp;Packs'!$CO$7</f>
        <v>2796.7</v>
      </c>
      <c r="BW56" s="60">
        <f>'LookUp Roll&amp;Packs'!$CQ$7</f>
        <v>175.14</v>
      </c>
      <c r="BX56" s="61">
        <f>'LookUp Roll&amp;Packs'!$CP$7</f>
        <v>66.8</v>
      </c>
      <c r="BY56" s="61">
        <v>1</v>
      </c>
      <c r="BZ56" s="62">
        <f>BU56</f>
        <v>22.56</v>
      </c>
      <c r="CA56" s="67">
        <f>((AI56*BO56)+BV56)/1000</f>
        <v>2.7967</v>
      </c>
      <c r="CB56" s="67"/>
      <c r="CC56" s="67">
        <f>(AI56*BR56)/1000</f>
        <v>0</v>
      </c>
      <c r="CD56" s="67">
        <f t="shared" ref="CD56:CE58" si="44">BW56/1000</f>
        <v>0.17513999999999999</v>
      </c>
      <c r="CE56" s="67">
        <f t="shared" si="44"/>
        <v>6.6799999999999998E-2</v>
      </c>
      <c r="CH56" s="54" t="s">
        <v>564</v>
      </c>
      <c r="CI56" s="1" t="s">
        <v>564</v>
      </c>
      <c r="CJ56" s="1" t="s">
        <v>564</v>
      </c>
    </row>
    <row r="57" spans="1:88" ht="19.5" customHeight="1">
      <c r="A57" s="84">
        <v>10000515</v>
      </c>
      <c r="B57" s="84">
        <v>10000515</v>
      </c>
      <c r="C57" s="84"/>
      <c r="D57" s="10">
        <v>10000515</v>
      </c>
      <c r="E57" s="11" t="s">
        <v>61</v>
      </c>
      <c r="F57" s="12" t="s">
        <v>62</v>
      </c>
      <c r="G57" s="12" t="s">
        <v>63</v>
      </c>
      <c r="H57" s="12" t="s">
        <v>291</v>
      </c>
      <c r="I57" s="12" t="s">
        <v>359</v>
      </c>
      <c r="J57" s="13"/>
      <c r="K57" s="13"/>
      <c r="L57" s="12" t="s">
        <v>354</v>
      </c>
      <c r="M57" s="12" t="s">
        <v>355</v>
      </c>
      <c r="N57" s="12" t="s">
        <v>68</v>
      </c>
      <c r="O57" s="12" t="s">
        <v>69</v>
      </c>
      <c r="P57" s="14">
        <v>2</v>
      </c>
      <c r="Q57" s="12" t="s">
        <v>324</v>
      </c>
      <c r="R57" s="12" t="s">
        <v>71</v>
      </c>
      <c r="S57" s="12" t="s">
        <v>72</v>
      </c>
      <c r="T57" s="14">
        <v>8721284290469</v>
      </c>
      <c r="U57" s="13"/>
      <c r="V57" s="12" t="s">
        <v>255</v>
      </c>
      <c r="W57" s="12" t="s">
        <v>256</v>
      </c>
      <c r="X57" s="12" t="s">
        <v>162</v>
      </c>
      <c r="Y57" s="13"/>
      <c r="Z57" s="13"/>
      <c r="AA57" s="14">
        <v>472</v>
      </c>
      <c r="AB57" s="13"/>
      <c r="AC57" s="12" t="s">
        <v>245</v>
      </c>
      <c r="AD57" s="14">
        <v>48043158</v>
      </c>
      <c r="AE57" s="12" t="s">
        <v>77</v>
      </c>
      <c r="AF57" s="12" t="s">
        <v>171</v>
      </c>
      <c r="AG57" s="12" t="s">
        <v>360</v>
      </c>
      <c r="AH57" s="14">
        <v>0.8</v>
      </c>
      <c r="AI57" s="14">
        <v>1</v>
      </c>
      <c r="AJ57" s="14">
        <v>1.2</v>
      </c>
      <c r="AK57" s="14">
        <v>1.2</v>
      </c>
      <c r="AL57" s="12" t="s">
        <v>79</v>
      </c>
      <c r="AM57" s="12" t="s">
        <v>62</v>
      </c>
      <c r="AN57" s="12" t="s">
        <v>186</v>
      </c>
      <c r="AO57" s="14">
        <v>472</v>
      </c>
      <c r="AP57" s="12" t="s">
        <v>81</v>
      </c>
      <c r="AQ57" s="12" t="s">
        <v>82</v>
      </c>
      <c r="AR57" s="12" t="s">
        <v>83</v>
      </c>
      <c r="AS57" s="12" t="s">
        <v>84</v>
      </c>
      <c r="AT57" s="12" t="s">
        <v>110</v>
      </c>
      <c r="AU57" s="13"/>
      <c r="AV57" s="15">
        <v>0.15</v>
      </c>
      <c r="AW57" s="15">
        <v>0.85</v>
      </c>
      <c r="AX57" s="13"/>
      <c r="AY57" s="15">
        <v>0.15</v>
      </c>
      <c r="AZ57" s="15">
        <v>0.3</v>
      </c>
      <c r="BA57" s="15">
        <v>0.55000000000000004</v>
      </c>
      <c r="BB57" s="12" t="s">
        <v>361</v>
      </c>
      <c r="BC57" s="14">
        <v>573</v>
      </c>
      <c r="BD57" s="14">
        <v>323.60000000000002</v>
      </c>
      <c r="BE57" s="12" t="s">
        <v>85</v>
      </c>
      <c r="BF57" s="12" t="s">
        <v>85</v>
      </c>
      <c r="BG57" s="16" t="s">
        <v>86</v>
      </c>
      <c r="BH57" s="12" t="s">
        <v>111</v>
      </c>
      <c r="BI57" s="12" t="s">
        <v>304</v>
      </c>
      <c r="BJ57" s="12" t="s">
        <v>89</v>
      </c>
      <c r="BK57" s="13"/>
      <c r="BL57" s="13"/>
      <c r="BM57" s="12" t="s">
        <v>90</v>
      </c>
      <c r="BT57" s="62">
        <f>AI57</f>
        <v>1</v>
      </c>
      <c r="BU57" s="60">
        <f>'LookUp Roll&amp;Packs'!$BI$4</f>
        <v>22.56</v>
      </c>
      <c r="BV57" s="60">
        <f>'LookUp Roll&amp;Packs'!$CO$7</f>
        <v>2796.7</v>
      </c>
      <c r="BW57" s="60">
        <f>'LookUp Roll&amp;Packs'!$CQ$7</f>
        <v>175.14</v>
      </c>
      <c r="BX57" s="61">
        <f>'LookUp Roll&amp;Packs'!$CP$7</f>
        <v>66.8</v>
      </c>
      <c r="BY57" s="61">
        <v>1</v>
      </c>
      <c r="BZ57" s="62">
        <f>BU57</f>
        <v>22.56</v>
      </c>
      <c r="CA57" s="67">
        <f>((AI57*BO57)+BV57)/1000</f>
        <v>2.7967</v>
      </c>
      <c r="CB57" s="67"/>
      <c r="CC57" s="67">
        <f>(AI57*BR57)/1000</f>
        <v>0</v>
      </c>
      <c r="CD57" s="67">
        <f t="shared" si="44"/>
        <v>0.17513999999999999</v>
      </c>
      <c r="CE57" s="67">
        <f t="shared" si="44"/>
        <v>6.6799999999999998E-2</v>
      </c>
      <c r="CH57" s="54" t="s">
        <v>564</v>
      </c>
      <c r="CI57" s="1" t="s">
        <v>564</v>
      </c>
      <c r="CJ57" s="1" t="s">
        <v>564</v>
      </c>
    </row>
    <row r="58" spans="1:88" ht="19.5" customHeight="1">
      <c r="A58" s="84">
        <v>10000517</v>
      </c>
      <c r="B58" s="84">
        <v>10000517</v>
      </c>
      <c r="C58" s="84"/>
      <c r="D58" s="10">
        <v>10000517</v>
      </c>
      <c r="E58" s="11" t="s">
        <v>61</v>
      </c>
      <c r="F58" s="12" t="s">
        <v>62</v>
      </c>
      <c r="G58" s="12" t="s">
        <v>63</v>
      </c>
      <c r="H58" s="12" t="s">
        <v>291</v>
      </c>
      <c r="I58" s="12" t="s">
        <v>362</v>
      </c>
      <c r="J58" s="13"/>
      <c r="K58" s="13"/>
      <c r="L58" s="12" t="s">
        <v>293</v>
      </c>
      <c r="M58" s="12" t="s">
        <v>99</v>
      </c>
      <c r="N58" s="12" t="s">
        <v>237</v>
      </c>
      <c r="O58" s="12" t="s">
        <v>238</v>
      </c>
      <c r="P58" s="14">
        <v>2</v>
      </c>
      <c r="Q58" s="12" t="s">
        <v>109</v>
      </c>
      <c r="R58" s="12" t="s">
        <v>71</v>
      </c>
      <c r="S58" s="12" t="s">
        <v>72</v>
      </c>
      <c r="T58" s="14">
        <v>8721284290476</v>
      </c>
      <c r="U58" s="13"/>
      <c r="V58" s="12" t="s">
        <v>363</v>
      </c>
      <c r="W58" s="12" t="s">
        <v>239</v>
      </c>
      <c r="X58" s="12" t="s">
        <v>162</v>
      </c>
      <c r="Y58" s="13"/>
      <c r="Z58" s="13"/>
      <c r="AA58" s="14">
        <v>18.600000000000001</v>
      </c>
      <c r="AB58" s="12" t="s">
        <v>364</v>
      </c>
      <c r="AC58" s="13"/>
      <c r="AD58" s="14">
        <v>48043158</v>
      </c>
      <c r="AE58" s="12" t="s">
        <v>77</v>
      </c>
      <c r="AF58" s="13"/>
      <c r="AG58" s="12" t="s">
        <v>365</v>
      </c>
      <c r="AH58" s="14">
        <v>1</v>
      </c>
      <c r="AI58" s="14">
        <v>25</v>
      </c>
      <c r="AJ58" s="14">
        <v>1.2</v>
      </c>
      <c r="AK58" s="14">
        <v>0.92</v>
      </c>
      <c r="AL58" s="12" t="s">
        <v>366</v>
      </c>
      <c r="AM58" s="12" t="s">
        <v>62</v>
      </c>
      <c r="AN58" s="12" t="s">
        <v>367</v>
      </c>
      <c r="AO58" s="14">
        <v>464</v>
      </c>
      <c r="AP58" s="12" t="s">
        <v>81</v>
      </c>
      <c r="AQ58" s="12" t="s">
        <v>82</v>
      </c>
      <c r="AR58" s="12" t="s">
        <v>83</v>
      </c>
      <c r="AS58" s="12" t="s">
        <v>84</v>
      </c>
      <c r="AT58" s="12" t="s">
        <v>110</v>
      </c>
      <c r="AU58" s="13"/>
      <c r="AV58" s="15">
        <v>0.5</v>
      </c>
      <c r="AW58" s="15">
        <v>0.5</v>
      </c>
      <c r="AX58" s="13"/>
      <c r="AY58" s="15">
        <v>0.5</v>
      </c>
      <c r="AZ58" s="15">
        <v>0.15</v>
      </c>
      <c r="BA58" s="15">
        <v>0.35</v>
      </c>
      <c r="BB58" s="13"/>
      <c r="BC58" s="13"/>
      <c r="BD58" s="13"/>
      <c r="BE58" s="12" t="s">
        <v>85</v>
      </c>
      <c r="BF58" s="12" t="s">
        <v>85</v>
      </c>
      <c r="BG58" s="16" t="s">
        <v>86</v>
      </c>
      <c r="BH58" s="12" t="s">
        <v>111</v>
      </c>
      <c r="BI58" s="12" t="s">
        <v>304</v>
      </c>
      <c r="BJ58" s="12" t="s">
        <v>89</v>
      </c>
      <c r="BK58" s="13"/>
      <c r="BL58" s="13"/>
      <c r="BM58" s="12" t="s">
        <v>90</v>
      </c>
      <c r="BO58" s="60">
        <f>'LookUp Roll&amp;Packs'!$E$4</f>
        <v>185.22</v>
      </c>
      <c r="BQ58" s="60">
        <f>'LookUp Roll&amp;Packs'!$X$4</f>
        <v>18.22</v>
      </c>
      <c r="BR58" s="61"/>
      <c r="BS58" s="63"/>
      <c r="BT58" s="62">
        <f>AI58</f>
        <v>25</v>
      </c>
      <c r="BU58" s="60">
        <f>'LookUp Roll&amp;Packs'!$BI$4</f>
        <v>22.56</v>
      </c>
      <c r="BV58" s="60">
        <f>'LookUp Roll&amp;Packs'!$CO$4</f>
        <v>257.38</v>
      </c>
      <c r="BW58" s="60">
        <f>'LookUp Roll&amp;Packs'!$CQ$4</f>
        <v>137</v>
      </c>
      <c r="BX58" s="61"/>
      <c r="BY58" s="61">
        <v>1</v>
      </c>
      <c r="BZ58" s="62">
        <f>BU58</f>
        <v>22.56</v>
      </c>
      <c r="CA58" s="67">
        <f>((AI58*BO58)+BV58)/1000</f>
        <v>4.88788</v>
      </c>
      <c r="CB58" s="67"/>
      <c r="CC58" s="67">
        <f t="shared" ref="CC58" si="45">(AI58*BR58)/1000</f>
        <v>0</v>
      </c>
      <c r="CD58" s="67">
        <f t="shared" si="44"/>
        <v>0.13700000000000001</v>
      </c>
      <c r="CE58" s="67">
        <f t="shared" si="44"/>
        <v>0</v>
      </c>
      <c r="CF58" s="63" t="e">
        <f>(#REF!*#REF!)/1000</f>
        <v>#REF!</v>
      </c>
      <c r="CG58" s="23" t="s">
        <v>600</v>
      </c>
      <c r="CH58" s="54" t="s">
        <v>564</v>
      </c>
      <c r="CI58" s="1" t="s">
        <v>564</v>
      </c>
      <c r="CJ58" s="1" t="s">
        <v>564</v>
      </c>
    </row>
    <row r="59" spans="1:88" ht="19.5" customHeight="1">
      <c r="A59" s="84">
        <v>10000518</v>
      </c>
    </row>
    <row r="60" spans="1:88" ht="19.5" customHeight="1">
      <c r="A60" s="84">
        <v>10000520</v>
      </c>
      <c r="B60" s="84">
        <v>10000520</v>
      </c>
      <c r="C60" s="84"/>
      <c r="D60" s="10">
        <v>10000520</v>
      </c>
      <c r="E60" s="11" t="s">
        <v>61</v>
      </c>
      <c r="F60" s="12" t="s">
        <v>62</v>
      </c>
      <c r="G60" s="12" t="s">
        <v>63</v>
      </c>
      <c r="H60" s="12" t="s">
        <v>291</v>
      </c>
      <c r="I60" s="12" t="s">
        <v>368</v>
      </c>
      <c r="J60" s="13"/>
      <c r="K60" s="13"/>
      <c r="L60" s="12" t="s">
        <v>293</v>
      </c>
      <c r="M60" s="12" t="s">
        <v>99</v>
      </c>
      <c r="N60" s="12" t="s">
        <v>100</v>
      </c>
      <c r="O60" s="12" t="s">
        <v>101</v>
      </c>
      <c r="P60" s="14">
        <v>2</v>
      </c>
      <c r="Q60" s="12" t="s">
        <v>109</v>
      </c>
      <c r="R60" s="12" t="s">
        <v>71</v>
      </c>
      <c r="S60" s="12" t="s">
        <v>72</v>
      </c>
      <c r="T60" s="14">
        <v>8721284290490</v>
      </c>
      <c r="U60" s="13"/>
      <c r="V60" s="12" t="s">
        <v>369</v>
      </c>
      <c r="W60" s="12" t="s">
        <v>370</v>
      </c>
      <c r="X60" s="12" t="s">
        <v>162</v>
      </c>
      <c r="Y60" s="13"/>
      <c r="Z60" s="13"/>
      <c r="AA60" s="14">
        <v>18.3</v>
      </c>
      <c r="AB60" s="12" t="s">
        <v>371</v>
      </c>
      <c r="AC60" s="13"/>
      <c r="AD60" s="14">
        <v>48043158</v>
      </c>
      <c r="AE60" s="12" t="s">
        <v>77</v>
      </c>
      <c r="AF60" s="13"/>
      <c r="AG60" s="12" t="s">
        <v>372</v>
      </c>
      <c r="AH60" s="14">
        <v>1</v>
      </c>
      <c r="AI60" s="14">
        <v>25</v>
      </c>
      <c r="AJ60" s="14">
        <v>1.2</v>
      </c>
      <c r="AK60" s="14">
        <v>0.92</v>
      </c>
      <c r="AL60" s="12" t="s">
        <v>366</v>
      </c>
      <c r="AM60" s="12" t="s">
        <v>62</v>
      </c>
      <c r="AN60" s="12" t="s">
        <v>373</v>
      </c>
      <c r="AO60" s="14">
        <v>457</v>
      </c>
      <c r="AP60" s="12" t="s">
        <v>81</v>
      </c>
      <c r="AQ60" s="12" t="s">
        <v>82</v>
      </c>
      <c r="AR60" s="12" t="s">
        <v>83</v>
      </c>
      <c r="AS60" s="12" t="s">
        <v>84</v>
      </c>
      <c r="AT60" s="12" t="s">
        <v>110</v>
      </c>
      <c r="AU60" s="13"/>
      <c r="AV60" s="15">
        <v>0.5</v>
      </c>
      <c r="AW60" s="15">
        <v>0.5</v>
      </c>
      <c r="AX60" s="13"/>
      <c r="AY60" s="15">
        <v>0.5</v>
      </c>
      <c r="AZ60" s="15">
        <v>0.15</v>
      </c>
      <c r="BA60" s="15">
        <v>0.35</v>
      </c>
      <c r="BB60" s="13"/>
      <c r="BC60" s="13"/>
      <c r="BD60" s="13"/>
      <c r="BE60" s="12" t="s">
        <v>85</v>
      </c>
      <c r="BF60" s="12" t="s">
        <v>85</v>
      </c>
      <c r="BG60" s="16" t="s">
        <v>86</v>
      </c>
      <c r="BH60" s="12" t="s">
        <v>111</v>
      </c>
      <c r="BI60" s="12" t="s">
        <v>304</v>
      </c>
      <c r="BJ60" s="12" t="s">
        <v>89</v>
      </c>
      <c r="BK60" s="13"/>
      <c r="BL60" s="13"/>
      <c r="BM60" s="12" t="s">
        <v>90</v>
      </c>
      <c r="BO60" s="60">
        <f>'LookUp Roll&amp;Packs'!$E$4</f>
        <v>185.22</v>
      </c>
      <c r="BQ60" s="60">
        <f>'LookUp Roll&amp;Packs'!$X$4</f>
        <v>18.22</v>
      </c>
      <c r="BR60" s="61"/>
      <c r="BS60" s="63"/>
      <c r="BT60" s="62">
        <f>AI60</f>
        <v>25</v>
      </c>
      <c r="BU60" s="60">
        <f>'LookUp Roll&amp;Packs'!$BI$4</f>
        <v>22.56</v>
      </c>
      <c r="BV60" s="60">
        <f>'LookUp Roll&amp;Packs'!$CO$4</f>
        <v>257.38</v>
      </c>
      <c r="BW60" s="60">
        <f>'LookUp Roll&amp;Packs'!$CQ$4</f>
        <v>137</v>
      </c>
      <c r="BX60" s="61"/>
      <c r="BY60" s="61">
        <v>1</v>
      </c>
      <c r="BZ60" s="62">
        <f>BU60</f>
        <v>22.56</v>
      </c>
      <c r="CA60" s="67">
        <f t="shared" ref="CA60:CA72" si="46">((AI60*BO60)+BV60)/1000</f>
        <v>4.88788</v>
      </c>
      <c r="CB60" s="67"/>
      <c r="CC60" s="67">
        <f t="shared" ref="CC60:CC72" si="47">(AI60*BR60)/1000</f>
        <v>0</v>
      </c>
      <c r="CD60" s="67">
        <f>BW60/1000</f>
        <v>0.13700000000000001</v>
      </c>
      <c r="CE60" s="67">
        <f>BX60/1000</f>
        <v>0</v>
      </c>
      <c r="CF60" s="63">
        <f>(AI57*BQ57)/1000</f>
        <v>0</v>
      </c>
      <c r="CG60" s="23" t="s">
        <v>600</v>
      </c>
      <c r="CH60" s="54" t="s">
        <v>564</v>
      </c>
      <c r="CI60" s="1" t="s">
        <v>564</v>
      </c>
      <c r="CJ60" s="1" t="s">
        <v>564</v>
      </c>
    </row>
    <row r="61" spans="1:88" ht="19.5" customHeight="1">
      <c r="A61" s="84">
        <v>10000523</v>
      </c>
      <c r="B61" s="84">
        <v>10000523</v>
      </c>
      <c r="C61" s="84"/>
      <c r="D61" s="10">
        <v>10000523</v>
      </c>
      <c r="E61" s="11" t="s">
        <v>61</v>
      </c>
      <c r="F61" s="12" t="s">
        <v>62</v>
      </c>
      <c r="G61" s="12" t="s">
        <v>63</v>
      </c>
      <c r="H61" s="12" t="s">
        <v>291</v>
      </c>
      <c r="I61" s="12" t="s">
        <v>374</v>
      </c>
      <c r="J61" s="13"/>
      <c r="K61" s="13"/>
      <c r="L61" s="12" t="s">
        <v>293</v>
      </c>
      <c r="M61" s="12" t="s">
        <v>99</v>
      </c>
      <c r="N61" s="12" t="s">
        <v>237</v>
      </c>
      <c r="O61" s="12" t="s">
        <v>238</v>
      </c>
      <c r="P61" s="14">
        <v>2</v>
      </c>
      <c r="Q61" s="12" t="s">
        <v>109</v>
      </c>
      <c r="R61" s="12" t="s">
        <v>71</v>
      </c>
      <c r="S61" s="12" t="s">
        <v>72</v>
      </c>
      <c r="T61" s="14">
        <v>8721284290513</v>
      </c>
      <c r="U61" s="13"/>
      <c r="V61" s="12" t="s">
        <v>347</v>
      </c>
      <c r="W61" s="12" t="s">
        <v>348</v>
      </c>
      <c r="X61" s="12" t="s">
        <v>162</v>
      </c>
      <c r="Y61" s="13"/>
      <c r="Z61" s="13"/>
      <c r="AA61" s="14">
        <v>34.5</v>
      </c>
      <c r="AB61" s="12" t="s">
        <v>375</v>
      </c>
      <c r="AC61" s="13"/>
      <c r="AD61" s="14">
        <v>48043158</v>
      </c>
      <c r="AE61" s="12" t="s">
        <v>77</v>
      </c>
      <c r="AF61" s="13"/>
      <c r="AG61" s="12" t="s">
        <v>376</v>
      </c>
      <c r="AH61" s="14">
        <v>1</v>
      </c>
      <c r="AI61" s="14">
        <v>12</v>
      </c>
      <c r="AJ61" s="14">
        <v>1.2</v>
      </c>
      <c r="AK61" s="14">
        <v>0.92</v>
      </c>
      <c r="AL61" s="12" t="s">
        <v>366</v>
      </c>
      <c r="AM61" s="12" t="s">
        <v>62</v>
      </c>
      <c r="AN61" s="12" t="s">
        <v>377</v>
      </c>
      <c r="AO61" s="14">
        <v>414</v>
      </c>
      <c r="AP61" s="12" t="s">
        <v>81</v>
      </c>
      <c r="AQ61" s="12" t="s">
        <v>82</v>
      </c>
      <c r="AR61" s="12" t="s">
        <v>83</v>
      </c>
      <c r="AS61" s="12" t="s">
        <v>84</v>
      </c>
      <c r="AT61" s="12" t="s">
        <v>110</v>
      </c>
      <c r="AU61" s="13"/>
      <c r="AV61" s="15">
        <v>0.5</v>
      </c>
      <c r="AW61" s="15">
        <v>0.5</v>
      </c>
      <c r="AX61" s="13"/>
      <c r="AY61" s="15">
        <v>0.5</v>
      </c>
      <c r="AZ61" s="15">
        <v>0.15</v>
      </c>
      <c r="BA61" s="15">
        <v>0.35</v>
      </c>
      <c r="BB61" s="13"/>
      <c r="BC61" s="13"/>
      <c r="BD61" s="13"/>
      <c r="BE61" s="12" t="s">
        <v>85</v>
      </c>
      <c r="BF61" s="12" t="s">
        <v>85</v>
      </c>
      <c r="BG61" s="16" t="s">
        <v>86</v>
      </c>
      <c r="BH61" s="12" t="s">
        <v>111</v>
      </c>
      <c r="BI61" s="12" t="s">
        <v>304</v>
      </c>
      <c r="BJ61" s="12" t="s">
        <v>89</v>
      </c>
      <c r="BK61" s="13"/>
      <c r="BL61" s="13"/>
      <c r="BM61" s="12" t="s">
        <v>90</v>
      </c>
      <c r="BO61" s="60">
        <f>'LookUp Roll&amp;Packs'!$E$4</f>
        <v>185.22</v>
      </c>
      <c r="BQ61" s="60">
        <f>'LookUp Roll&amp;Packs'!$X$4</f>
        <v>18.22</v>
      </c>
      <c r="BR61" s="61"/>
      <c r="BS61" s="63"/>
      <c r="BT61" s="62">
        <f>AI61</f>
        <v>12</v>
      </c>
      <c r="BU61" s="60">
        <f>'LookUp Roll&amp;Packs'!$BI$4</f>
        <v>22.56</v>
      </c>
      <c r="BV61" s="60">
        <f>'LookUp Roll&amp;Packs'!$CO$4</f>
        <v>257.38</v>
      </c>
      <c r="BW61" s="60">
        <f>'LookUp Roll&amp;Packs'!$CQ$4</f>
        <v>137</v>
      </c>
      <c r="BX61" s="61"/>
      <c r="BY61" s="61">
        <v>1</v>
      </c>
      <c r="BZ61" s="62">
        <f>BU61</f>
        <v>22.56</v>
      </c>
      <c r="CA61" s="67">
        <f t="shared" si="46"/>
        <v>2.4800200000000001</v>
      </c>
      <c r="CB61" s="67"/>
      <c r="CC61" s="67">
        <f t="shared" si="47"/>
        <v>0</v>
      </c>
      <c r="CD61" s="67">
        <f>BW61/1000</f>
        <v>0.13700000000000001</v>
      </c>
      <c r="CE61" s="67">
        <f>BX61/1000</f>
        <v>0</v>
      </c>
      <c r="CF61" s="63">
        <f>(AI60*BQ60)/1000</f>
        <v>0.45550000000000002</v>
      </c>
      <c r="CG61" s="23" t="s">
        <v>600</v>
      </c>
      <c r="CH61" s="54" t="s">
        <v>564</v>
      </c>
      <c r="CI61" s="1" t="s">
        <v>564</v>
      </c>
      <c r="CJ61" s="1" t="s">
        <v>564</v>
      </c>
    </row>
    <row r="62" spans="1:88" ht="19.5" customHeight="1">
      <c r="A62" s="84">
        <v>10000630</v>
      </c>
      <c r="B62" s="84">
        <v>10000630</v>
      </c>
      <c r="C62" s="84"/>
      <c r="D62" s="10">
        <v>10000630</v>
      </c>
      <c r="E62" s="11" t="s">
        <v>61</v>
      </c>
      <c r="F62" s="12" t="s">
        <v>62</v>
      </c>
      <c r="G62" s="12" t="s">
        <v>138</v>
      </c>
      <c r="H62" s="12" t="s">
        <v>378</v>
      </c>
      <c r="I62" s="12" t="s">
        <v>379</v>
      </c>
      <c r="J62" s="13"/>
      <c r="K62" s="13"/>
      <c r="L62" s="12" t="s">
        <v>380</v>
      </c>
      <c r="M62" s="12" t="s">
        <v>67</v>
      </c>
      <c r="N62" s="12" t="s">
        <v>158</v>
      </c>
      <c r="O62" s="12" t="s">
        <v>159</v>
      </c>
      <c r="P62" s="14">
        <v>1</v>
      </c>
      <c r="Q62" s="12" t="s">
        <v>177</v>
      </c>
      <c r="R62" s="12" t="s">
        <v>71</v>
      </c>
      <c r="S62" s="12" t="s">
        <v>72</v>
      </c>
      <c r="T62" s="14">
        <v>8721284290520</v>
      </c>
      <c r="U62" s="13"/>
      <c r="V62" s="12" t="s">
        <v>381</v>
      </c>
      <c r="W62" s="12" t="s">
        <v>179</v>
      </c>
      <c r="X62" s="12" t="s">
        <v>75</v>
      </c>
      <c r="Y62" s="13"/>
      <c r="Z62" s="13"/>
      <c r="AA62" s="14">
        <v>9.6999999999999993</v>
      </c>
      <c r="AB62" s="13"/>
      <c r="AC62" s="12" t="s">
        <v>76</v>
      </c>
      <c r="AD62" s="14">
        <v>48059100</v>
      </c>
      <c r="AE62" s="12" t="s">
        <v>77</v>
      </c>
      <c r="AF62" s="13"/>
      <c r="AG62" s="12" t="s">
        <v>382</v>
      </c>
      <c r="AH62" s="14">
        <v>0.8</v>
      </c>
      <c r="AI62" s="14">
        <v>48</v>
      </c>
      <c r="AJ62" s="14">
        <v>1.2</v>
      </c>
      <c r="AK62" s="14">
        <v>1.2</v>
      </c>
      <c r="AL62" s="12" t="s">
        <v>79</v>
      </c>
      <c r="AM62" s="12" t="s">
        <v>62</v>
      </c>
      <c r="AN62" s="12" t="s">
        <v>182</v>
      </c>
      <c r="AO62" s="14">
        <v>464</v>
      </c>
      <c r="AP62" s="12" t="s">
        <v>81</v>
      </c>
      <c r="AQ62" s="12" t="s">
        <v>82</v>
      </c>
      <c r="AR62" s="12" t="s">
        <v>83</v>
      </c>
      <c r="AS62" s="12" t="s">
        <v>84</v>
      </c>
      <c r="AT62" s="12" t="s">
        <v>110</v>
      </c>
      <c r="AU62" s="13"/>
      <c r="AV62" s="15">
        <v>0.15</v>
      </c>
      <c r="AW62" s="15">
        <v>0.85</v>
      </c>
      <c r="AX62" s="13"/>
      <c r="AY62" s="15">
        <v>0.15</v>
      </c>
      <c r="AZ62" s="15">
        <v>0.3</v>
      </c>
      <c r="BA62" s="15">
        <v>0.55000000000000004</v>
      </c>
      <c r="BB62" s="14">
        <v>109</v>
      </c>
      <c r="BC62" s="14">
        <v>12</v>
      </c>
      <c r="BD62" s="14">
        <v>5.0999999999999996</v>
      </c>
      <c r="BE62" s="12" t="s">
        <v>85</v>
      </c>
      <c r="BF62" s="12" t="s">
        <v>85</v>
      </c>
      <c r="BG62" s="12" t="s">
        <v>147</v>
      </c>
      <c r="BH62" s="12" t="s">
        <v>111</v>
      </c>
      <c r="BI62" s="12" t="s">
        <v>304</v>
      </c>
      <c r="BJ62" s="12" t="s">
        <v>89</v>
      </c>
      <c r="BK62" s="13"/>
      <c r="BL62" s="13"/>
      <c r="BM62" s="12" t="s">
        <v>90</v>
      </c>
      <c r="BO62" s="60">
        <f>'LookUp Roll&amp;Packs'!$U$9</f>
        <v>43.19</v>
      </c>
      <c r="BR62" s="60">
        <f>'LookUp Roll&amp;Packs'!$V$9</f>
        <v>5.22</v>
      </c>
      <c r="BT62" s="62">
        <f t="shared" ref="BT62:BT79" si="48">AI62</f>
        <v>48</v>
      </c>
      <c r="BU62" s="60">
        <f>'LookUp Roll&amp;Packs'!$BI$9</f>
        <v>22.56</v>
      </c>
      <c r="BV62" s="60">
        <f>'LookUp Roll&amp;Packs'!$CO$9</f>
        <v>2796.7</v>
      </c>
      <c r="BW62" s="60">
        <f>'LookUp Roll&amp;Packs'!$CQ$9</f>
        <v>175.14</v>
      </c>
      <c r="BX62" s="61">
        <f>'LookUp Roll&amp;Packs'!$CP$9</f>
        <v>66.8</v>
      </c>
      <c r="BY62" s="61">
        <v>1</v>
      </c>
      <c r="BZ62" s="62">
        <f>BU62</f>
        <v>22.56</v>
      </c>
      <c r="CA62" s="67">
        <f t="shared" si="46"/>
        <v>4.8698199999999998</v>
      </c>
      <c r="CB62" s="67"/>
      <c r="CC62" s="67">
        <f t="shared" si="47"/>
        <v>0.25056</v>
      </c>
      <c r="CD62" s="67">
        <f t="shared" ref="CD62:CD70" si="49">BW62/1000</f>
        <v>0.17513999999999999</v>
      </c>
      <c r="CE62" s="67">
        <f t="shared" ref="CE62:CE70" si="50">BX62/1000</f>
        <v>6.6799999999999998E-2</v>
      </c>
      <c r="CH62" s="54" t="s">
        <v>564</v>
      </c>
      <c r="CI62" s="1" t="s">
        <v>564</v>
      </c>
      <c r="CJ62" s="1" t="s">
        <v>564</v>
      </c>
    </row>
    <row r="63" spans="1:88" ht="19.5" customHeight="1">
      <c r="A63" s="84">
        <v>10000634</v>
      </c>
      <c r="B63" s="84">
        <v>10000634</v>
      </c>
      <c r="C63" s="84"/>
      <c r="D63" s="10">
        <v>10000634</v>
      </c>
      <c r="E63" s="11" t="s">
        <v>61</v>
      </c>
      <c r="F63" s="12" t="s">
        <v>62</v>
      </c>
      <c r="G63" s="12" t="s">
        <v>138</v>
      </c>
      <c r="H63" s="12" t="s">
        <v>378</v>
      </c>
      <c r="I63" s="12" t="s">
        <v>383</v>
      </c>
      <c r="J63" s="13"/>
      <c r="K63" s="13"/>
      <c r="L63" s="12" t="s">
        <v>380</v>
      </c>
      <c r="M63" s="12" t="s">
        <v>67</v>
      </c>
      <c r="N63" s="12" t="s">
        <v>158</v>
      </c>
      <c r="O63" s="12" t="s">
        <v>159</v>
      </c>
      <c r="P63" s="14">
        <v>1</v>
      </c>
      <c r="Q63" s="12" t="s">
        <v>177</v>
      </c>
      <c r="R63" s="12" t="s">
        <v>71</v>
      </c>
      <c r="S63" s="12" t="s">
        <v>72</v>
      </c>
      <c r="T63" s="14">
        <v>8721284290537</v>
      </c>
      <c r="U63" s="13"/>
      <c r="V63" s="12" t="s">
        <v>381</v>
      </c>
      <c r="W63" s="12" t="s">
        <v>179</v>
      </c>
      <c r="X63" s="12" t="s">
        <v>75</v>
      </c>
      <c r="Y63" s="12" t="s">
        <v>96</v>
      </c>
      <c r="Z63" s="13"/>
      <c r="AA63" s="14">
        <v>9.6999999999999993</v>
      </c>
      <c r="AB63" s="13"/>
      <c r="AC63" s="12" t="s">
        <v>76</v>
      </c>
      <c r="AD63" s="14">
        <v>48043158</v>
      </c>
      <c r="AE63" s="12" t="s">
        <v>77</v>
      </c>
      <c r="AF63" s="13"/>
      <c r="AG63" s="12" t="s">
        <v>384</v>
      </c>
      <c r="AH63" s="14">
        <v>0.8</v>
      </c>
      <c r="AI63" s="14">
        <v>48</v>
      </c>
      <c r="AJ63" s="14">
        <v>1.2</v>
      </c>
      <c r="AK63" s="14">
        <v>1.2</v>
      </c>
      <c r="AL63" s="12" t="s">
        <v>79</v>
      </c>
      <c r="AM63" s="12" t="s">
        <v>62</v>
      </c>
      <c r="AN63" s="12" t="s">
        <v>182</v>
      </c>
      <c r="AO63" s="14">
        <v>464</v>
      </c>
      <c r="AP63" s="12" t="s">
        <v>81</v>
      </c>
      <c r="AQ63" s="12" t="s">
        <v>82</v>
      </c>
      <c r="AR63" s="12" t="s">
        <v>83</v>
      </c>
      <c r="AS63" s="12" t="s">
        <v>84</v>
      </c>
      <c r="AT63" s="12" t="s">
        <v>110</v>
      </c>
      <c r="AU63" s="13"/>
      <c r="AV63" s="15">
        <v>0.15</v>
      </c>
      <c r="AW63" s="15">
        <v>0.85</v>
      </c>
      <c r="AX63" s="13"/>
      <c r="AY63" s="15">
        <v>0.15</v>
      </c>
      <c r="AZ63" s="15">
        <v>0.3</v>
      </c>
      <c r="BA63" s="15">
        <v>0.55000000000000004</v>
      </c>
      <c r="BB63" s="14">
        <v>109</v>
      </c>
      <c r="BC63" s="14">
        <v>12</v>
      </c>
      <c r="BD63" s="14">
        <v>5.0999999999999996</v>
      </c>
      <c r="BE63" s="12" t="s">
        <v>85</v>
      </c>
      <c r="BF63" s="12" t="s">
        <v>85</v>
      </c>
      <c r="BG63" s="12" t="s">
        <v>147</v>
      </c>
      <c r="BH63" s="12" t="s">
        <v>111</v>
      </c>
      <c r="BI63" s="12" t="s">
        <v>304</v>
      </c>
      <c r="BJ63" s="12" t="s">
        <v>89</v>
      </c>
      <c r="BK63" s="13"/>
      <c r="BL63" s="13"/>
      <c r="BM63" s="12" t="s">
        <v>90</v>
      </c>
      <c r="BO63" s="60">
        <f>'LookUp Roll&amp;Packs'!$U$9</f>
        <v>43.19</v>
      </c>
      <c r="BR63" s="60">
        <f>'LookUp Roll&amp;Packs'!$V$9</f>
        <v>5.22</v>
      </c>
      <c r="BT63" s="62">
        <f t="shared" si="48"/>
        <v>48</v>
      </c>
      <c r="BU63" s="60">
        <f>'LookUp Roll&amp;Packs'!$BI$9</f>
        <v>22.56</v>
      </c>
      <c r="BV63" s="60">
        <f>'LookUp Roll&amp;Packs'!$CO$9</f>
        <v>2796.7</v>
      </c>
      <c r="BW63" s="60">
        <f>'LookUp Roll&amp;Packs'!$CQ$9</f>
        <v>175.14</v>
      </c>
      <c r="BX63" s="61">
        <f>'LookUp Roll&amp;Packs'!$CP$9</f>
        <v>66.8</v>
      </c>
      <c r="BY63" s="61">
        <v>1</v>
      </c>
      <c r="BZ63" s="62">
        <f t="shared" ref="BZ63:BZ69" si="51">BU63</f>
        <v>22.56</v>
      </c>
      <c r="CA63" s="67">
        <f t="shared" si="46"/>
        <v>4.8698199999999998</v>
      </c>
      <c r="CB63" s="67"/>
      <c r="CC63" s="67">
        <f t="shared" si="47"/>
        <v>0.25056</v>
      </c>
      <c r="CD63" s="67">
        <f t="shared" si="49"/>
        <v>0.17513999999999999</v>
      </c>
      <c r="CE63" s="67">
        <f t="shared" si="50"/>
        <v>6.6799999999999998E-2</v>
      </c>
      <c r="CH63" s="54" t="s">
        <v>564</v>
      </c>
      <c r="CI63" s="1" t="s">
        <v>564</v>
      </c>
      <c r="CJ63" s="1" t="s">
        <v>564</v>
      </c>
    </row>
    <row r="64" spans="1:88" ht="19.5" customHeight="1">
      <c r="A64" s="84">
        <v>10000636</v>
      </c>
      <c r="B64" s="84">
        <v>10000636</v>
      </c>
      <c r="C64" s="84"/>
      <c r="D64" s="10">
        <v>10000636</v>
      </c>
      <c r="E64" s="11" t="s">
        <v>61</v>
      </c>
      <c r="F64" s="12" t="s">
        <v>62</v>
      </c>
      <c r="G64" s="12" t="s">
        <v>138</v>
      </c>
      <c r="H64" s="12" t="s">
        <v>378</v>
      </c>
      <c r="I64" s="12" t="s">
        <v>386</v>
      </c>
      <c r="J64" s="13"/>
      <c r="K64" s="13"/>
      <c r="L64" s="12" t="s">
        <v>380</v>
      </c>
      <c r="M64" s="12" t="s">
        <v>67</v>
      </c>
      <c r="N64" s="12" t="s">
        <v>152</v>
      </c>
      <c r="O64" s="12" t="s">
        <v>153</v>
      </c>
      <c r="P64" s="14">
        <v>1</v>
      </c>
      <c r="Q64" s="12" t="s">
        <v>70</v>
      </c>
      <c r="R64" s="12" t="s">
        <v>93</v>
      </c>
      <c r="S64" s="12" t="s">
        <v>72</v>
      </c>
      <c r="T64" s="14">
        <v>8721284290544</v>
      </c>
      <c r="U64" s="13"/>
      <c r="V64" s="12" t="s">
        <v>381</v>
      </c>
      <c r="W64" s="12" t="s">
        <v>179</v>
      </c>
      <c r="X64" s="12" t="s">
        <v>75</v>
      </c>
      <c r="Y64" s="12" t="s">
        <v>93</v>
      </c>
      <c r="Z64" s="13"/>
      <c r="AA64" s="14">
        <v>11.4</v>
      </c>
      <c r="AB64" s="13"/>
      <c r="AC64" s="12" t="s">
        <v>76</v>
      </c>
      <c r="AD64" s="14">
        <v>48043158</v>
      </c>
      <c r="AE64" s="12" t="s">
        <v>77</v>
      </c>
      <c r="AF64" s="13"/>
      <c r="AG64" s="12" t="s">
        <v>387</v>
      </c>
      <c r="AH64" s="14">
        <v>0.8</v>
      </c>
      <c r="AI64" s="14">
        <v>48</v>
      </c>
      <c r="AJ64" s="14">
        <v>1.2</v>
      </c>
      <c r="AK64" s="14">
        <v>1.2</v>
      </c>
      <c r="AL64" s="12" t="s">
        <v>79</v>
      </c>
      <c r="AM64" s="12" t="s">
        <v>62</v>
      </c>
      <c r="AN64" s="12" t="s">
        <v>388</v>
      </c>
      <c r="AO64" s="14">
        <v>547</v>
      </c>
      <c r="AP64" s="12" t="s">
        <v>81</v>
      </c>
      <c r="AQ64" s="12" t="s">
        <v>82</v>
      </c>
      <c r="AR64" s="12" t="s">
        <v>83</v>
      </c>
      <c r="AS64" s="12" t="s">
        <v>84</v>
      </c>
      <c r="AT64" s="12" t="s">
        <v>62</v>
      </c>
      <c r="AU64" s="13"/>
      <c r="AV64" s="15">
        <v>0.85</v>
      </c>
      <c r="AW64" s="15">
        <v>0.15</v>
      </c>
      <c r="AX64" s="13"/>
      <c r="AY64" s="15">
        <v>0.85</v>
      </c>
      <c r="AZ64" s="14">
        <v>0</v>
      </c>
      <c r="BA64" s="15">
        <v>0.15</v>
      </c>
      <c r="BB64" s="14">
        <v>149</v>
      </c>
      <c r="BC64" s="14">
        <v>14</v>
      </c>
      <c r="BD64" s="14">
        <v>4.9000000000000004</v>
      </c>
      <c r="BE64" s="12" t="s">
        <v>85</v>
      </c>
      <c r="BF64" s="12" t="s">
        <v>85</v>
      </c>
      <c r="BG64" s="12" t="s">
        <v>147</v>
      </c>
      <c r="BH64" s="12" t="s">
        <v>87</v>
      </c>
      <c r="BI64" s="12" t="s">
        <v>389</v>
      </c>
      <c r="BJ64" s="12" t="s">
        <v>89</v>
      </c>
      <c r="BK64" s="13"/>
      <c r="BL64" s="13"/>
      <c r="BM64" s="12" t="s">
        <v>90</v>
      </c>
      <c r="BO64" s="60">
        <f>'LookUp Roll&amp;Packs'!$U$9</f>
        <v>43.19</v>
      </c>
      <c r="BR64" s="60">
        <f>'LookUp Roll&amp;Packs'!$V$9</f>
        <v>5.22</v>
      </c>
      <c r="BT64" s="62">
        <f t="shared" si="48"/>
        <v>48</v>
      </c>
      <c r="BU64" s="60">
        <f>'LookUp Roll&amp;Packs'!$BI$9</f>
        <v>22.56</v>
      </c>
      <c r="BV64" s="60">
        <f>'LookUp Roll&amp;Packs'!$CO$9</f>
        <v>2796.7</v>
      </c>
      <c r="BW64" s="60">
        <f>'LookUp Roll&amp;Packs'!$CQ$9</f>
        <v>175.14</v>
      </c>
      <c r="BX64" s="61">
        <f>'LookUp Roll&amp;Packs'!$CP$9</f>
        <v>66.8</v>
      </c>
      <c r="BY64" s="61">
        <v>1</v>
      </c>
      <c r="BZ64" s="62">
        <f t="shared" si="51"/>
        <v>22.56</v>
      </c>
      <c r="CA64" s="67">
        <f t="shared" si="46"/>
        <v>4.8698199999999998</v>
      </c>
      <c r="CB64" s="67"/>
      <c r="CC64" s="67">
        <f t="shared" si="47"/>
        <v>0.25056</v>
      </c>
      <c r="CD64" s="67">
        <f t="shared" si="49"/>
        <v>0.17513999999999999</v>
      </c>
      <c r="CE64" s="67">
        <f t="shared" si="50"/>
        <v>6.6799999999999998E-2</v>
      </c>
      <c r="CH64" s="54" t="s">
        <v>564</v>
      </c>
      <c r="CI64" s="1" t="s">
        <v>564</v>
      </c>
      <c r="CJ64" s="1" t="s">
        <v>564</v>
      </c>
    </row>
    <row r="65" spans="1:88" ht="19.5" customHeight="1">
      <c r="A65" s="84">
        <v>10000638</v>
      </c>
      <c r="B65" s="84">
        <v>10000638</v>
      </c>
      <c r="C65" s="84"/>
      <c r="D65" s="10">
        <v>10000638</v>
      </c>
      <c r="E65" s="11" t="s">
        <v>61</v>
      </c>
      <c r="F65" s="12" t="s">
        <v>62</v>
      </c>
      <c r="G65" s="12" t="s">
        <v>138</v>
      </c>
      <c r="H65" s="12" t="s">
        <v>378</v>
      </c>
      <c r="I65" s="12" t="s">
        <v>390</v>
      </c>
      <c r="J65" s="13"/>
      <c r="K65" s="13"/>
      <c r="L65" s="12" t="s">
        <v>380</v>
      </c>
      <c r="M65" s="12" t="s">
        <v>67</v>
      </c>
      <c r="N65" s="12" t="s">
        <v>68</v>
      </c>
      <c r="O65" s="12" t="s">
        <v>69</v>
      </c>
      <c r="P65" s="14">
        <v>1</v>
      </c>
      <c r="Q65" s="12" t="s">
        <v>70</v>
      </c>
      <c r="R65" s="12" t="s">
        <v>71</v>
      </c>
      <c r="S65" s="12" t="s">
        <v>72</v>
      </c>
      <c r="T65" s="14">
        <v>8721284290551</v>
      </c>
      <c r="U65" s="13"/>
      <c r="V65" s="12" t="s">
        <v>73</v>
      </c>
      <c r="W65" s="12" t="s">
        <v>74</v>
      </c>
      <c r="X65" s="12" t="s">
        <v>75</v>
      </c>
      <c r="Y65" s="13"/>
      <c r="Z65" s="13"/>
      <c r="AA65" s="14">
        <v>10</v>
      </c>
      <c r="AB65" s="13"/>
      <c r="AC65" s="12" t="s">
        <v>76</v>
      </c>
      <c r="AD65" s="14">
        <v>48043158</v>
      </c>
      <c r="AE65" s="12" t="s">
        <v>77</v>
      </c>
      <c r="AF65" s="13"/>
      <c r="AG65" s="12" t="s">
        <v>391</v>
      </c>
      <c r="AH65" s="14">
        <v>0.8</v>
      </c>
      <c r="AI65" s="14">
        <v>48</v>
      </c>
      <c r="AJ65" s="14">
        <v>1.2</v>
      </c>
      <c r="AK65" s="14">
        <v>1.2</v>
      </c>
      <c r="AL65" s="12" t="s">
        <v>79</v>
      </c>
      <c r="AM65" s="12" t="s">
        <v>62</v>
      </c>
      <c r="AN65" s="12" t="s">
        <v>80</v>
      </c>
      <c r="AO65" s="14">
        <v>480</v>
      </c>
      <c r="AP65" s="12" t="s">
        <v>81</v>
      </c>
      <c r="AQ65" s="12" t="s">
        <v>82</v>
      </c>
      <c r="AR65" s="12" t="s">
        <v>83</v>
      </c>
      <c r="AS65" s="12" t="s">
        <v>84</v>
      </c>
      <c r="AT65" s="12" t="s">
        <v>62</v>
      </c>
      <c r="AU65" s="13"/>
      <c r="AV65" s="15">
        <v>0.85</v>
      </c>
      <c r="AW65" s="15">
        <v>0.15</v>
      </c>
      <c r="AX65" s="13"/>
      <c r="AY65" s="15">
        <v>0.85</v>
      </c>
      <c r="AZ65" s="14">
        <v>0</v>
      </c>
      <c r="BA65" s="15">
        <v>0.15</v>
      </c>
      <c r="BB65" s="14">
        <v>129</v>
      </c>
      <c r="BC65" s="14">
        <v>12</v>
      </c>
      <c r="BD65" s="14">
        <v>5.8</v>
      </c>
      <c r="BE65" s="12" t="s">
        <v>85</v>
      </c>
      <c r="BF65" s="12" t="s">
        <v>85</v>
      </c>
      <c r="BG65" s="12" t="s">
        <v>147</v>
      </c>
      <c r="BH65" s="12" t="s">
        <v>87</v>
      </c>
      <c r="BI65" s="12" t="s">
        <v>389</v>
      </c>
      <c r="BJ65" s="12" t="s">
        <v>89</v>
      </c>
      <c r="BK65" s="13"/>
      <c r="BL65" s="13"/>
      <c r="BM65" s="12" t="s">
        <v>90</v>
      </c>
      <c r="BO65" s="60">
        <f>'LookUp Roll&amp;Packs'!$U$9</f>
        <v>43.19</v>
      </c>
      <c r="BR65" s="60">
        <f>'LookUp Roll&amp;Packs'!$V$9</f>
        <v>5.22</v>
      </c>
      <c r="BT65" s="62">
        <f t="shared" si="48"/>
        <v>48</v>
      </c>
      <c r="BU65" s="60">
        <f>'LookUp Roll&amp;Packs'!$BI$9</f>
        <v>22.56</v>
      </c>
      <c r="BV65" s="60">
        <f>'LookUp Roll&amp;Packs'!$CO$9</f>
        <v>2796.7</v>
      </c>
      <c r="BW65" s="60">
        <f>'LookUp Roll&amp;Packs'!$CQ$9</f>
        <v>175.14</v>
      </c>
      <c r="BX65" s="61">
        <f>'LookUp Roll&amp;Packs'!$CP$9</f>
        <v>66.8</v>
      </c>
      <c r="BY65" s="61">
        <v>1</v>
      </c>
      <c r="BZ65" s="62">
        <f t="shared" si="51"/>
        <v>22.56</v>
      </c>
      <c r="CA65" s="67">
        <f t="shared" si="46"/>
        <v>4.8698199999999998</v>
      </c>
      <c r="CB65" s="67"/>
      <c r="CC65" s="67">
        <f t="shared" si="47"/>
        <v>0.25056</v>
      </c>
      <c r="CD65" s="67">
        <f t="shared" si="49"/>
        <v>0.17513999999999999</v>
      </c>
      <c r="CE65" s="67">
        <f t="shared" si="50"/>
        <v>6.6799999999999998E-2</v>
      </c>
      <c r="CH65" s="54" t="s">
        <v>564</v>
      </c>
      <c r="CI65" s="1" t="s">
        <v>564</v>
      </c>
      <c r="CJ65" s="1" t="s">
        <v>564</v>
      </c>
    </row>
    <row r="66" spans="1:88" ht="19.5" customHeight="1">
      <c r="A66" s="84">
        <v>10000642</v>
      </c>
      <c r="B66" s="84">
        <v>10000642</v>
      </c>
      <c r="C66" s="84"/>
      <c r="D66" s="10">
        <v>10000642</v>
      </c>
      <c r="E66" s="11" t="s">
        <v>61</v>
      </c>
      <c r="F66" s="12" t="s">
        <v>62</v>
      </c>
      <c r="G66" s="12" t="s">
        <v>138</v>
      </c>
      <c r="H66" s="12" t="s">
        <v>378</v>
      </c>
      <c r="I66" s="12" t="s">
        <v>392</v>
      </c>
      <c r="J66" s="13"/>
      <c r="K66" s="13"/>
      <c r="L66" s="12" t="s">
        <v>380</v>
      </c>
      <c r="M66" s="12" t="s">
        <v>67</v>
      </c>
      <c r="N66" s="12" t="s">
        <v>68</v>
      </c>
      <c r="O66" s="12" t="s">
        <v>69</v>
      </c>
      <c r="P66" s="14">
        <v>1</v>
      </c>
      <c r="Q66" s="12" t="s">
        <v>70</v>
      </c>
      <c r="R66" s="12" t="s">
        <v>71</v>
      </c>
      <c r="S66" s="12" t="s">
        <v>72</v>
      </c>
      <c r="T66" s="14">
        <v>8721284290568</v>
      </c>
      <c r="U66" s="13"/>
      <c r="V66" s="12" t="s">
        <v>73</v>
      </c>
      <c r="W66" s="12" t="s">
        <v>74</v>
      </c>
      <c r="X66" s="12" t="s">
        <v>75</v>
      </c>
      <c r="Y66" s="12" t="s">
        <v>96</v>
      </c>
      <c r="Z66" s="13"/>
      <c r="AA66" s="14">
        <v>10</v>
      </c>
      <c r="AB66" s="13"/>
      <c r="AC66" s="12" t="s">
        <v>76</v>
      </c>
      <c r="AD66" s="14">
        <v>48043158</v>
      </c>
      <c r="AE66" s="12" t="s">
        <v>77</v>
      </c>
      <c r="AF66" s="13"/>
      <c r="AG66" s="12" t="s">
        <v>393</v>
      </c>
      <c r="AH66" s="14">
        <v>0.8</v>
      </c>
      <c r="AI66" s="14">
        <v>48</v>
      </c>
      <c r="AJ66" s="14">
        <v>1.2</v>
      </c>
      <c r="AK66" s="14">
        <v>1.2</v>
      </c>
      <c r="AL66" s="12" t="s">
        <v>79</v>
      </c>
      <c r="AM66" s="12" t="s">
        <v>62</v>
      </c>
      <c r="AN66" s="12" t="s">
        <v>80</v>
      </c>
      <c r="AO66" s="14">
        <v>480</v>
      </c>
      <c r="AP66" s="12" t="s">
        <v>81</v>
      </c>
      <c r="AQ66" s="12" t="s">
        <v>82</v>
      </c>
      <c r="AR66" s="12" t="s">
        <v>83</v>
      </c>
      <c r="AS66" s="12" t="s">
        <v>84</v>
      </c>
      <c r="AT66" s="12" t="s">
        <v>62</v>
      </c>
      <c r="AU66" s="13"/>
      <c r="AV66" s="15">
        <v>0.85</v>
      </c>
      <c r="AW66" s="15">
        <v>0.15</v>
      </c>
      <c r="AX66" s="13"/>
      <c r="AY66" s="15">
        <v>0.85</v>
      </c>
      <c r="AZ66" s="14">
        <v>0</v>
      </c>
      <c r="BA66" s="15">
        <v>0.15</v>
      </c>
      <c r="BB66" s="14">
        <v>129</v>
      </c>
      <c r="BC66" s="14">
        <v>12</v>
      </c>
      <c r="BD66" s="14">
        <v>5.8</v>
      </c>
      <c r="BE66" s="12" t="s">
        <v>85</v>
      </c>
      <c r="BF66" s="12" t="s">
        <v>85</v>
      </c>
      <c r="BG66" s="12" t="s">
        <v>147</v>
      </c>
      <c r="BH66" s="12" t="s">
        <v>87</v>
      </c>
      <c r="BI66" s="12" t="s">
        <v>389</v>
      </c>
      <c r="BJ66" s="12" t="s">
        <v>89</v>
      </c>
      <c r="BK66" s="13"/>
      <c r="BL66" s="13"/>
      <c r="BM66" s="12" t="s">
        <v>90</v>
      </c>
      <c r="BO66" s="60">
        <f>'LookUp Roll&amp;Packs'!$U$9</f>
        <v>43.19</v>
      </c>
      <c r="BR66" s="60">
        <f>'LookUp Roll&amp;Packs'!$V$9</f>
        <v>5.22</v>
      </c>
      <c r="BT66" s="62">
        <f t="shared" si="48"/>
        <v>48</v>
      </c>
      <c r="BU66" s="60">
        <f>'LookUp Roll&amp;Packs'!$BI$9</f>
        <v>22.56</v>
      </c>
      <c r="BV66" s="60">
        <f>'LookUp Roll&amp;Packs'!$CO$9</f>
        <v>2796.7</v>
      </c>
      <c r="BW66" s="60">
        <f>'LookUp Roll&amp;Packs'!$CQ$9</f>
        <v>175.14</v>
      </c>
      <c r="BX66" s="61">
        <f>'LookUp Roll&amp;Packs'!$CP$9</f>
        <v>66.8</v>
      </c>
      <c r="BY66" s="61">
        <v>1</v>
      </c>
      <c r="BZ66" s="62">
        <f t="shared" si="51"/>
        <v>22.56</v>
      </c>
      <c r="CA66" s="67">
        <f t="shared" si="46"/>
        <v>4.8698199999999998</v>
      </c>
      <c r="CB66" s="67"/>
      <c r="CC66" s="67">
        <f t="shared" si="47"/>
        <v>0.25056</v>
      </c>
      <c r="CD66" s="67">
        <f t="shared" si="49"/>
        <v>0.17513999999999999</v>
      </c>
      <c r="CE66" s="67">
        <f t="shared" si="50"/>
        <v>6.6799999999999998E-2</v>
      </c>
      <c r="CH66" s="54" t="s">
        <v>564</v>
      </c>
      <c r="CI66" s="1" t="s">
        <v>564</v>
      </c>
      <c r="CJ66" s="1" t="s">
        <v>564</v>
      </c>
    </row>
    <row r="67" spans="1:88" ht="19.5" customHeight="1">
      <c r="A67" s="84">
        <v>10000643</v>
      </c>
      <c r="B67" s="84">
        <v>10000643</v>
      </c>
      <c r="C67" s="84"/>
      <c r="D67" s="10">
        <v>10000643</v>
      </c>
      <c r="E67" s="11" t="s">
        <v>61</v>
      </c>
      <c r="F67" s="12" t="s">
        <v>62</v>
      </c>
      <c r="G67" s="12" t="s">
        <v>138</v>
      </c>
      <c r="H67" s="12" t="s">
        <v>378</v>
      </c>
      <c r="I67" s="12" t="s">
        <v>394</v>
      </c>
      <c r="J67" s="13"/>
      <c r="K67" s="13"/>
      <c r="L67" s="12" t="s">
        <v>380</v>
      </c>
      <c r="M67" s="12" t="s">
        <v>67</v>
      </c>
      <c r="N67" s="12" t="s">
        <v>68</v>
      </c>
      <c r="O67" s="12" t="s">
        <v>69</v>
      </c>
      <c r="P67" s="14">
        <v>1</v>
      </c>
      <c r="Q67" s="12" t="s">
        <v>177</v>
      </c>
      <c r="R67" s="12" t="s">
        <v>71</v>
      </c>
      <c r="S67" s="12" t="s">
        <v>72</v>
      </c>
      <c r="T67" s="14">
        <v>8721284290575</v>
      </c>
      <c r="U67" s="13"/>
      <c r="V67" s="12" t="s">
        <v>73</v>
      </c>
      <c r="W67" s="12" t="s">
        <v>74</v>
      </c>
      <c r="X67" s="12" t="s">
        <v>75</v>
      </c>
      <c r="Y67" s="13"/>
      <c r="Z67" s="13"/>
      <c r="AA67" s="14">
        <v>10</v>
      </c>
      <c r="AB67" s="13"/>
      <c r="AC67" s="12" t="s">
        <v>76</v>
      </c>
      <c r="AD67" s="14">
        <v>48043158</v>
      </c>
      <c r="AE67" s="12" t="s">
        <v>77</v>
      </c>
      <c r="AF67" s="13"/>
      <c r="AG67" s="12" t="s">
        <v>395</v>
      </c>
      <c r="AH67" s="14">
        <v>0.8</v>
      </c>
      <c r="AI67" s="14">
        <v>48</v>
      </c>
      <c r="AJ67" s="14">
        <v>1.2</v>
      </c>
      <c r="AK67" s="14">
        <v>1.2</v>
      </c>
      <c r="AL67" s="12" t="s">
        <v>79</v>
      </c>
      <c r="AM67" s="12" t="s">
        <v>62</v>
      </c>
      <c r="AN67" s="12" t="s">
        <v>80</v>
      </c>
      <c r="AO67" s="14">
        <v>480</v>
      </c>
      <c r="AP67" s="12" t="s">
        <v>81</v>
      </c>
      <c r="AQ67" s="12" t="s">
        <v>82</v>
      </c>
      <c r="AR67" s="12" t="s">
        <v>83</v>
      </c>
      <c r="AS67" s="12" t="s">
        <v>84</v>
      </c>
      <c r="AT67" s="12" t="s">
        <v>110</v>
      </c>
      <c r="AU67" s="13"/>
      <c r="AV67" s="15">
        <v>0.15</v>
      </c>
      <c r="AW67" s="15">
        <v>0.85</v>
      </c>
      <c r="AX67" s="13"/>
      <c r="AY67" s="15">
        <v>0.15</v>
      </c>
      <c r="AZ67" s="15">
        <v>0.3</v>
      </c>
      <c r="BA67" s="15">
        <v>0.55000000000000004</v>
      </c>
      <c r="BB67" s="14">
        <v>110</v>
      </c>
      <c r="BC67" s="14">
        <v>12</v>
      </c>
      <c r="BD67" s="14">
        <v>5.0999999999999996</v>
      </c>
      <c r="BE67" s="12" t="s">
        <v>85</v>
      </c>
      <c r="BF67" s="12" t="s">
        <v>85</v>
      </c>
      <c r="BG67" s="12" t="s">
        <v>147</v>
      </c>
      <c r="BH67" s="12" t="s">
        <v>111</v>
      </c>
      <c r="BI67" s="12" t="s">
        <v>389</v>
      </c>
      <c r="BJ67" s="12" t="s">
        <v>89</v>
      </c>
      <c r="BK67" s="13"/>
      <c r="BL67" s="13"/>
      <c r="BM67" s="12" t="s">
        <v>90</v>
      </c>
      <c r="BO67" s="60">
        <f>'LookUp Roll&amp;Packs'!$U$9</f>
        <v>43.19</v>
      </c>
      <c r="BR67" s="60">
        <f>'LookUp Roll&amp;Packs'!$V$9</f>
        <v>5.22</v>
      </c>
      <c r="BT67" s="62">
        <f t="shared" si="48"/>
        <v>48</v>
      </c>
      <c r="BU67" s="60">
        <f>'LookUp Roll&amp;Packs'!$BI$9</f>
        <v>22.56</v>
      </c>
      <c r="BV67" s="60">
        <f>'LookUp Roll&amp;Packs'!$CO$9</f>
        <v>2796.7</v>
      </c>
      <c r="BW67" s="60">
        <f>'LookUp Roll&amp;Packs'!$CQ$9</f>
        <v>175.14</v>
      </c>
      <c r="BX67" s="61">
        <f>'LookUp Roll&amp;Packs'!$CP$9</f>
        <v>66.8</v>
      </c>
      <c r="BY67" s="61">
        <v>1</v>
      </c>
      <c r="BZ67" s="62">
        <f t="shared" si="51"/>
        <v>22.56</v>
      </c>
      <c r="CA67" s="67">
        <f t="shared" si="46"/>
        <v>4.8698199999999998</v>
      </c>
      <c r="CB67" s="67"/>
      <c r="CC67" s="67">
        <f t="shared" si="47"/>
        <v>0.25056</v>
      </c>
      <c r="CD67" s="67">
        <f t="shared" si="49"/>
        <v>0.17513999999999999</v>
      </c>
      <c r="CE67" s="67">
        <f t="shared" si="50"/>
        <v>6.6799999999999998E-2</v>
      </c>
      <c r="CH67" s="54" t="s">
        <v>564</v>
      </c>
      <c r="CI67" s="1" t="s">
        <v>564</v>
      </c>
      <c r="CJ67" s="1" t="s">
        <v>564</v>
      </c>
    </row>
    <row r="68" spans="1:88" ht="19.5" customHeight="1">
      <c r="A68" s="84">
        <v>10000644</v>
      </c>
      <c r="B68" s="84">
        <v>10000644</v>
      </c>
      <c r="C68" s="84"/>
      <c r="D68" s="10">
        <v>10000644</v>
      </c>
      <c r="E68" s="11" t="s">
        <v>61</v>
      </c>
      <c r="F68" s="12" t="s">
        <v>62</v>
      </c>
      <c r="G68" s="12" t="s">
        <v>138</v>
      </c>
      <c r="H68" s="12" t="s">
        <v>378</v>
      </c>
      <c r="I68" s="12" t="s">
        <v>396</v>
      </c>
      <c r="J68" s="13"/>
      <c r="K68" s="13"/>
      <c r="L68" s="12" t="s">
        <v>380</v>
      </c>
      <c r="M68" s="12" t="s">
        <v>67</v>
      </c>
      <c r="N68" s="12" t="s">
        <v>68</v>
      </c>
      <c r="O68" s="12" t="s">
        <v>69</v>
      </c>
      <c r="P68" s="14">
        <v>1</v>
      </c>
      <c r="Q68" s="12" t="s">
        <v>177</v>
      </c>
      <c r="R68" s="12" t="s">
        <v>71</v>
      </c>
      <c r="S68" s="12" t="s">
        <v>72</v>
      </c>
      <c r="T68" s="14">
        <v>8721284290582</v>
      </c>
      <c r="U68" s="13"/>
      <c r="V68" s="12" t="s">
        <v>73</v>
      </c>
      <c r="W68" s="12" t="s">
        <v>74</v>
      </c>
      <c r="X68" s="12" t="s">
        <v>75</v>
      </c>
      <c r="Y68" s="12" t="s">
        <v>96</v>
      </c>
      <c r="Z68" s="13"/>
      <c r="AA68" s="14">
        <v>10</v>
      </c>
      <c r="AB68" s="13"/>
      <c r="AC68" s="12" t="s">
        <v>76</v>
      </c>
      <c r="AD68" s="14">
        <v>48043158</v>
      </c>
      <c r="AE68" s="12" t="s">
        <v>77</v>
      </c>
      <c r="AF68" s="13"/>
      <c r="AG68" s="12" t="s">
        <v>397</v>
      </c>
      <c r="AH68" s="14">
        <v>0.8</v>
      </c>
      <c r="AI68" s="14">
        <v>48</v>
      </c>
      <c r="AJ68" s="14">
        <v>1.2</v>
      </c>
      <c r="AK68" s="14">
        <v>1.2</v>
      </c>
      <c r="AL68" s="12" t="s">
        <v>79</v>
      </c>
      <c r="AM68" s="12" t="s">
        <v>62</v>
      </c>
      <c r="AN68" s="12" t="s">
        <v>80</v>
      </c>
      <c r="AO68" s="14">
        <v>480</v>
      </c>
      <c r="AP68" s="12" t="s">
        <v>81</v>
      </c>
      <c r="AQ68" s="12" t="s">
        <v>82</v>
      </c>
      <c r="AR68" s="12" t="s">
        <v>83</v>
      </c>
      <c r="AS68" s="12" t="s">
        <v>84</v>
      </c>
      <c r="AT68" s="12" t="s">
        <v>110</v>
      </c>
      <c r="AU68" s="13"/>
      <c r="AV68" s="15">
        <v>0.15</v>
      </c>
      <c r="AW68" s="15">
        <v>0.85</v>
      </c>
      <c r="AX68" s="13"/>
      <c r="AY68" s="15">
        <v>0.15</v>
      </c>
      <c r="AZ68" s="15">
        <v>0.3</v>
      </c>
      <c r="BA68" s="15">
        <v>0.55000000000000004</v>
      </c>
      <c r="BB68" s="14">
        <v>110</v>
      </c>
      <c r="BC68" s="14">
        <v>12</v>
      </c>
      <c r="BD68" s="14">
        <v>5.0999999999999996</v>
      </c>
      <c r="BE68" s="12" t="s">
        <v>85</v>
      </c>
      <c r="BF68" s="12" t="s">
        <v>85</v>
      </c>
      <c r="BG68" s="12" t="s">
        <v>147</v>
      </c>
      <c r="BH68" s="12" t="s">
        <v>111</v>
      </c>
      <c r="BI68" s="12" t="s">
        <v>389</v>
      </c>
      <c r="BJ68" s="12" t="s">
        <v>89</v>
      </c>
      <c r="BK68" s="13"/>
      <c r="BL68" s="13"/>
      <c r="BM68" s="12" t="s">
        <v>90</v>
      </c>
      <c r="BO68" s="60">
        <f>'LookUp Roll&amp;Packs'!$U$9</f>
        <v>43.19</v>
      </c>
      <c r="BR68" s="60">
        <f>'LookUp Roll&amp;Packs'!$V$9</f>
        <v>5.22</v>
      </c>
      <c r="BT68" s="62">
        <f t="shared" si="48"/>
        <v>48</v>
      </c>
      <c r="BU68" s="60">
        <f>'LookUp Roll&amp;Packs'!$BI$9</f>
        <v>22.56</v>
      </c>
      <c r="BV68" s="60">
        <f>'LookUp Roll&amp;Packs'!$CO$9</f>
        <v>2796.7</v>
      </c>
      <c r="BW68" s="60">
        <f>'LookUp Roll&amp;Packs'!$CQ$9</f>
        <v>175.14</v>
      </c>
      <c r="BX68" s="61">
        <f>'LookUp Roll&amp;Packs'!$CP$9</f>
        <v>66.8</v>
      </c>
      <c r="BY68" s="61">
        <v>1</v>
      </c>
      <c r="BZ68" s="62">
        <f t="shared" si="51"/>
        <v>22.56</v>
      </c>
      <c r="CA68" s="67">
        <f t="shared" si="46"/>
        <v>4.8698199999999998</v>
      </c>
      <c r="CB68" s="67"/>
      <c r="CC68" s="67">
        <f t="shared" si="47"/>
        <v>0.25056</v>
      </c>
      <c r="CD68" s="67">
        <f t="shared" si="49"/>
        <v>0.17513999999999999</v>
      </c>
      <c r="CE68" s="67">
        <f t="shared" si="50"/>
        <v>6.6799999999999998E-2</v>
      </c>
      <c r="CH68" s="54" t="s">
        <v>564</v>
      </c>
      <c r="CI68" s="1" t="s">
        <v>564</v>
      </c>
      <c r="CJ68" s="1" t="s">
        <v>564</v>
      </c>
    </row>
    <row r="69" spans="1:88" ht="20.100000000000001" customHeight="1">
      <c r="A69" s="84">
        <v>10000645</v>
      </c>
      <c r="B69" s="84">
        <v>10000645</v>
      </c>
      <c r="C69" s="84"/>
      <c r="D69" s="10">
        <v>10000645</v>
      </c>
      <c r="E69" s="11" t="s">
        <v>61</v>
      </c>
      <c r="F69" s="12" t="s">
        <v>62</v>
      </c>
      <c r="G69" s="12" t="s">
        <v>138</v>
      </c>
      <c r="H69" s="12" t="s">
        <v>378</v>
      </c>
      <c r="I69" s="12" t="s">
        <v>398</v>
      </c>
      <c r="J69" s="13"/>
      <c r="K69" s="13"/>
      <c r="L69" s="12" t="s">
        <v>380</v>
      </c>
      <c r="M69" s="12" t="s">
        <v>67</v>
      </c>
      <c r="N69" s="12" t="s">
        <v>68</v>
      </c>
      <c r="O69" s="12" t="s">
        <v>69</v>
      </c>
      <c r="P69" s="14">
        <v>1</v>
      </c>
      <c r="Q69" s="12" t="s">
        <v>142</v>
      </c>
      <c r="R69" s="12" t="s">
        <v>71</v>
      </c>
      <c r="S69" s="12" t="s">
        <v>72</v>
      </c>
      <c r="T69" s="14">
        <v>8721284290599</v>
      </c>
      <c r="U69" s="13"/>
      <c r="V69" s="12" t="s">
        <v>73</v>
      </c>
      <c r="W69" s="12" t="s">
        <v>74</v>
      </c>
      <c r="X69" s="12" t="s">
        <v>75</v>
      </c>
      <c r="Y69" s="13"/>
      <c r="Z69" s="13"/>
      <c r="AA69" s="14">
        <v>9.6999999999999993</v>
      </c>
      <c r="AB69" s="13"/>
      <c r="AC69" s="12" t="s">
        <v>76</v>
      </c>
      <c r="AD69" s="14">
        <v>48059100</v>
      </c>
      <c r="AE69" s="12" t="s">
        <v>77</v>
      </c>
      <c r="AF69" s="13"/>
      <c r="AG69" s="12" t="s">
        <v>399</v>
      </c>
      <c r="AH69" s="14">
        <v>0.8</v>
      </c>
      <c r="AI69" s="14">
        <v>48</v>
      </c>
      <c r="AJ69" s="14">
        <v>1.2</v>
      </c>
      <c r="AK69" s="14">
        <v>1.2</v>
      </c>
      <c r="AL69" s="12" t="s">
        <v>79</v>
      </c>
      <c r="AM69" s="12" t="s">
        <v>62</v>
      </c>
      <c r="AN69" s="12" t="s">
        <v>80</v>
      </c>
      <c r="AO69" s="14">
        <v>465</v>
      </c>
      <c r="AP69" s="12" t="s">
        <v>81</v>
      </c>
      <c r="AQ69" s="12" t="s">
        <v>146</v>
      </c>
      <c r="AR69" s="12" t="s">
        <v>83</v>
      </c>
      <c r="AS69" s="12" t="s">
        <v>84</v>
      </c>
      <c r="AT69" s="12" t="s">
        <v>110</v>
      </c>
      <c r="AU69" s="13"/>
      <c r="AV69" s="13"/>
      <c r="AW69" s="15">
        <v>1</v>
      </c>
      <c r="AX69" s="13"/>
      <c r="AY69" s="14">
        <v>0</v>
      </c>
      <c r="AZ69" s="14">
        <v>0</v>
      </c>
      <c r="BA69" s="15">
        <v>1</v>
      </c>
      <c r="BB69" s="14">
        <v>94</v>
      </c>
      <c r="BC69" s="14">
        <v>12</v>
      </c>
      <c r="BD69" s="14">
        <v>8.1</v>
      </c>
      <c r="BE69" s="12" t="s">
        <v>85</v>
      </c>
      <c r="BF69" s="12" t="s">
        <v>85</v>
      </c>
      <c r="BG69" s="12" t="s">
        <v>147</v>
      </c>
      <c r="BH69" s="12" t="s">
        <v>148</v>
      </c>
      <c r="BI69" s="12" t="s">
        <v>389</v>
      </c>
      <c r="BJ69" s="12" t="s">
        <v>89</v>
      </c>
      <c r="BK69" s="13"/>
      <c r="BL69" s="13"/>
      <c r="BM69" s="12" t="s">
        <v>90</v>
      </c>
      <c r="BO69" s="60">
        <f>'LookUp Roll&amp;Packs'!$U$9</f>
        <v>43.19</v>
      </c>
      <c r="BR69" s="60">
        <f>'LookUp Roll&amp;Packs'!$V$9</f>
        <v>5.22</v>
      </c>
      <c r="BT69" s="62">
        <f t="shared" si="48"/>
        <v>48</v>
      </c>
      <c r="BU69" s="60">
        <f>'LookUp Roll&amp;Packs'!$BI$9</f>
        <v>22.56</v>
      </c>
      <c r="BV69" s="60">
        <f>'LookUp Roll&amp;Packs'!$CO$9</f>
        <v>2796.7</v>
      </c>
      <c r="BW69" s="60">
        <f>'LookUp Roll&amp;Packs'!$CQ$9</f>
        <v>175.14</v>
      </c>
      <c r="BX69" s="61">
        <f>'LookUp Roll&amp;Packs'!$CP$9</f>
        <v>66.8</v>
      </c>
      <c r="BY69" s="61">
        <v>1</v>
      </c>
      <c r="BZ69" s="62">
        <f t="shared" si="51"/>
        <v>22.56</v>
      </c>
      <c r="CA69" s="67">
        <f t="shared" si="46"/>
        <v>4.8698199999999998</v>
      </c>
      <c r="CB69" s="67"/>
      <c r="CC69" s="67">
        <f t="shared" si="47"/>
        <v>0.25056</v>
      </c>
      <c r="CD69" s="67">
        <f t="shared" si="49"/>
        <v>0.17513999999999999</v>
      </c>
      <c r="CE69" s="67">
        <f t="shared" si="50"/>
        <v>6.6799999999999998E-2</v>
      </c>
      <c r="CH69" s="54" t="s">
        <v>564</v>
      </c>
      <c r="CI69" s="1" t="s">
        <v>564</v>
      </c>
      <c r="CJ69" s="1" t="s">
        <v>564</v>
      </c>
    </row>
    <row r="70" spans="1:88" ht="20.100000000000001" customHeight="1">
      <c r="A70" s="84">
        <v>10000647</v>
      </c>
      <c r="B70" s="84">
        <v>10000647</v>
      </c>
      <c r="C70" s="84"/>
      <c r="D70" s="10">
        <v>10000647</v>
      </c>
      <c r="E70" s="11" t="s">
        <v>61</v>
      </c>
      <c r="F70" s="12" t="s">
        <v>62</v>
      </c>
      <c r="G70" s="12" t="s">
        <v>138</v>
      </c>
      <c r="H70" s="12" t="s">
        <v>378</v>
      </c>
      <c r="I70" s="12" t="s">
        <v>400</v>
      </c>
      <c r="J70" s="13"/>
      <c r="K70" s="13"/>
      <c r="L70" s="12" t="s">
        <v>380</v>
      </c>
      <c r="M70" s="12" t="s">
        <v>67</v>
      </c>
      <c r="N70" s="12" t="s">
        <v>68</v>
      </c>
      <c r="O70" s="12" t="s">
        <v>69</v>
      </c>
      <c r="P70" s="14">
        <v>1</v>
      </c>
      <c r="Q70" s="12" t="s">
        <v>142</v>
      </c>
      <c r="R70" s="12" t="s">
        <v>71</v>
      </c>
      <c r="S70" s="12" t="s">
        <v>72</v>
      </c>
      <c r="T70" s="14">
        <v>8721284290605</v>
      </c>
      <c r="U70" s="13"/>
      <c r="V70" s="12" t="s">
        <v>73</v>
      </c>
      <c r="W70" s="12" t="s">
        <v>74</v>
      </c>
      <c r="X70" s="12" t="s">
        <v>75</v>
      </c>
      <c r="Y70" s="12" t="s">
        <v>96</v>
      </c>
      <c r="Z70" s="13"/>
      <c r="AA70" s="14">
        <v>9.6999999999999993</v>
      </c>
      <c r="AB70" s="13"/>
      <c r="AC70" s="12" t="s">
        <v>76</v>
      </c>
      <c r="AD70" s="14">
        <v>48043158</v>
      </c>
      <c r="AE70" s="12" t="s">
        <v>77</v>
      </c>
      <c r="AF70" s="13"/>
      <c r="AG70" s="12" t="s">
        <v>401</v>
      </c>
      <c r="AH70" s="14">
        <v>0.8</v>
      </c>
      <c r="AI70" s="14">
        <v>48</v>
      </c>
      <c r="AJ70" s="14">
        <v>1.2</v>
      </c>
      <c r="AK70" s="14">
        <v>1.2</v>
      </c>
      <c r="AL70" s="12" t="s">
        <v>79</v>
      </c>
      <c r="AM70" s="12" t="s">
        <v>62</v>
      </c>
      <c r="AN70" s="12" t="s">
        <v>80</v>
      </c>
      <c r="AO70" s="14">
        <v>465</v>
      </c>
      <c r="AP70" s="12" t="s">
        <v>81</v>
      </c>
      <c r="AQ70" s="12" t="s">
        <v>146</v>
      </c>
      <c r="AR70" s="12" t="s">
        <v>83</v>
      </c>
      <c r="AS70" s="12" t="s">
        <v>84</v>
      </c>
      <c r="AT70" s="12" t="s">
        <v>110</v>
      </c>
      <c r="AU70" s="13"/>
      <c r="AV70" s="13"/>
      <c r="AW70" s="15">
        <v>1</v>
      </c>
      <c r="AX70" s="13"/>
      <c r="AY70" s="14">
        <v>0</v>
      </c>
      <c r="AZ70" s="14">
        <v>0</v>
      </c>
      <c r="BA70" s="15">
        <v>1</v>
      </c>
      <c r="BB70" s="14">
        <v>94</v>
      </c>
      <c r="BC70" s="14">
        <v>12</v>
      </c>
      <c r="BD70" s="14">
        <v>8.1</v>
      </c>
      <c r="BE70" s="12" t="s">
        <v>85</v>
      </c>
      <c r="BF70" s="12" t="s">
        <v>85</v>
      </c>
      <c r="BG70" s="12" t="s">
        <v>147</v>
      </c>
      <c r="BH70" s="12" t="s">
        <v>148</v>
      </c>
      <c r="BI70" s="12" t="s">
        <v>389</v>
      </c>
      <c r="BJ70" s="12" t="s">
        <v>89</v>
      </c>
      <c r="BK70" s="13"/>
      <c r="BL70" s="13"/>
      <c r="BM70" s="12" t="s">
        <v>90</v>
      </c>
      <c r="BO70" s="60">
        <f>'LookUp Roll&amp;Packs'!$U$9</f>
        <v>43.19</v>
      </c>
      <c r="BR70" s="60">
        <f>'LookUp Roll&amp;Packs'!$V$9</f>
        <v>5.22</v>
      </c>
      <c r="BT70" s="62">
        <f t="shared" si="48"/>
        <v>48</v>
      </c>
      <c r="BU70" s="60">
        <f>'LookUp Roll&amp;Packs'!$BI$9</f>
        <v>22.56</v>
      </c>
      <c r="BV70" s="60">
        <f>'LookUp Roll&amp;Packs'!$CO$9</f>
        <v>2796.7</v>
      </c>
      <c r="BW70" s="60">
        <f>'LookUp Roll&amp;Packs'!$CQ$9</f>
        <v>175.14</v>
      </c>
      <c r="BX70" s="61">
        <f>'LookUp Roll&amp;Packs'!$CP$9</f>
        <v>66.8</v>
      </c>
      <c r="BY70" s="61">
        <v>1</v>
      </c>
      <c r="BZ70" s="62">
        <f>BU70</f>
        <v>22.56</v>
      </c>
      <c r="CA70" s="67">
        <f t="shared" si="46"/>
        <v>4.8698199999999998</v>
      </c>
      <c r="CB70" s="67"/>
      <c r="CC70" s="67">
        <f t="shared" si="47"/>
        <v>0.25056</v>
      </c>
      <c r="CD70" s="67">
        <f t="shared" si="49"/>
        <v>0.17513999999999999</v>
      </c>
      <c r="CE70" s="67">
        <f t="shared" si="50"/>
        <v>6.6799999999999998E-2</v>
      </c>
      <c r="CH70" s="54" t="s">
        <v>564</v>
      </c>
      <c r="CI70" s="1" t="s">
        <v>564</v>
      </c>
      <c r="CJ70" s="1" t="s">
        <v>564</v>
      </c>
    </row>
    <row r="71" spans="1:88" ht="20.100000000000001" customHeight="1">
      <c r="A71" s="84">
        <v>10000699</v>
      </c>
      <c r="B71" s="84">
        <v>10000699</v>
      </c>
      <c r="C71" s="84"/>
      <c r="D71" s="10">
        <v>10000699</v>
      </c>
      <c r="E71" s="11" t="s">
        <v>61</v>
      </c>
      <c r="F71" s="12" t="s">
        <v>62</v>
      </c>
      <c r="G71" s="12" t="s">
        <v>402</v>
      </c>
      <c r="H71" s="12" t="s">
        <v>403</v>
      </c>
      <c r="I71" s="12" t="s">
        <v>404</v>
      </c>
      <c r="J71" s="12" t="s">
        <v>405</v>
      </c>
      <c r="K71" s="12" t="s">
        <v>403</v>
      </c>
      <c r="L71" s="12" t="s">
        <v>406</v>
      </c>
      <c r="M71" s="12" t="s">
        <v>67</v>
      </c>
      <c r="N71" s="12" t="s">
        <v>68</v>
      </c>
      <c r="O71" s="12" t="s">
        <v>69</v>
      </c>
      <c r="P71" s="14">
        <v>1</v>
      </c>
      <c r="Q71" s="12" t="s">
        <v>70</v>
      </c>
      <c r="R71" s="12" t="s">
        <v>71</v>
      </c>
      <c r="S71" s="12" t="s">
        <v>72</v>
      </c>
      <c r="T71" s="14">
        <v>8721284290612</v>
      </c>
      <c r="U71" s="13"/>
      <c r="V71" s="12" t="s">
        <v>73</v>
      </c>
      <c r="W71" s="14">
        <v>360</v>
      </c>
      <c r="X71" s="14">
        <v>0.38</v>
      </c>
      <c r="Y71" s="12" t="s">
        <v>96</v>
      </c>
      <c r="Z71" s="13"/>
      <c r="AA71" s="14">
        <v>10</v>
      </c>
      <c r="AB71" s="13"/>
      <c r="AC71" s="12" t="s">
        <v>76</v>
      </c>
      <c r="AD71" s="14">
        <v>48043158</v>
      </c>
      <c r="AE71" s="13"/>
      <c r="AF71" s="13"/>
      <c r="AG71" s="12" t="s">
        <v>407</v>
      </c>
      <c r="AH71" s="14">
        <v>0.8</v>
      </c>
      <c r="AI71" s="14">
        <v>48</v>
      </c>
      <c r="AJ71" s="14">
        <v>1.2</v>
      </c>
      <c r="AK71" s="14">
        <v>1.2</v>
      </c>
      <c r="AL71" s="12" t="s">
        <v>79</v>
      </c>
      <c r="AM71" s="12" t="s">
        <v>62</v>
      </c>
      <c r="AN71" s="14">
        <v>505</v>
      </c>
      <c r="AO71" s="14">
        <v>480</v>
      </c>
      <c r="AP71" s="12" t="s">
        <v>81</v>
      </c>
      <c r="AQ71" s="12" t="s">
        <v>82</v>
      </c>
      <c r="AR71" s="12" t="s">
        <v>83</v>
      </c>
      <c r="AS71" s="12" t="s">
        <v>84</v>
      </c>
      <c r="AT71" s="12" t="s">
        <v>62</v>
      </c>
      <c r="AU71" s="13"/>
      <c r="AV71" s="15">
        <v>0.85</v>
      </c>
      <c r="AW71" s="14">
        <v>0.15</v>
      </c>
      <c r="AX71" s="13"/>
      <c r="AY71" s="14">
        <v>0.85</v>
      </c>
      <c r="AZ71" s="14">
        <v>0</v>
      </c>
      <c r="BA71" s="14">
        <v>0.15</v>
      </c>
      <c r="BB71" s="14">
        <v>129</v>
      </c>
      <c r="BC71" s="14">
        <v>12</v>
      </c>
      <c r="BD71" s="14">
        <v>5.8</v>
      </c>
      <c r="BE71" s="12" t="s">
        <v>85</v>
      </c>
      <c r="BF71" s="12" t="s">
        <v>85</v>
      </c>
      <c r="BG71" s="12" t="s">
        <v>408</v>
      </c>
      <c r="BH71" s="12" t="s">
        <v>87</v>
      </c>
      <c r="BI71" s="12" t="s">
        <v>389</v>
      </c>
      <c r="BJ71" s="12" t="s">
        <v>89</v>
      </c>
      <c r="BK71" s="13"/>
      <c r="BL71" s="13"/>
      <c r="BM71" s="12" t="s">
        <v>90</v>
      </c>
      <c r="BO71" s="60">
        <f>'LookUp Roll&amp;Packs'!$U$9</f>
        <v>43.19</v>
      </c>
      <c r="BR71" s="60">
        <f>'LookUp Roll&amp;Packs'!$V$9</f>
        <v>5.22</v>
      </c>
      <c r="BT71" s="62">
        <f t="shared" si="48"/>
        <v>48</v>
      </c>
      <c r="BU71" s="60">
        <f>'LookUp Roll&amp;Packs'!$BI$9</f>
        <v>22.56</v>
      </c>
      <c r="BV71" s="60">
        <f>'LookUp Roll&amp;Packs'!$CO$9</f>
        <v>2796.7</v>
      </c>
      <c r="BW71" s="60">
        <f>'LookUp Roll&amp;Packs'!$CQ$9</f>
        <v>175.14</v>
      </c>
      <c r="BX71" s="61">
        <f>'LookUp Roll&amp;Packs'!$CP$9</f>
        <v>66.8</v>
      </c>
      <c r="BY71" s="61">
        <v>1</v>
      </c>
      <c r="BZ71" s="62">
        <f>BU71</f>
        <v>22.56</v>
      </c>
      <c r="CA71" s="67">
        <f t="shared" si="46"/>
        <v>4.8698199999999998</v>
      </c>
      <c r="CB71" s="67"/>
      <c r="CC71" s="67">
        <f t="shared" si="47"/>
        <v>0.25056</v>
      </c>
      <c r="CH71" s="54" t="s">
        <v>564</v>
      </c>
      <c r="CI71" s="1" t="s">
        <v>564</v>
      </c>
      <c r="CJ71" s="1" t="s">
        <v>564</v>
      </c>
    </row>
    <row r="72" spans="1:88" ht="20.100000000000001" customHeight="1">
      <c r="A72" s="84">
        <v>10000700</v>
      </c>
      <c r="B72" s="84">
        <v>10000700</v>
      </c>
      <c r="C72" s="84"/>
      <c r="D72" s="10">
        <v>10000700</v>
      </c>
      <c r="E72" s="11" t="s">
        <v>61</v>
      </c>
      <c r="F72" s="12" t="s">
        <v>62</v>
      </c>
      <c r="G72" s="12" t="s">
        <v>402</v>
      </c>
      <c r="H72" s="12" t="s">
        <v>403</v>
      </c>
      <c r="I72" s="12" t="s">
        <v>409</v>
      </c>
      <c r="J72" s="12" t="s">
        <v>410</v>
      </c>
      <c r="K72" s="12" t="s">
        <v>403</v>
      </c>
      <c r="L72" s="12" t="s">
        <v>403</v>
      </c>
      <c r="M72" s="12" t="s">
        <v>67</v>
      </c>
      <c r="N72" s="12" t="s">
        <v>262</v>
      </c>
      <c r="O72" s="12" t="s">
        <v>263</v>
      </c>
      <c r="P72" s="14">
        <v>1</v>
      </c>
      <c r="Q72" s="12" t="s">
        <v>70</v>
      </c>
      <c r="R72" s="12" t="s">
        <v>71</v>
      </c>
      <c r="S72" s="12" t="s">
        <v>72</v>
      </c>
      <c r="T72" s="14">
        <v>8721284290629</v>
      </c>
      <c r="U72" s="13"/>
      <c r="V72" s="12" t="s">
        <v>274</v>
      </c>
      <c r="W72" s="14">
        <v>300</v>
      </c>
      <c r="X72" s="14">
        <v>0.38</v>
      </c>
      <c r="Y72" s="12" t="s">
        <v>96</v>
      </c>
      <c r="Z72" s="13"/>
      <c r="AA72" s="14">
        <v>10.5</v>
      </c>
      <c r="AB72" s="13"/>
      <c r="AC72" s="12" t="s">
        <v>76</v>
      </c>
      <c r="AD72" s="14">
        <v>48043158</v>
      </c>
      <c r="AE72" s="13"/>
      <c r="AF72" s="13"/>
      <c r="AG72" s="12" t="s">
        <v>411</v>
      </c>
      <c r="AH72" s="14">
        <v>0.8</v>
      </c>
      <c r="AI72" s="14">
        <v>48</v>
      </c>
      <c r="AJ72" s="14">
        <v>1.2</v>
      </c>
      <c r="AK72" s="14">
        <v>1.2</v>
      </c>
      <c r="AL72" s="12" t="s">
        <v>79</v>
      </c>
      <c r="AM72" s="12" t="s">
        <v>62</v>
      </c>
      <c r="AN72" s="14">
        <v>527</v>
      </c>
      <c r="AO72" s="14">
        <v>502</v>
      </c>
      <c r="AP72" s="12" t="s">
        <v>81</v>
      </c>
      <c r="AQ72" s="12" t="s">
        <v>82</v>
      </c>
      <c r="AR72" s="12" t="s">
        <v>83</v>
      </c>
      <c r="AS72" s="12" t="s">
        <v>84</v>
      </c>
      <c r="AT72" s="12" t="s">
        <v>62</v>
      </c>
      <c r="AU72" s="13"/>
      <c r="AV72" s="15">
        <v>0.85</v>
      </c>
      <c r="AW72" s="14">
        <v>0.15</v>
      </c>
      <c r="AX72" s="13"/>
      <c r="AY72" s="14">
        <v>0.85</v>
      </c>
      <c r="AZ72" s="14">
        <v>0</v>
      </c>
      <c r="BA72" s="14">
        <v>0.15</v>
      </c>
      <c r="BB72" s="14">
        <v>138</v>
      </c>
      <c r="BC72" s="14">
        <v>13</v>
      </c>
      <c r="BD72" s="14">
        <v>6.1</v>
      </c>
      <c r="BE72" s="12" t="s">
        <v>85</v>
      </c>
      <c r="BF72" s="12" t="s">
        <v>85</v>
      </c>
      <c r="BG72" s="12" t="s">
        <v>408</v>
      </c>
      <c r="BH72" s="12" t="s">
        <v>87</v>
      </c>
      <c r="BI72" s="12" t="s">
        <v>389</v>
      </c>
      <c r="BJ72" s="12" t="s">
        <v>89</v>
      </c>
      <c r="BK72" s="13"/>
      <c r="BL72" s="13"/>
      <c r="BM72" s="12" t="s">
        <v>90</v>
      </c>
      <c r="BO72" s="60">
        <f>'LookUp Roll&amp;Packs'!$U$9</f>
        <v>43.19</v>
      </c>
      <c r="BR72" s="60">
        <f>'LookUp Roll&amp;Packs'!$V$9</f>
        <v>5.22</v>
      </c>
      <c r="BT72" s="62">
        <f t="shared" si="48"/>
        <v>48</v>
      </c>
      <c r="BU72" s="60">
        <f>'LookUp Roll&amp;Packs'!$BI$9</f>
        <v>22.56</v>
      </c>
      <c r="BV72" s="60">
        <f>'LookUp Roll&amp;Packs'!$CO$9</f>
        <v>2796.7</v>
      </c>
      <c r="BW72" s="60">
        <f>'LookUp Roll&amp;Packs'!$CQ$9</f>
        <v>175.14</v>
      </c>
      <c r="BX72" s="61">
        <f>'LookUp Roll&amp;Packs'!$CP$9</f>
        <v>66.8</v>
      </c>
      <c r="BY72" s="61">
        <v>1</v>
      </c>
      <c r="BZ72" s="62">
        <f>BU72</f>
        <v>22.56</v>
      </c>
      <c r="CA72" s="67">
        <f t="shared" si="46"/>
        <v>4.8698199999999998</v>
      </c>
      <c r="CB72" s="67"/>
      <c r="CC72" s="67">
        <f t="shared" si="47"/>
        <v>0.25056</v>
      </c>
      <c r="CH72" s="54" t="s">
        <v>564</v>
      </c>
      <c r="CJ72" s="1" t="s">
        <v>564</v>
      </c>
    </row>
    <row r="73" spans="1:88" ht="20.100000000000001" customHeight="1">
      <c r="A73" s="84">
        <v>10001393</v>
      </c>
      <c r="B73" s="84">
        <v>10001393</v>
      </c>
      <c r="C73" s="84"/>
      <c r="D73" s="10">
        <v>10001393</v>
      </c>
      <c r="E73" s="11" t="s">
        <v>61</v>
      </c>
      <c r="F73" s="12" t="s">
        <v>62</v>
      </c>
      <c r="G73" s="12" t="s">
        <v>412</v>
      </c>
      <c r="H73" s="12" t="s">
        <v>420</v>
      </c>
      <c r="I73" s="12" t="s">
        <v>421</v>
      </c>
      <c r="J73" s="13"/>
      <c r="K73" s="13"/>
      <c r="L73" s="12" t="s">
        <v>422</v>
      </c>
      <c r="M73" s="12" t="s">
        <v>201</v>
      </c>
      <c r="N73" s="12" t="s">
        <v>68</v>
      </c>
      <c r="O73" s="12" t="s">
        <v>69</v>
      </c>
      <c r="P73" s="14">
        <v>0</v>
      </c>
      <c r="Q73" s="12" t="s">
        <v>70</v>
      </c>
      <c r="R73" s="12" t="s">
        <v>71</v>
      </c>
      <c r="S73" s="12" t="s">
        <v>72</v>
      </c>
      <c r="T73" s="14">
        <v>8721284290636</v>
      </c>
      <c r="U73" s="13"/>
      <c r="V73" s="12" t="s">
        <v>423</v>
      </c>
      <c r="W73" s="12" t="s">
        <v>424</v>
      </c>
      <c r="X73" s="12" t="s">
        <v>75</v>
      </c>
      <c r="Y73" s="13"/>
      <c r="Z73" s="13"/>
      <c r="AA73" s="14">
        <v>16.8</v>
      </c>
      <c r="AB73" s="12" t="s">
        <v>425</v>
      </c>
      <c r="AC73" s="13"/>
      <c r="AD73" s="14">
        <v>48043158</v>
      </c>
      <c r="AE73" s="12" t="s">
        <v>77</v>
      </c>
      <c r="AF73" s="13"/>
      <c r="AG73" s="12" t="s">
        <v>426</v>
      </c>
      <c r="AH73" s="14">
        <v>0.8</v>
      </c>
      <c r="AI73" s="14">
        <v>22</v>
      </c>
      <c r="AJ73" s="14">
        <v>1.2</v>
      </c>
      <c r="AK73" s="14">
        <v>0.92</v>
      </c>
      <c r="AL73" s="12" t="s">
        <v>107</v>
      </c>
      <c r="AM73" s="12" t="s">
        <v>62</v>
      </c>
      <c r="AN73" s="12" t="s">
        <v>427</v>
      </c>
      <c r="AO73" s="14">
        <v>370</v>
      </c>
      <c r="AP73" s="12" t="s">
        <v>81</v>
      </c>
      <c r="AQ73" s="12" t="s">
        <v>82</v>
      </c>
      <c r="AR73" s="12" t="s">
        <v>83</v>
      </c>
      <c r="AS73" s="12" t="s">
        <v>84</v>
      </c>
      <c r="AT73" s="12" t="s">
        <v>62</v>
      </c>
      <c r="AU73" s="13"/>
      <c r="AV73" s="15">
        <v>0.85</v>
      </c>
      <c r="AW73" s="15">
        <v>0.15</v>
      </c>
      <c r="AX73" s="13"/>
      <c r="AY73" s="15">
        <v>0.85</v>
      </c>
      <c r="AZ73" s="14">
        <v>0</v>
      </c>
      <c r="BA73" s="15">
        <v>0.15</v>
      </c>
      <c r="BB73" s="13"/>
      <c r="BC73" s="13"/>
      <c r="BD73" s="13"/>
      <c r="BE73" s="13"/>
      <c r="BF73" s="13"/>
      <c r="BG73" s="12" t="s">
        <v>417</v>
      </c>
      <c r="BH73" s="12" t="s">
        <v>428</v>
      </c>
      <c r="BI73" s="12" t="s">
        <v>419</v>
      </c>
      <c r="BJ73" s="12" t="s">
        <v>89</v>
      </c>
      <c r="BK73" s="13"/>
      <c r="BL73" s="13"/>
      <c r="BM73" s="12" t="s">
        <v>90</v>
      </c>
      <c r="BT73" s="62">
        <f t="shared" si="48"/>
        <v>22</v>
      </c>
      <c r="BX73" s="61"/>
      <c r="BY73" s="61">
        <v>1</v>
      </c>
      <c r="CF73" s="62"/>
      <c r="CG73" s="1"/>
      <c r="CI73" s="1" t="s">
        <v>564</v>
      </c>
      <c r="CJ73" s="1" t="s">
        <v>564</v>
      </c>
    </row>
    <row r="74" spans="1:88" ht="20.100000000000001" customHeight="1">
      <c r="A74" s="84">
        <v>10001397</v>
      </c>
      <c r="B74" s="84">
        <v>10001397</v>
      </c>
      <c r="C74" s="84"/>
      <c r="D74" s="10">
        <v>10001397</v>
      </c>
      <c r="E74" s="11" t="s">
        <v>61</v>
      </c>
      <c r="F74" s="12" t="s">
        <v>62</v>
      </c>
      <c r="G74" s="12" t="s">
        <v>138</v>
      </c>
      <c r="H74" s="12" t="s">
        <v>150</v>
      </c>
      <c r="I74" s="12" t="s">
        <v>429</v>
      </c>
      <c r="J74" s="13"/>
      <c r="K74" s="13"/>
      <c r="L74" s="12" t="s">
        <v>157</v>
      </c>
      <c r="M74" s="12" t="s">
        <v>67</v>
      </c>
      <c r="N74" s="12" t="s">
        <v>158</v>
      </c>
      <c r="O74" s="12" t="s">
        <v>159</v>
      </c>
      <c r="P74" s="14">
        <v>1</v>
      </c>
      <c r="Q74" s="12" t="s">
        <v>70</v>
      </c>
      <c r="R74" s="12" t="s">
        <v>71</v>
      </c>
      <c r="S74" s="12" t="s">
        <v>72</v>
      </c>
      <c r="T74" s="14">
        <v>8721284290643</v>
      </c>
      <c r="U74" s="13"/>
      <c r="V74" s="12" t="s">
        <v>352</v>
      </c>
      <c r="W74" s="12" t="s">
        <v>179</v>
      </c>
      <c r="X74" s="12" t="s">
        <v>162</v>
      </c>
      <c r="Y74" s="13"/>
      <c r="Z74" s="13"/>
      <c r="AA74" s="14">
        <v>19</v>
      </c>
      <c r="AB74" s="13"/>
      <c r="AC74" s="12" t="s">
        <v>76</v>
      </c>
      <c r="AD74" s="14">
        <v>48043158</v>
      </c>
      <c r="AE74" s="12" t="s">
        <v>77</v>
      </c>
      <c r="AF74" s="13"/>
      <c r="AG74" s="12" t="s">
        <v>430</v>
      </c>
      <c r="AH74" s="14">
        <v>0.8</v>
      </c>
      <c r="AI74" s="14">
        <v>24</v>
      </c>
      <c r="AJ74" s="14">
        <v>1.2</v>
      </c>
      <c r="AK74" s="14">
        <v>1.2</v>
      </c>
      <c r="AL74" s="12" t="s">
        <v>79</v>
      </c>
      <c r="AM74" s="12" t="s">
        <v>62</v>
      </c>
      <c r="AN74" s="12" t="s">
        <v>182</v>
      </c>
      <c r="AO74" s="14">
        <v>455</v>
      </c>
      <c r="AP74" s="12" t="s">
        <v>81</v>
      </c>
      <c r="AQ74" s="12" t="s">
        <v>82</v>
      </c>
      <c r="AR74" s="12" t="s">
        <v>83</v>
      </c>
      <c r="AS74" s="12" t="s">
        <v>84</v>
      </c>
      <c r="AT74" s="12" t="s">
        <v>62</v>
      </c>
      <c r="AU74" s="13"/>
      <c r="AV74" s="15">
        <v>0.85</v>
      </c>
      <c r="AW74" s="15">
        <v>0.15</v>
      </c>
      <c r="AX74" s="13"/>
      <c r="AY74" s="15">
        <v>0.85</v>
      </c>
      <c r="AZ74" s="14">
        <v>0</v>
      </c>
      <c r="BA74" s="15">
        <v>0.15</v>
      </c>
      <c r="BB74" s="14">
        <v>255</v>
      </c>
      <c r="BC74" s="14">
        <v>24</v>
      </c>
      <c r="BD74" s="14">
        <v>11.5</v>
      </c>
      <c r="BE74" s="13"/>
      <c r="BF74" s="13"/>
      <c r="BG74" s="12" t="s">
        <v>147</v>
      </c>
      <c r="BH74" s="12" t="s">
        <v>87</v>
      </c>
      <c r="BI74" s="12" t="s">
        <v>419</v>
      </c>
      <c r="BJ74" s="12" t="s">
        <v>89</v>
      </c>
      <c r="BK74" s="13"/>
      <c r="BL74" s="13"/>
      <c r="BM74" s="12" t="s">
        <v>90</v>
      </c>
      <c r="BO74" s="60">
        <f>'LookUp Roll&amp;Packs'!$U$7</f>
        <v>80.739999999999995</v>
      </c>
      <c r="BR74" s="60">
        <f>'LookUp Roll&amp;Packs'!$V$7</f>
        <v>5.22</v>
      </c>
      <c r="BT74" s="62">
        <f t="shared" si="48"/>
        <v>24</v>
      </c>
      <c r="BU74" s="60">
        <f>'LookUp Roll&amp;Packs'!$BI$7</f>
        <v>22.56</v>
      </c>
      <c r="BV74" s="60">
        <f>'LookUp Roll&amp;Packs'!$CO$7</f>
        <v>2796.7</v>
      </c>
      <c r="BW74" s="60">
        <f>'LookUp Roll&amp;Packs'!$CQ$7</f>
        <v>175.14</v>
      </c>
      <c r="BX74" s="61">
        <f>'LookUp Roll&amp;Packs'!$CP$7</f>
        <v>66.8</v>
      </c>
      <c r="BY74" s="61">
        <v>1</v>
      </c>
      <c r="BZ74" s="62">
        <f>BU74</f>
        <v>22.56</v>
      </c>
      <c r="CA74" s="67">
        <f>((AI74*BO74)+BV74)/1000</f>
        <v>4.7344599999999994</v>
      </c>
      <c r="CB74" s="67"/>
      <c r="CC74" s="67">
        <f>(AI74*BR74)/1000</f>
        <v>0.12528</v>
      </c>
      <c r="CD74" s="67">
        <f>BW74/1000</f>
        <v>0.17513999999999999</v>
      </c>
      <c r="CE74" s="67">
        <f t="shared" ref="CE74:CE76" si="52">BX74/1000</f>
        <v>6.6799999999999998E-2</v>
      </c>
      <c r="CH74" s="55" t="s">
        <v>564</v>
      </c>
      <c r="CI74" s="1" t="s">
        <v>564</v>
      </c>
      <c r="CJ74" s="1" t="s">
        <v>564</v>
      </c>
    </row>
    <row r="75" spans="1:88" ht="20.100000000000001" customHeight="1">
      <c r="A75" s="84">
        <v>10001398</v>
      </c>
      <c r="B75" s="84">
        <v>10001398</v>
      </c>
      <c r="C75" s="84"/>
      <c r="D75" s="10">
        <v>10001398</v>
      </c>
      <c r="E75" s="11" t="s">
        <v>61</v>
      </c>
      <c r="F75" s="12" t="s">
        <v>62</v>
      </c>
      <c r="G75" s="12" t="s">
        <v>138</v>
      </c>
      <c r="H75" s="12" t="s">
        <v>150</v>
      </c>
      <c r="I75" s="12" t="s">
        <v>431</v>
      </c>
      <c r="J75" s="13"/>
      <c r="K75" s="13"/>
      <c r="L75" s="12" t="s">
        <v>432</v>
      </c>
      <c r="M75" s="12" t="s">
        <v>67</v>
      </c>
      <c r="N75" s="12" t="s">
        <v>158</v>
      </c>
      <c r="O75" s="12" t="s">
        <v>159</v>
      </c>
      <c r="P75" s="14">
        <v>1</v>
      </c>
      <c r="Q75" s="12" t="s">
        <v>177</v>
      </c>
      <c r="R75" s="12" t="s">
        <v>71</v>
      </c>
      <c r="S75" s="12" t="s">
        <v>72</v>
      </c>
      <c r="T75" s="14">
        <v>8721284290650</v>
      </c>
      <c r="U75" s="13"/>
      <c r="V75" s="12" t="s">
        <v>352</v>
      </c>
      <c r="W75" s="12" t="s">
        <v>179</v>
      </c>
      <c r="X75" s="12" t="s">
        <v>162</v>
      </c>
      <c r="Y75" s="13"/>
      <c r="Z75" s="13"/>
      <c r="AA75" s="14">
        <v>19</v>
      </c>
      <c r="AB75" s="13"/>
      <c r="AC75" s="12" t="s">
        <v>76</v>
      </c>
      <c r="AD75" s="14">
        <v>48043158</v>
      </c>
      <c r="AE75" s="12" t="s">
        <v>77</v>
      </c>
      <c r="AF75" s="13"/>
      <c r="AG75" s="12" t="s">
        <v>433</v>
      </c>
      <c r="AH75" s="14">
        <v>0.8</v>
      </c>
      <c r="AI75" s="14">
        <v>24</v>
      </c>
      <c r="AJ75" s="14">
        <v>1.2</v>
      </c>
      <c r="AK75" s="14">
        <v>1.2</v>
      </c>
      <c r="AL75" s="12" t="s">
        <v>79</v>
      </c>
      <c r="AM75" s="12" t="s">
        <v>62</v>
      </c>
      <c r="AN75" s="12" t="s">
        <v>182</v>
      </c>
      <c r="AO75" s="14">
        <v>455</v>
      </c>
      <c r="AP75" s="12" t="s">
        <v>81</v>
      </c>
      <c r="AQ75" s="12" t="s">
        <v>82</v>
      </c>
      <c r="AR75" s="12" t="s">
        <v>83</v>
      </c>
      <c r="AS75" s="12" t="s">
        <v>84</v>
      </c>
      <c r="AT75" s="12" t="s">
        <v>110</v>
      </c>
      <c r="AU75" s="13"/>
      <c r="AV75" s="15">
        <v>0.15</v>
      </c>
      <c r="AW75" s="15">
        <v>0.85</v>
      </c>
      <c r="AX75" s="13"/>
      <c r="AY75" s="15">
        <v>0.15</v>
      </c>
      <c r="AZ75" s="15">
        <v>0.3</v>
      </c>
      <c r="BA75" s="15">
        <v>0.55000000000000004</v>
      </c>
      <c r="BB75" s="14">
        <v>224</v>
      </c>
      <c r="BC75" s="14">
        <v>24</v>
      </c>
      <c r="BD75" s="14">
        <v>13.5</v>
      </c>
      <c r="BE75" s="13"/>
      <c r="BF75" s="13"/>
      <c r="BG75" s="12" t="s">
        <v>147</v>
      </c>
      <c r="BH75" s="12" t="s">
        <v>87</v>
      </c>
      <c r="BI75" s="12" t="s">
        <v>419</v>
      </c>
      <c r="BJ75" s="12" t="s">
        <v>89</v>
      </c>
      <c r="BK75" s="13"/>
      <c r="BL75" s="13"/>
      <c r="BM75" s="12" t="s">
        <v>90</v>
      </c>
      <c r="BO75" s="60">
        <f>'LookUp Roll&amp;Packs'!$U$7</f>
        <v>80.739999999999995</v>
      </c>
      <c r="BR75" s="60">
        <f>'LookUp Roll&amp;Packs'!$V$7</f>
        <v>5.22</v>
      </c>
      <c r="BT75" s="62">
        <f t="shared" si="48"/>
        <v>24</v>
      </c>
      <c r="BU75" s="60">
        <f>'LookUp Roll&amp;Packs'!$BI$7</f>
        <v>22.56</v>
      </c>
      <c r="BV75" s="60">
        <f>'LookUp Roll&amp;Packs'!$CO$7</f>
        <v>2796.7</v>
      </c>
      <c r="BW75" s="60">
        <f>'LookUp Roll&amp;Packs'!$CQ$7</f>
        <v>175.14</v>
      </c>
      <c r="BX75" s="61">
        <f>'LookUp Roll&amp;Packs'!$CP$7</f>
        <v>66.8</v>
      </c>
      <c r="BY75" s="61">
        <v>1</v>
      </c>
      <c r="BZ75" s="62">
        <f>BU75</f>
        <v>22.56</v>
      </c>
      <c r="CA75" s="67">
        <f>((AI75*BO75)+BV75)/1000</f>
        <v>4.7344599999999994</v>
      </c>
      <c r="CB75" s="67"/>
      <c r="CC75" s="67">
        <f>(AI75*BR75)/1000</f>
        <v>0.12528</v>
      </c>
      <c r="CD75" s="67">
        <f>BW75/1000</f>
        <v>0.17513999999999999</v>
      </c>
      <c r="CE75" s="67">
        <f t="shared" si="52"/>
        <v>6.6799999999999998E-2</v>
      </c>
      <c r="CH75" s="55" t="s">
        <v>564</v>
      </c>
      <c r="CI75" s="1" t="s">
        <v>564</v>
      </c>
      <c r="CJ75" s="1" t="s">
        <v>564</v>
      </c>
    </row>
    <row r="76" spans="1:88" ht="20.100000000000001" customHeight="1">
      <c r="A76" s="84">
        <v>10001399</v>
      </c>
      <c r="B76" s="84">
        <v>10001399</v>
      </c>
      <c r="C76" s="84"/>
      <c r="D76" s="10">
        <v>10001399</v>
      </c>
      <c r="E76" s="11" t="s">
        <v>61</v>
      </c>
      <c r="F76" s="12" t="s">
        <v>62</v>
      </c>
      <c r="G76" s="12" t="s">
        <v>138</v>
      </c>
      <c r="H76" s="12" t="s">
        <v>150</v>
      </c>
      <c r="I76" s="12" t="s">
        <v>434</v>
      </c>
      <c r="J76" s="13"/>
      <c r="K76" s="13"/>
      <c r="L76" s="12" t="s">
        <v>432</v>
      </c>
      <c r="M76" s="12" t="s">
        <v>67</v>
      </c>
      <c r="N76" s="12" t="s">
        <v>68</v>
      </c>
      <c r="O76" s="12" t="s">
        <v>69</v>
      </c>
      <c r="P76" s="14">
        <v>1</v>
      </c>
      <c r="Q76" s="12" t="s">
        <v>142</v>
      </c>
      <c r="R76" s="12" t="s">
        <v>71</v>
      </c>
      <c r="S76" s="12" t="s">
        <v>72</v>
      </c>
      <c r="T76" s="14">
        <v>8721284290667</v>
      </c>
      <c r="U76" s="13"/>
      <c r="V76" s="12" t="s">
        <v>435</v>
      </c>
      <c r="W76" s="12" t="s">
        <v>74</v>
      </c>
      <c r="X76" s="12" t="s">
        <v>162</v>
      </c>
      <c r="Y76" s="13"/>
      <c r="Z76" s="13"/>
      <c r="AA76" s="14">
        <v>19.100000000000001</v>
      </c>
      <c r="AB76" s="13"/>
      <c r="AC76" s="12" t="s">
        <v>76</v>
      </c>
      <c r="AD76" s="14">
        <v>48043158</v>
      </c>
      <c r="AE76" s="12" t="s">
        <v>77</v>
      </c>
      <c r="AF76" s="13"/>
      <c r="AG76" s="12" t="s">
        <v>436</v>
      </c>
      <c r="AH76" s="14">
        <v>0.8</v>
      </c>
      <c r="AI76" s="14">
        <v>24</v>
      </c>
      <c r="AJ76" s="14">
        <v>1.2</v>
      </c>
      <c r="AK76" s="14">
        <v>1.2</v>
      </c>
      <c r="AL76" s="12" t="s">
        <v>79</v>
      </c>
      <c r="AM76" s="12" t="s">
        <v>62</v>
      </c>
      <c r="AN76" s="12" t="s">
        <v>281</v>
      </c>
      <c r="AO76" s="14">
        <v>458</v>
      </c>
      <c r="AP76" s="12" t="s">
        <v>81</v>
      </c>
      <c r="AQ76" s="12" t="s">
        <v>146</v>
      </c>
      <c r="AR76" s="12" t="s">
        <v>83</v>
      </c>
      <c r="AS76" s="12" t="s">
        <v>84</v>
      </c>
      <c r="AT76" s="12" t="s">
        <v>110</v>
      </c>
      <c r="AU76" s="13"/>
      <c r="AV76" s="13"/>
      <c r="AW76" s="15">
        <v>1</v>
      </c>
      <c r="AX76" s="13"/>
      <c r="AY76" s="14">
        <v>0</v>
      </c>
      <c r="AZ76" s="14">
        <v>0</v>
      </c>
      <c r="BA76" s="15">
        <v>1</v>
      </c>
      <c r="BB76" s="14">
        <v>187</v>
      </c>
      <c r="BC76" s="14">
        <v>24</v>
      </c>
      <c r="BD76" s="14">
        <v>16.100000000000001</v>
      </c>
      <c r="BE76" s="13"/>
      <c r="BF76" s="13"/>
      <c r="BG76" s="12" t="s">
        <v>147</v>
      </c>
      <c r="BH76" s="12" t="s">
        <v>148</v>
      </c>
      <c r="BI76" s="12" t="s">
        <v>419</v>
      </c>
      <c r="BJ76" s="12" t="s">
        <v>89</v>
      </c>
      <c r="BK76" s="13"/>
      <c r="BL76" s="13"/>
      <c r="BM76" s="12" t="s">
        <v>90</v>
      </c>
      <c r="BO76" s="60">
        <f>'LookUp Roll&amp;Packs'!$U$7</f>
        <v>80.739999999999995</v>
      </c>
      <c r="BR76" s="60">
        <f>'LookUp Roll&amp;Packs'!$V$7</f>
        <v>5.22</v>
      </c>
      <c r="BT76" s="62">
        <f t="shared" si="48"/>
        <v>24</v>
      </c>
      <c r="BU76" s="60">
        <f>'LookUp Roll&amp;Packs'!$BI$7</f>
        <v>22.56</v>
      </c>
      <c r="BV76" s="60">
        <f>'LookUp Roll&amp;Packs'!$CO$7</f>
        <v>2796.7</v>
      </c>
      <c r="BW76" s="60">
        <f>'LookUp Roll&amp;Packs'!$CQ$7</f>
        <v>175.14</v>
      </c>
      <c r="BX76" s="61">
        <f>'LookUp Roll&amp;Packs'!$CP$7</f>
        <v>66.8</v>
      </c>
      <c r="BY76" s="61">
        <v>1</v>
      </c>
      <c r="BZ76" s="62">
        <f>BU76</f>
        <v>22.56</v>
      </c>
      <c r="CA76" s="67">
        <f>((AI76*BO76)+BV76)/1000</f>
        <v>4.7344599999999994</v>
      </c>
      <c r="CB76" s="67"/>
      <c r="CC76" s="67">
        <f>(AI76*BR76)/1000</f>
        <v>0.12528</v>
      </c>
      <c r="CD76" s="67">
        <f>BW76/1000</f>
        <v>0.17513999999999999</v>
      </c>
      <c r="CE76" s="67">
        <f t="shared" si="52"/>
        <v>6.6799999999999998E-2</v>
      </c>
      <c r="CH76" s="55" t="s">
        <v>564</v>
      </c>
      <c r="CI76" s="1" t="s">
        <v>564</v>
      </c>
      <c r="CJ76" s="1" t="s">
        <v>564</v>
      </c>
    </row>
    <row r="77" spans="1:88" ht="20.100000000000001" customHeight="1">
      <c r="A77" s="84">
        <v>10001400</v>
      </c>
      <c r="B77" s="84">
        <v>10001400</v>
      </c>
      <c r="C77" s="84"/>
      <c r="D77" s="10">
        <v>10001400</v>
      </c>
      <c r="E77" s="11" t="s">
        <v>149</v>
      </c>
      <c r="F77" s="12" t="s">
        <v>62</v>
      </c>
      <c r="G77" s="12" t="s">
        <v>138</v>
      </c>
      <c r="H77" s="12" t="s">
        <v>150</v>
      </c>
      <c r="I77" s="12" t="s">
        <v>437</v>
      </c>
      <c r="J77" s="13"/>
      <c r="K77" s="13"/>
      <c r="L77" s="12" t="s">
        <v>438</v>
      </c>
      <c r="M77" s="12" t="s">
        <v>168</v>
      </c>
      <c r="N77" s="12" t="s">
        <v>158</v>
      </c>
      <c r="O77" s="12" t="s">
        <v>159</v>
      </c>
      <c r="P77" s="14">
        <v>1</v>
      </c>
      <c r="Q77" s="12" t="s">
        <v>177</v>
      </c>
      <c r="R77" s="12" t="s">
        <v>71</v>
      </c>
      <c r="S77" s="12" t="s">
        <v>72</v>
      </c>
      <c r="T77" s="13"/>
      <c r="U77" s="13"/>
      <c r="V77" s="12" t="s">
        <v>169</v>
      </c>
      <c r="W77" s="12" t="s">
        <v>170</v>
      </c>
      <c r="X77" s="12" t="s">
        <v>162</v>
      </c>
      <c r="Y77" s="13"/>
      <c r="Z77" s="13"/>
      <c r="AA77" s="14">
        <v>455</v>
      </c>
      <c r="AB77" s="13"/>
      <c r="AC77" s="12" t="s">
        <v>245</v>
      </c>
      <c r="AD77" s="14">
        <v>48043158</v>
      </c>
      <c r="AE77" s="12" t="s">
        <v>77</v>
      </c>
      <c r="AF77" s="12" t="s">
        <v>171</v>
      </c>
      <c r="AG77" s="12" t="s">
        <v>439</v>
      </c>
      <c r="AH77" s="14">
        <v>0.8</v>
      </c>
      <c r="AI77" s="14">
        <v>1</v>
      </c>
      <c r="AJ77" s="14">
        <v>1.2</v>
      </c>
      <c r="AK77" s="14">
        <v>1.2</v>
      </c>
      <c r="AL77" s="12" t="s">
        <v>79</v>
      </c>
      <c r="AM77" s="12" t="s">
        <v>62</v>
      </c>
      <c r="AN77" s="12" t="s">
        <v>173</v>
      </c>
      <c r="AO77" s="14">
        <v>455</v>
      </c>
      <c r="AP77" s="12" t="s">
        <v>81</v>
      </c>
      <c r="AQ77" s="12" t="s">
        <v>146</v>
      </c>
      <c r="AR77" s="12" t="s">
        <v>83</v>
      </c>
      <c r="AS77" s="12" t="s">
        <v>84</v>
      </c>
      <c r="AT77" s="12" t="s">
        <v>110</v>
      </c>
      <c r="AU77" s="13"/>
      <c r="AV77" s="15">
        <v>0.15</v>
      </c>
      <c r="AW77" s="15">
        <v>0.85</v>
      </c>
      <c r="AX77" s="13"/>
      <c r="AY77" s="15">
        <v>0.15</v>
      </c>
      <c r="AZ77" s="15">
        <v>0.3</v>
      </c>
      <c r="BA77" s="15">
        <v>0.55000000000000004</v>
      </c>
      <c r="BB77" s="12" t="s">
        <v>440</v>
      </c>
      <c r="BC77" s="14">
        <v>570</v>
      </c>
      <c r="BD77" s="14">
        <v>381.7</v>
      </c>
      <c r="BE77" s="13"/>
      <c r="BF77" s="13"/>
      <c r="BG77" s="12" t="s">
        <v>147</v>
      </c>
      <c r="BH77" s="12" t="s">
        <v>148</v>
      </c>
      <c r="BI77" s="12" t="s">
        <v>419</v>
      </c>
      <c r="BJ77" s="12" t="s">
        <v>89</v>
      </c>
      <c r="BK77" s="13"/>
      <c r="BL77" s="13"/>
      <c r="BM77" s="12" t="s">
        <v>90</v>
      </c>
      <c r="BT77" s="62">
        <f t="shared" si="48"/>
        <v>1</v>
      </c>
      <c r="BU77" s="60">
        <v>22.56</v>
      </c>
      <c r="BV77" s="60">
        <v>2796.7</v>
      </c>
      <c r="BW77" s="60" t="s">
        <v>561</v>
      </c>
      <c r="BX77" s="61" t="s">
        <v>561</v>
      </c>
      <c r="BY77" s="61">
        <v>1</v>
      </c>
      <c r="CI77" s="1" t="s">
        <v>564</v>
      </c>
      <c r="CJ77" s="1" t="s">
        <v>564</v>
      </c>
    </row>
    <row r="78" spans="1:88" ht="20.100000000000001" customHeight="1">
      <c r="A78" s="84">
        <v>10001408</v>
      </c>
      <c r="B78" s="84">
        <v>10001408</v>
      </c>
      <c r="C78" s="84"/>
      <c r="D78" s="10">
        <v>10001408</v>
      </c>
      <c r="E78" s="11" t="s">
        <v>61</v>
      </c>
      <c r="F78" s="12" t="s">
        <v>62</v>
      </c>
      <c r="G78" s="12" t="s">
        <v>63</v>
      </c>
      <c r="H78" s="12" t="s">
        <v>226</v>
      </c>
      <c r="I78" s="12" t="s">
        <v>441</v>
      </c>
      <c r="J78" s="13"/>
      <c r="K78" s="13"/>
      <c r="L78" s="12" t="s">
        <v>228</v>
      </c>
      <c r="M78" s="12" t="s">
        <v>99</v>
      </c>
      <c r="N78" s="12" t="s">
        <v>237</v>
      </c>
      <c r="O78" s="12" t="s">
        <v>238</v>
      </c>
      <c r="P78" s="14">
        <v>2</v>
      </c>
      <c r="Q78" s="12" t="s">
        <v>102</v>
      </c>
      <c r="R78" s="12" t="s">
        <v>71</v>
      </c>
      <c r="S78" s="12" t="s">
        <v>72</v>
      </c>
      <c r="T78" s="14">
        <v>8721284290674</v>
      </c>
      <c r="U78" s="13"/>
      <c r="V78" s="12" t="s">
        <v>442</v>
      </c>
      <c r="W78" s="12" t="s">
        <v>295</v>
      </c>
      <c r="X78" s="12" t="s">
        <v>233</v>
      </c>
      <c r="Y78" s="13"/>
      <c r="Z78" s="13"/>
      <c r="AA78" s="14">
        <v>15.1</v>
      </c>
      <c r="AB78" s="12" t="s">
        <v>443</v>
      </c>
      <c r="AC78" s="13"/>
      <c r="AD78" s="14">
        <v>48043158</v>
      </c>
      <c r="AE78" s="12" t="s">
        <v>77</v>
      </c>
      <c r="AF78" s="13"/>
      <c r="AG78" s="12" t="s">
        <v>444</v>
      </c>
      <c r="AH78" s="14">
        <v>0.8</v>
      </c>
      <c r="AI78" s="14">
        <v>20</v>
      </c>
      <c r="AJ78" s="14">
        <v>1.2</v>
      </c>
      <c r="AK78" s="14">
        <v>0.83</v>
      </c>
      <c r="AL78" s="12" t="s">
        <v>235</v>
      </c>
      <c r="AM78" s="12" t="s">
        <v>62</v>
      </c>
      <c r="AN78" s="12" t="s">
        <v>445</v>
      </c>
      <c r="AO78" s="14">
        <v>302</v>
      </c>
      <c r="AP78" s="12" t="s">
        <v>81</v>
      </c>
      <c r="AQ78" s="12" t="s">
        <v>82</v>
      </c>
      <c r="AR78" s="12" t="s">
        <v>83</v>
      </c>
      <c r="AS78" s="12" t="s">
        <v>84</v>
      </c>
      <c r="AT78" s="12" t="s">
        <v>62</v>
      </c>
      <c r="AU78" s="13"/>
      <c r="AV78" s="15">
        <v>0.85</v>
      </c>
      <c r="AW78" s="15">
        <v>0.15</v>
      </c>
      <c r="AX78" s="13"/>
      <c r="AY78" s="15">
        <v>0.85</v>
      </c>
      <c r="AZ78" s="14">
        <v>0</v>
      </c>
      <c r="BA78" s="15">
        <v>0.15</v>
      </c>
      <c r="BB78" s="13"/>
      <c r="BC78" s="13"/>
      <c r="BD78" s="13"/>
      <c r="BE78" s="13"/>
      <c r="BF78" s="13"/>
      <c r="BG78" s="13"/>
      <c r="BH78" s="13"/>
      <c r="BI78" s="12" t="s">
        <v>419</v>
      </c>
      <c r="BJ78" s="12" t="s">
        <v>89</v>
      </c>
      <c r="BK78" s="13"/>
      <c r="BL78" s="13"/>
      <c r="BM78" s="12" t="s">
        <v>90</v>
      </c>
      <c r="BO78" s="60">
        <f>'LookUp Roll&amp;Packs'!$W$5</f>
        <v>156.91999999999999</v>
      </c>
      <c r="BT78" s="62">
        <f t="shared" si="48"/>
        <v>20</v>
      </c>
      <c r="BU78" s="60">
        <f>'LookUp Roll&amp;Packs'!$CJ$5</f>
        <v>22.56</v>
      </c>
      <c r="BV78" s="60">
        <f>'LookUp Roll&amp;Packs'!$CO$5</f>
        <v>257.38</v>
      </c>
      <c r="BW78" s="60">
        <f>'LookUp Roll&amp;Packs'!$CQ$5</f>
        <v>135</v>
      </c>
      <c r="BX78" s="61"/>
      <c r="BY78" s="61">
        <v>1</v>
      </c>
      <c r="BZ78" s="62">
        <f t="shared" ref="BZ78" si="53">BU78</f>
        <v>22.56</v>
      </c>
      <c r="CA78" s="67">
        <f>((AI78*BO78)+BV78)/1000</f>
        <v>3.3957799999999998</v>
      </c>
      <c r="CB78" s="67"/>
      <c r="CC78" s="67">
        <f>(AI78*BR78)/1000</f>
        <v>0</v>
      </c>
      <c r="CD78" s="67">
        <f>BW78/1000</f>
        <v>0.13500000000000001</v>
      </c>
      <c r="CE78" s="67">
        <f t="shared" ref="CE78:CE79" si="54">BX78/1000</f>
        <v>0</v>
      </c>
      <c r="CH78" s="54" t="s">
        <v>564</v>
      </c>
      <c r="CI78" s="1" t="s">
        <v>564</v>
      </c>
      <c r="CJ78" s="1" t="s">
        <v>564</v>
      </c>
    </row>
    <row r="79" spans="1:88" ht="20.100000000000001" customHeight="1">
      <c r="A79" s="84">
        <v>10001410</v>
      </c>
      <c r="B79" s="84">
        <v>10001410</v>
      </c>
      <c r="C79" s="84"/>
      <c r="D79" s="10">
        <v>10001410</v>
      </c>
      <c r="E79" s="11" t="s">
        <v>61</v>
      </c>
      <c r="F79" s="12" t="s">
        <v>62</v>
      </c>
      <c r="G79" s="12" t="s">
        <v>63</v>
      </c>
      <c r="H79" s="12" t="s">
        <v>240</v>
      </c>
      <c r="I79" s="12" t="s">
        <v>446</v>
      </c>
      <c r="J79" s="13"/>
      <c r="K79" s="13"/>
      <c r="L79" s="12" t="s">
        <v>447</v>
      </c>
      <c r="M79" s="12" t="s">
        <v>67</v>
      </c>
      <c r="N79" s="12" t="s">
        <v>68</v>
      </c>
      <c r="O79" s="12" t="s">
        <v>69</v>
      </c>
      <c r="P79" s="14">
        <v>1</v>
      </c>
      <c r="Q79" s="12" t="s">
        <v>70</v>
      </c>
      <c r="R79" s="12" t="s">
        <v>71</v>
      </c>
      <c r="S79" s="12" t="s">
        <v>72</v>
      </c>
      <c r="T79" s="14">
        <v>8721284290681</v>
      </c>
      <c r="U79" s="13"/>
      <c r="V79" s="12" t="s">
        <v>435</v>
      </c>
      <c r="W79" s="12" t="s">
        <v>74</v>
      </c>
      <c r="X79" s="12" t="s">
        <v>162</v>
      </c>
      <c r="Y79" s="13"/>
      <c r="Z79" s="13"/>
      <c r="AA79" s="14">
        <v>20</v>
      </c>
      <c r="AB79" s="13"/>
      <c r="AC79" s="12" t="s">
        <v>76</v>
      </c>
      <c r="AD79" s="14">
        <v>48042110</v>
      </c>
      <c r="AE79" s="12" t="s">
        <v>77</v>
      </c>
      <c r="AF79" s="13"/>
      <c r="AG79" s="12" t="s">
        <v>448</v>
      </c>
      <c r="AH79" s="14">
        <v>0.8</v>
      </c>
      <c r="AI79" s="14">
        <v>24</v>
      </c>
      <c r="AJ79" s="14">
        <v>1.2</v>
      </c>
      <c r="AK79" s="14">
        <v>1.2</v>
      </c>
      <c r="AL79" s="12" t="s">
        <v>79</v>
      </c>
      <c r="AM79" s="12" t="s">
        <v>62</v>
      </c>
      <c r="AN79" s="12" t="s">
        <v>281</v>
      </c>
      <c r="AO79" s="14">
        <v>480</v>
      </c>
      <c r="AP79" s="12" t="s">
        <v>81</v>
      </c>
      <c r="AQ79" s="12" t="s">
        <v>82</v>
      </c>
      <c r="AR79" s="12" t="s">
        <v>83</v>
      </c>
      <c r="AS79" s="12" t="s">
        <v>84</v>
      </c>
      <c r="AT79" s="12" t="s">
        <v>62</v>
      </c>
      <c r="AU79" s="13"/>
      <c r="AV79" s="15">
        <v>0.85</v>
      </c>
      <c r="AW79" s="15">
        <v>0.15</v>
      </c>
      <c r="AX79" s="13"/>
      <c r="AY79" s="15">
        <v>0.85</v>
      </c>
      <c r="AZ79" s="14">
        <v>0</v>
      </c>
      <c r="BA79" s="15">
        <v>0.15</v>
      </c>
      <c r="BB79" s="14">
        <v>257</v>
      </c>
      <c r="BC79" s="14">
        <v>24</v>
      </c>
      <c r="BD79" s="14">
        <v>11.5</v>
      </c>
      <c r="BE79" s="13"/>
      <c r="BF79" s="13"/>
      <c r="BG79" s="13"/>
      <c r="BH79" s="13"/>
      <c r="BI79" s="12" t="s">
        <v>419</v>
      </c>
      <c r="BJ79" s="12" t="s">
        <v>89</v>
      </c>
      <c r="BK79" s="13"/>
      <c r="BL79" s="13"/>
      <c r="BM79" s="12" t="s">
        <v>90</v>
      </c>
      <c r="BO79" s="60">
        <f>'LookUp Roll&amp;Packs'!$U$7</f>
        <v>80.739999999999995</v>
      </c>
      <c r="BR79" s="60">
        <f>'LookUp Roll&amp;Packs'!$V$7</f>
        <v>5.22</v>
      </c>
      <c r="BT79" s="62">
        <f t="shared" si="48"/>
        <v>24</v>
      </c>
      <c r="BU79" s="60">
        <f>'LookUp Roll&amp;Packs'!$CJ$7</f>
        <v>22.56</v>
      </c>
      <c r="BV79" s="60">
        <f>'LookUp Roll&amp;Packs'!$CO$7</f>
        <v>2796.7</v>
      </c>
      <c r="BW79" s="60">
        <f>'LookUp Roll&amp;Packs'!$CQ$7</f>
        <v>175.14</v>
      </c>
      <c r="BX79" s="61">
        <f>'LookUp Roll&amp;Packs'!$CP$7</f>
        <v>66.8</v>
      </c>
      <c r="BY79" s="61">
        <v>1</v>
      </c>
      <c r="BZ79" s="62">
        <f>BU79</f>
        <v>22.56</v>
      </c>
      <c r="CA79" s="67">
        <f>((AI79*BO79)+BV79)/1000</f>
        <v>4.7344599999999994</v>
      </c>
      <c r="CB79" s="67"/>
      <c r="CC79" s="67">
        <f>(AI79*BR79)/1000</f>
        <v>0.12528</v>
      </c>
      <c r="CD79" s="67">
        <f>BW79/1000</f>
        <v>0.17513999999999999</v>
      </c>
      <c r="CE79" s="67">
        <f t="shared" si="54"/>
        <v>6.6799999999999998E-2</v>
      </c>
      <c r="CH79" s="55" t="s">
        <v>564</v>
      </c>
    </row>
    <row r="80" spans="1:88" ht="20.100000000000001" customHeight="1">
      <c r="A80" s="84">
        <v>10001416</v>
      </c>
      <c r="B80" s="84">
        <v>10001416</v>
      </c>
      <c r="C80" s="89" t="s">
        <v>449</v>
      </c>
      <c r="D80" s="90">
        <v>10001416</v>
      </c>
      <c r="E80" s="11"/>
      <c r="F80" s="12"/>
      <c r="G80" s="12"/>
      <c r="H80" s="12"/>
      <c r="I80" s="12"/>
      <c r="J80" s="13"/>
      <c r="K80" s="13"/>
      <c r="L80" s="13"/>
      <c r="M80" s="12"/>
      <c r="N80" s="12"/>
      <c r="O80" s="16"/>
      <c r="P80" s="14"/>
      <c r="Q80" s="12"/>
      <c r="R80" s="12"/>
      <c r="S80" s="12"/>
      <c r="T80" s="13"/>
      <c r="U80" s="13"/>
      <c r="V80" s="12"/>
      <c r="W80" s="14"/>
      <c r="X80" s="14"/>
      <c r="Y80" s="12"/>
      <c r="Z80" s="13"/>
      <c r="AA80" s="14"/>
      <c r="AB80" s="13"/>
      <c r="AC80" s="13"/>
      <c r="AD80" s="14"/>
      <c r="AE80" s="12"/>
      <c r="AF80" s="13"/>
      <c r="AG80" s="12" t="s">
        <v>449</v>
      </c>
      <c r="AH80" s="14"/>
      <c r="AI80" s="13"/>
      <c r="AJ80" s="14"/>
      <c r="AK80" s="14"/>
      <c r="AL80" s="12"/>
      <c r="AM80" s="12"/>
      <c r="AN80" s="14"/>
      <c r="AO80" s="14"/>
      <c r="AP80" s="12"/>
      <c r="AQ80" s="13"/>
      <c r="AR80" s="12"/>
      <c r="AS80" s="12"/>
      <c r="AT80" s="12"/>
      <c r="AU80" s="13"/>
      <c r="AV80" s="12"/>
      <c r="AW80" s="13"/>
      <c r="AX80" s="13"/>
      <c r="AY80" s="14"/>
      <c r="AZ80" s="14"/>
      <c r="BA80" s="14"/>
      <c r="BB80" s="14"/>
      <c r="BC80" s="14"/>
      <c r="BD80" s="14"/>
      <c r="BE80" s="13"/>
      <c r="BF80" s="13"/>
      <c r="BG80" s="13"/>
      <c r="BH80" s="13"/>
      <c r="BI80" s="12"/>
      <c r="BJ80" s="12"/>
      <c r="BK80" s="13"/>
      <c r="BL80" s="13"/>
      <c r="BM80" s="12"/>
      <c r="BX80" s="61"/>
      <c r="BY80" s="61"/>
      <c r="CF80" s="62"/>
      <c r="CG80" s="1"/>
      <c r="CJ80" s="1" t="s">
        <v>564</v>
      </c>
    </row>
    <row r="81" spans="1:88" ht="20.100000000000001" customHeight="1">
      <c r="A81" s="84">
        <v>10001417</v>
      </c>
      <c r="B81" s="84">
        <v>10001417</v>
      </c>
      <c r="C81" s="84"/>
      <c r="D81" s="10">
        <v>10001417</v>
      </c>
      <c r="E81" s="11" t="s">
        <v>149</v>
      </c>
      <c r="F81" s="12" t="s">
        <v>62</v>
      </c>
      <c r="G81" s="12" t="s">
        <v>138</v>
      </c>
      <c r="H81" s="12" t="s">
        <v>378</v>
      </c>
      <c r="I81" s="12" t="s">
        <v>390</v>
      </c>
      <c r="J81" s="13"/>
      <c r="K81" s="13"/>
      <c r="L81" s="12" t="s">
        <v>85</v>
      </c>
      <c r="M81" s="12" t="s">
        <v>67</v>
      </c>
      <c r="N81" s="12" t="s">
        <v>68</v>
      </c>
      <c r="O81" s="12" t="s">
        <v>69</v>
      </c>
      <c r="P81" s="14">
        <v>1</v>
      </c>
      <c r="Q81" s="12" t="s">
        <v>70</v>
      </c>
      <c r="R81" s="12" t="s">
        <v>71</v>
      </c>
      <c r="S81" s="12" t="s">
        <v>72</v>
      </c>
      <c r="T81" s="13"/>
      <c r="U81" s="13"/>
      <c r="V81" s="12" t="s">
        <v>73</v>
      </c>
      <c r="W81" s="12" t="s">
        <v>74</v>
      </c>
      <c r="X81" s="12" t="s">
        <v>75</v>
      </c>
      <c r="Y81" s="13"/>
      <c r="Z81" s="13"/>
      <c r="AA81" s="14">
        <v>10</v>
      </c>
      <c r="AB81" s="13"/>
      <c r="AC81" s="13"/>
      <c r="AD81" s="14">
        <v>48043158</v>
      </c>
      <c r="AE81" s="12" t="s">
        <v>77</v>
      </c>
      <c r="AF81" s="13"/>
      <c r="AG81" s="12" t="s">
        <v>449</v>
      </c>
      <c r="AH81" s="14">
        <v>0.8</v>
      </c>
      <c r="AI81" s="14">
        <v>46</v>
      </c>
      <c r="AJ81" s="14">
        <v>1.2</v>
      </c>
      <c r="AK81" s="14">
        <v>1.2</v>
      </c>
      <c r="AL81" s="12" t="s">
        <v>79</v>
      </c>
      <c r="AM81" s="12" t="s">
        <v>62</v>
      </c>
      <c r="AN81" s="12" t="s">
        <v>450</v>
      </c>
      <c r="AO81" s="14">
        <v>461</v>
      </c>
      <c r="AP81" s="12" t="s">
        <v>81</v>
      </c>
      <c r="AQ81" s="12" t="s">
        <v>82</v>
      </c>
      <c r="AR81" s="12" t="s">
        <v>83</v>
      </c>
      <c r="AS81" s="12" t="s">
        <v>84</v>
      </c>
      <c r="AT81" s="12" t="s">
        <v>62</v>
      </c>
      <c r="AU81" s="13"/>
      <c r="AV81" s="15">
        <v>0.85</v>
      </c>
      <c r="AW81" s="15">
        <v>0.15</v>
      </c>
      <c r="AX81" s="13"/>
      <c r="AY81" s="15">
        <v>0.85</v>
      </c>
      <c r="AZ81" s="14">
        <v>0</v>
      </c>
      <c r="BA81" s="15">
        <v>0.15</v>
      </c>
      <c r="BB81" s="14">
        <v>129</v>
      </c>
      <c r="BC81" s="14">
        <v>12</v>
      </c>
      <c r="BD81" s="14">
        <v>5.8</v>
      </c>
      <c r="BE81" s="13"/>
      <c r="BF81" s="13"/>
      <c r="BG81" s="12" t="s">
        <v>147</v>
      </c>
      <c r="BH81" s="12" t="s">
        <v>148</v>
      </c>
      <c r="BI81" s="12" t="s">
        <v>419</v>
      </c>
      <c r="BJ81" s="12" t="s">
        <v>89</v>
      </c>
      <c r="BK81" s="13"/>
      <c r="BL81" s="13"/>
      <c r="BM81" s="12" t="s">
        <v>90</v>
      </c>
      <c r="BT81" s="62">
        <f t="shared" ref="BT81:BT89" si="55">AI81</f>
        <v>46</v>
      </c>
      <c r="BX81" s="61"/>
      <c r="BY81" s="61">
        <v>1</v>
      </c>
      <c r="CF81" s="62"/>
      <c r="CG81" s="1"/>
      <c r="CI81" s="1" t="s">
        <v>564</v>
      </c>
      <c r="CJ81" s="1" t="s">
        <v>564</v>
      </c>
    </row>
    <row r="82" spans="1:88" ht="20.100000000000001" customHeight="1">
      <c r="A82" s="84">
        <v>10001452</v>
      </c>
      <c r="B82" s="84">
        <v>10001452</v>
      </c>
      <c r="C82" s="84"/>
      <c r="D82" s="10">
        <v>10001452</v>
      </c>
      <c r="E82" s="11" t="s">
        <v>61</v>
      </c>
      <c r="F82" s="12" t="s">
        <v>62</v>
      </c>
      <c r="G82" s="12" t="s">
        <v>112</v>
      </c>
      <c r="H82" s="12" t="s">
        <v>190</v>
      </c>
      <c r="I82" s="12" t="s">
        <v>451</v>
      </c>
      <c r="J82" s="12" t="s">
        <v>452</v>
      </c>
      <c r="K82" s="12" t="s">
        <v>453</v>
      </c>
      <c r="L82" s="12" t="s">
        <v>193</v>
      </c>
      <c r="M82" s="12" t="s">
        <v>99</v>
      </c>
      <c r="N82" s="12" t="s">
        <v>216</v>
      </c>
      <c r="O82" s="12" t="s">
        <v>217</v>
      </c>
      <c r="P82" s="14">
        <v>1</v>
      </c>
      <c r="Q82" s="12" t="s">
        <v>70</v>
      </c>
      <c r="R82" s="12" t="s">
        <v>93</v>
      </c>
      <c r="S82" s="12" t="s">
        <v>72</v>
      </c>
      <c r="T82" s="14">
        <v>8721284290698</v>
      </c>
      <c r="U82" s="13"/>
      <c r="V82" s="12" t="s">
        <v>454</v>
      </c>
      <c r="W82" s="14">
        <v>137</v>
      </c>
      <c r="X82" s="14">
        <v>0.3</v>
      </c>
      <c r="Y82" s="13"/>
      <c r="Z82" s="13"/>
      <c r="AA82" s="14">
        <v>0.9</v>
      </c>
      <c r="AB82" s="12" t="s">
        <v>455</v>
      </c>
      <c r="AC82" s="13"/>
      <c r="AD82" s="14">
        <v>48043951</v>
      </c>
      <c r="AE82" s="13"/>
      <c r="AF82" s="13"/>
      <c r="AG82" s="12" t="s">
        <v>456</v>
      </c>
      <c r="AH82" s="14">
        <v>0.8</v>
      </c>
      <c r="AI82" s="14">
        <v>60</v>
      </c>
      <c r="AJ82" s="14">
        <v>1.2</v>
      </c>
      <c r="AK82" s="14">
        <v>0.46</v>
      </c>
      <c r="AL82" s="12" t="s">
        <v>221</v>
      </c>
      <c r="AM82" s="12" t="s">
        <v>62</v>
      </c>
      <c r="AN82" s="14">
        <v>80</v>
      </c>
      <c r="AO82" s="14">
        <v>55</v>
      </c>
      <c r="AP82" s="12" t="s">
        <v>81</v>
      </c>
      <c r="AQ82" s="12" t="s">
        <v>82</v>
      </c>
      <c r="AR82" s="12" t="s">
        <v>83</v>
      </c>
      <c r="AS82" s="12" t="s">
        <v>84</v>
      </c>
      <c r="AT82" s="12" t="s">
        <v>62</v>
      </c>
      <c r="AU82" s="13"/>
      <c r="AV82" s="15">
        <v>0.85</v>
      </c>
      <c r="AW82" s="14">
        <v>0.15</v>
      </c>
      <c r="AX82" s="13"/>
      <c r="AY82" s="14">
        <v>0.85</v>
      </c>
      <c r="AZ82" s="14">
        <v>0</v>
      </c>
      <c r="BA82" s="14">
        <v>0.15</v>
      </c>
      <c r="BB82" s="14">
        <v>0</v>
      </c>
      <c r="BC82" s="14">
        <v>0</v>
      </c>
      <c r="BD82" s="14">
        <v>0</v>
      </c>
      <c r="BE82" s="13"/>
      <c r="BF82" s="13"/>
      <c r="BG82" s="12" t="s">
        <v>125</v>
      </c>
      <c r="BH82" s="12" t="s">
        <v>87</v>
      </c>
      <c r="BI82" s="12" t="s">
        <v>419</v>
      </c>
      <c r="BJ82" s="12" t="s">
        <v>89</v>
      </c>
      <c r="BK82" s="13"/>
      <c r="BL82" s="13"/>
      <c r="BM82" s="12" t="s">
        <v>457</v>
      </c>
      <c r="BO82" s="60">
        <f>'LookUp Roll&amp;Packs'!$CO$12</f>
        <v>514.76</v>
      </c>
      <c r="BT82" s="62">
        <f t="shared" si="55"/>
        <v>60</v>
      </c>
      <c r="BU82" s="60">
        <f>'LookUp Roll&amp;Packs'!$CJ$12</f>
        <v>22.56</v>
      </c>
      <c r="BV82" s="60">
        <f>'LookUp Roll&amp;Packs'!$CO$12</f>
        <v>514.76</v>
      </c>
      <c r="BW82" s="60">
        <f>'LookUp Roll&amp;Packs'!CQ92</f>
        <v>0</v>
      </c>
      <c r="BX82" s="61"/>
      <c r="BY82" s="61">
        <v>1</v>
      </c>
      <c r="CH82" s="54" t="s">
        <v>564</v>
      </c>
      <c r="CI82" s="1" t="s">
        <v>564</v>
      </c>
      <c r="CJ82" s="1" t="s">
        <v>564</v>
      </c>
    </row>
    <row r="83" spans="1:88" ht="20.100000000000001" customHeight="1">
      <c r="A83" s="84">
        <v>10001453</v>
      </c>
      <c r="B83" s="84">
        <v>10001453</v>
      </c>
      <c r="C83" s="84"/>
      <c r="D83" s="10">
        <v>10001453</v>
      </c>
      <c r="E83" s="11" t="s">
        <v>61</v>
      </c>
      <c r="F83" s="12" t="s">
        <v>62</v>
      </c>
      <c r="G83" s="12" t="s">
        <v>112</v>
      </c>
      <c r="H83" s="12" t="s">
        <v>190</v>
      </c>
      <c r="I83" s="12" t="s">
        <v>458</v>
      </c>
      <c r="J83" s="12" t="s">
        <v>459</v>
      </c>
      <c r="K83" s="12" t="s">
        <v>193</v>
      </c>
      <c r="L83" s="12" t="s">
        <v>194</v>
      </c>
      <c r="M83" s="12" t="s">
        <v>99</v>
      </c>
      <c r="N83" s="12" t="s">
        <v>216</v>
      </c>
      <c r="O83" s="12" t="s">
        <v>217</v>
      </c>
      <c r="P83" s="14">
        <v>1</v>
      </c>
      <c r="Q83" s="12" t="s">
        <v>70</v>
      </c>
      <c r="R83" s="12" t="s">
        <v>93</v>
      </c>
      <c r="S83" s="12" t="s">
        <v>72</v>
      </c>
      <c r="T83" s="14">
        <v>8721284290704</v>
      </c>
      <c r="U83" s="13"/>
      <c r="V83" s="12" t="s">
        <v>460</v>
      </c>
      <c r="W83" s="14">
        <v>268</v>
      </c>
      <c r="X83" s="14">
        <v>0.3</v>
      </c>
      <c r="Y83" s="13"/>
      <c r="Z83" s="13"/>
      <c r="AA83" s="14">
        <v>1.8</v>
      </c>
      <c r="AB83" s="12" t="s">
        <v>461</v>
      </c>
      <c r="AC83" s="13"/>
      <c r="AD83" s="14">
        <v>48043951</v>
      </c>
      <c r="AE83" s="13"/>
      <c r="AF83" s="13"/>
      <c r="AG83" s="12" t="s">
        <v>462</v>
      </c>
      <c r="AH83" s="14">
        <v>0.8</v>
      </c>
      <c r="AI83" s="14">
        <v>30</v>
      </c>
      <c r="AJ83" s="14">
        <v>1.2</v>
      </c>
      <c r="AK83" s="14">
        <v>0.46</v>
      </c>
      <c r="AL83" s="12" t="s">
        <v>221</v>
      </c>
      <c r="AM83" s="12" t="s">
        <v>62</v>
      </c>
      <c r="AN83" s="14">
        <v>78</v>
      </c>
      <c r="AO83" s="14">
        <v>53</v>
      </c>
      <c r="AP83" s="12" t="s">
        <v>81</v>
      </c>
      <c r="AQ83" s="12" t="s">
        <v>82</v>
      </c>
      <c r="AR83" s="12" t="s">
        <v>83</v>
      </c>
      <c r="AS83" s="12" t="s">
        <v>84</v>
      </c>
      <c r="AT83" s="12" t="s">
        <v>62</v>
      </c>
      <c r="AU83" s="13"/>
      <c r="AV83" s="15">
        <v>0.85</v>
      </c>
      <c r="AW83" s="14">
        <v>0.15</v>
      </c>
      <c r="AX83" s="13"/>
      <c r="AY83" s="14">
        <v>0.85</v>
      </c>
      <c r="AZ83" s="14">
        <v>0</v>
      </c>
      <c r="BA83" s="14">
        <v>0.15</v>
      </c>
      <c r="BB83" s="14">
        <v>0</v>
      </c>
      <c r="BC83" s="14">
        <v>0</v>
      </c>
      <c r="BD83" s="14">
        <v>0</v>
      </c>
      <c r="BE83" s="13"/>
      <c r="BF83" s="13"/>
      <c r="BG83" s="12" t="s">
        <v>125</v>
      </c>
      <c r="BH83" s="12" t="s">
        <v>87</v>
      </c>
      <c r="BI83" s="12" t="s">
        <v>419</v>
      </c>
      <c r="BJ83" s="12" t="s">
        <v>89</v>
      </c>
      <c r="BK83" s="13"/>
      <c r="BL83" s="13"/>
      <c r="BM83" s="12" t="s">
        <v>90</v>
      </c>
      <c r="BO83" s="60">
        <f>'LookUp Roll&amp;Packs'!$CO$12</f>
        <v>514.76</v>
      </c>
      <c r="BT83" s="62">
        <f t="shared" si="55"/>
        <v>30</v>
      </c>
      <c r="BU83" s="60">
        <f>'LookUp Roll&amp;Packs'!$CJ$12</f>
        <v>22.56</v>
      </c>
      <c r="BV83" s="60">
        <f>'LookUp Roll&amp;Packs'!$CO$12</f>
        <v>514.76</v>
      </c>
      <c r="BW83" s="60">
        <f>'LookUp Roll&amp;Packs'!CQ93</f>
        <v>0</v>
      </c>
      <c r="BX83" s="61"/>
      <c r="BY83" s="61">
        <v>1</v>
      </c>
      <c r="CH83" s="54" t="s">
        <v>564</v>
      </c>
      <c r="CI83" s="1" t="s">
        <v>564</v>
      </c>
      <c r="CJ83" s="1" t="s">
        <v>564</v>
      </c>
    </row>
    <row r="84" spans="1:88" ht="20.100000000000001" customHeight="1">
      <c r="A84" s="84">
        <v>10001458</v>
      </c>
      <c r="B84" s="84">
        <v>10001458</v>
      </c>
      <c r="C84" s="84"/>
      <c r="D84" s="10">
        <v>10001458</v>
      </c>
      <c r="E84" s="11" t="s">
        <v>61</v>
      </c>
      <c r="F84" s="12" t="s">
        <v>62</v>
      </c>
      <c r="G84" s="12" t="s">
        <v>112</v>
      </c>
      <c r="H84" s="12" t="s">
        <v>190</v>
      </c>
      <c r="I84" s="12" t="s">
        <v>463</v>
      </c>
      <c r="J84" s="12" t="s">
        <v>464</v>
      </c>
      <c r="K84" s="12" t="s">
        <v>453</v>
      </c>
      <c r="L84" s="12" t="s">
        <v>193</v>
      </c>
      <c r="M84" s="12" t="s">
        <v>99</v>
      </c>
      <c r="N84" s="12" t="s">
        <v>133</v>
      </c>
      <c r="O84" s="12" t="s">
        <v>134</v>
      </c>
      <c r="P84" s="14">
        <v>1</v>
      </c>
      <c r="Q84" s="12" t="s">
        <v>70</v>
      </c>
      <c r="R84" s="12" t="s">
        <v>71</v>
      </c>
      <c r="S84" s="12" t="s">
        <v>72</v>
      </c>
      <c r="T84" s="14">
        <v>8721284290711</v>
      </c>
      <c r="U84" s="13"/>
      <c r="V84" s="12" t="s">
        <v>121</v>
      </c>
      <c r="W84" s="14">
        <v>82</v>
      </c>
      <c r="X84" s="14">
        <v>0.51</v>
      </c>
      <c r="Y84" s="13"/>
      <c r="Z84" s="13"/>
      <c r="AA84" s="14">
        <v>3.5</v>
      </c>
      <c r="AB84" s="12" t="s">
        <v>465</v>
      </c>
      <c r="AC84" s="13"/>
      <c r="AD84" s="14">
        <v>48043158</v>
      </c>
      <c r="AE84" s="13"/>
      <c r="AF84" s="13"/>
      <c r="AG84" s="56" t="s">
        <v>466</v>
      </c>
      <c r="AH84" s="14">
        <v>0.8</v>
      </c>
      <c r="AI84" s="14">
        <v>60</v>
      </c>
      <c r="AJ84" s="14">
        <v>1.2</v>
      </c>
      <c r="AK84" s="14">
        <v>0.66</v>
      </c>
      <c r="AL84" s="12" t="s">
        <v>197</v>
      </c>
      <c r="AM84" s="12" t="s">
        <v>62</v>
      </c>
      <c r="AN84" s="14">
        <v>233</v>
      </c>
      <c r="AO84" s="14">
        <v>208</v>
      </c>
      <c r="AP84" s="12" t="s">
        <v>81</v>
      </c>
      <c r="AQ84" s="12" t="s">
        <v>82</v>
      </c>
      <c r="AR84" s="12" t="s">
        <v>83</v>
      </c>
      <c r="AS84" s="12" t="s">
        <v>84</v>
      </c>
      <c r="AT84" s="12" t="s">
        <v>62</v>
      </c>
      <c r="AU84" s="13"/>
      <c r="AV84" s="15">
        <v>0.85</v>
      </c>
      <c r="AW84" s="14">
        <v>0.15</v>
      </c>
      <c r="AX84" s="13"/>
      <c r="AY84" s="14">
        <v>0.85</v>
      </c>
      <c r="AZ84" s="14">
        <v>0</v>
      </c>
      <c r="BA84" s="14">
        <v>0.15</v>
      </c>
      <c r="BB84" s="14">
        <v>0</v>
      </c>
      <c r="BC84" s="14">
        <v>0</v>
      </c>
      <c r="BD84" s="14">
        <v>0</v>
      </c>
      <c r="BE84" s="13"/>
      <c r="BF84" s="13"/>
      <c r="BG84" s="12" t="s">
        <v>125</v>
      </c>
      <c r="BH84" s="12" t="s">
        <v>87</v>
      </c>
      <c r="BI84" s="12" t="s">
        <v>419</v>
      </c>
      <c r="BJ84" s="12" t="s">
        <v>89</v>
      </c>
      <c r="BK84" s="13"/>
      <c r="BL84" s="13"/>
      <c r="BM84" s="12" t="s">
        <v>457</v>
      </c>
      <c r="BO84" s="60">
        <f>'LookUp Roll&amp;Packs'!$W$11</f>
        <v>182.41</v>
      </c>
      <c r="BT84" s="62">
        <f t="shared" si="55"/>
        <v>60</v>
      </c>
      <c r="BU84" s="60">
        <f>'LookUp Roll&amp;Packs'!$CJ$11</f>
        <v>22.56</v>
      </c>
      <c r="BV84" s="60">
        <f>'LookUp Roll&amp;Packs'!$CO$11</f>
        <v>514.76</v>
      </c>
      <c r="BW84" s="60">
        <f>'LookUp Roll&amp;Packs'!$CQ$11</f>
        <v>156.29</v>
      </c>
      <c r="BX84" s="61"/>
      <c r="BY84" s="61">
        <v>1</v>
      </c>
      <c r="CH84" s="54" t="s">
        <v>564</v>
      </c>
      <c r="CJ84" s="1" t="s">
        <v>564</v>
      </c>
    </row>
    <row r="85" spans="1:88" ht="20.100000000000001" customHeight="1">
      <c r="A85" s="84">
        <v>10001489</v>
      </c>
      <c r="B85" s="84">
        <v>10001489</v>
      </c>
      <c r="C85" s="84"/>
      <c r="D85" s="10">
        <v>10001489</v>
      </c>
      <c r="E85" s="11" t="s">
        <v>61</v>
      </c>
      <c r="F85" s="12" t="s">
        <v>62</v>
      </c>
      <c r="G85" s="12" t="s">
        <v>467</v>
      </c>
      <c r="H85" s="12" t="s">
        <v>468</v>
      </c>
      <c r="I85" s="12" t="s">
        <v>469</v>
      </c>
      <c r="J85" s="13"/>
      <c r="K85" s="13"/>
      <c r="L85" s="12" t="s">
        <v>85</v>
      </c>
      <c r="M85" s="12" t="s">
        <v>201</v>
      </c>
      <c r="N85" s="13"/>
      <c r="O85" s="13"/>
      <c r="P85" s="14">
        <v>0</v>
      </c>
      <c r="Q85" s="13"/>
      <c r="R85" s="12" t="s">
        <v>71</v>
      </c>
      <c r="S85" s="12" t="s">
        <v>72</v>
      </c>
      <c r="T85" s="13"/>
      <c r="U85" s="13"/>
      <c r="V85" s="12" t="s">
        <v>470</v>
      </c>
      <c r="W85" s="14">
        <v>0.22</v>
      </c>
      <c r="X85" s="14">
        <v>0.15</v>
      </c>
      <c r="Y85" s="13"/>
      <c r="Z85" s="13"/>
      <c r="AA85" s="14">
        <v>7.2</v>
      </c>
      <c r="AB85" s="13"/>
      <c r="AC85" s="13"/>
      <c r="AD85" s="13"/>
      <c r="AE85" s="13"/>
      <c r="AF85" s="13"/>
      <c r="AG85" s="12" t="s">
        <v>471</v>
      </c>
      <c r="AH85" s="14">
        <v>0.8</v>
      </c>
      <c r="AI85" s="13"/>
      <c r="AJ85" s="14">
        <v>1.2</v>
      </c>
      <c r="AK85" s="14">
        <v>1.2</v>
      </c>
      <c r="AL85" s="12" t="s">
        <v>79</v>
      </c>
      <c r="AM85" s="12" t="s">
        <v>62</v>
      </c>
      <c r="AN85" s="14">
        <v>83</v>
      </c>
      <c r="AO85" s="14">
        <v>58</v>
      </c>
      <c r="AP85" s="12" t="s">
        <v>81</v>
      </c>
      <c r="AQ85" s="13"/>
      <c r="AR85" s="12" t="s">
        <v>83</v>
      </c>
      <c r="AS85" s="12" t="s">
        <v>84</v>
      </c>
      <c r="AT85" s="12" t="s">
        <v>110</v>
      </c>
      <c r="AU85" s="13"/>
      <c r="AV85" s="13"/>
      <c r="AW85" s="13"/>
      <c r="AX85" s="13"/>
      <c r="AY85" s="14">
        <v>0</v>
      </c>
      <c r="AZ85" s="13"/>
      <c r="BA85" s="13"/>
      <c r="BB85" s="14">
        <v>0</v>
      </c>
      <c r="BC85" s="14">
        <v>0</v>
      </c>
      <c r="BD85" s="14">
        <v>0</v>
      </c>
      <c r="BE85" s="13"/>
      <c r="BF85" s="13"/>
      <c r="BG85" s="13"/>
      <c r="BH85" s="13"/>
      <c r="BI85" s="12" t="s">
        <v>419</v>
      </c>
      <c r="BJ85" s="12" t="s">
        <v>89</v>
      </c>
      <c r="BK85" s="13"/>
      <c r="BL85" s="13"/>
      <c r="BM85" s="12" t="s">
        <v>457</v>
      </c>
      <c r="BT85" s="62">
        <f t="shared" si="55"/>
        <v>0</v>
      </c>
      <c r="BX85" s="61"/>
      <c r="BY85" s="61">
        <v>1</v>
      </c>
      <c r="CF85" s="62"/>
      <c r="CG85" s="1"/>
      <c r="CJ85" s="1" t="s">
        <v>564</v>
      </c>
    </row>
    <row r="86" spans="1:88" ht="20.100000000000001" customHeight="1">
      <c r="A86" s="84">
        <v>10001491</v>
      </c>
      <c r="B86" s="84">
        <v>10001491</v>
      </c>
      <c r="C86" s="84"/>
      <c r="D86" s="10">
        <v>10001491</v>
      </c>
      <c r="E86" s="11" t="s">
        <v>61</v>
      </c>
      <c r="F86" s="12" t="s">
        <v>62</v>
      </c>
      <c r="G86" s="12" t="s">
        <v>467</v>
      </c>
      <c r="H86" s="12" t="s">
        <v>468</v>
      </c>
      <c r="I86" s="12" t="s">
        <v>472</v>
      </c>
      <c r="J86" s="13"/>
      <c r="K86" s="13"/>
      <c r="L86" s="12" t="s">
        <v>85</v>
      </c>
      <c r="M86" s="12" t="s">
        <v>201</v>
      </c>
      <c r="N86" s="13"/>
      <c r="O86" s="13"/>
      <c r="P86" s="14">
        <v>0</v>
      </c>
      <c r="Q86" s="13"/>
      <c r="R86" s="12" t="s">
        <v>71</v>
      </c>
      <c r="S86" s="12" t="s">
        <v>72</v>
      </c>
      <c r="T86" s="13"/>
      <c r="U86" s="13"/>
      <c r="V86" s="12" t="s">
        <v>473</v>
      </c>
      <c r="W86" s="14">
        <v>0.26</v>
      </c>
      <c r="X86" s="14">
        <v>0.18</v>
      </c>
      <c r="Y86" s="13"/>
      <c r="Z86" s="13"/>
      <c r="AA86" s="14">
        <v>6.8</v>
      </c>
      <c r="AB86" s="13"/>
      <c r="AC86" s="13"/>
      <c r="AD86" s="13"/>
      <c r="AE86" s="13"/>
      <c r="AF86" s="13"/>
      <c r="AG86" s="12" t="s">
        <v>474</v>
      </c>
      <c r="AH86" s="14">
        <v>0.8</v>
      </c>
      <c r="AI86" s="13"/>
      <c r="AJ86" s="14">
        <v>1.2</v>
      </c>
      <c r="AK86" s="14">
        <v>1.2</v>
      </c>
      <c r="AL86" s="12" t="s">
        <v>79</v>
      </c>
      <c r="AM86" s="12" t="s">
        <v>62</v>
      </c>
      <c r="AN86" s="14">
        <v>107</v>
      </c>
      <c r="AO86" s="14">
        <v>82</v>
      </c>
      <c r="AP86" s="12" t="s">
        <v>81</v>
      </c>
      <c r="AQ86" s="13"/>
      <c r="AR86" s="12" t="s">
        <v>83</v>
      </c>
      <c r="AS86" s="12" t="s">
        <v>84</v>
      </c>
      <c r="AT86" s="12" t="s">
        <v>110</v>
      </c>
      <c r="AU86" s="13"/>
      <c r="AV86" s="13"/>
      <c r="AW86" s="13"/>
      <c r="AX86" s="13"/>
      <c r="AY86" s="14">
        <v>0</v>
      </c>
      <c r="AZ86" s="13"/>
      <c r="BA86" s="13"/>
      <c r="BB86" s="14">
        <v>0</v>
      </c>
      <c r="BC86" s="14">
        <v>0</v>
      </c>
      <c r="BD86" s="14">
        <v>0</v>
      </c>
      <c r="BE86" s="13"/>
      <c r="BF86" s="13"/>
      <c r="BG86" s="13"/>
      <c r="BH86" s="13"/>
      <c r="BI86" s="12" t="s">
        <v>419</v>
      </c>
      <c r="BJ86" s="12" t="s">
        <v>89</v>
      </c>
      <c r="BK86" s="13"/>
      <c r="BL86" s="13"/>
      <c r="BM86" s="12" t="s">
        <v>457</v>
      </c>
      <c r="BT86" s="62">
        <f t="shared" si="55"/>
        <v>0</v>
      </c>
      <c r="BX86" s="61"/>
      <c r="BY86" s="61">
        <v>1</v>
      </c>
      <c r="CF86" s="62"/>
      <c r="CG86" s="1"/>
      <c r="CJ86" s="1" t="s">
        <v>564</v>
      </c>
    </row>
    <row r="87" spans="1:88" ht="20.100000000000001" customHeight="1">
      <c r="A87" s="84">
        <v>10001492</v>
      </c>
      <c r="B87" s="84">
        <v>10001492</v>
      </c>
      <c r="C87" s="84"/>
      <c r="D87" s="10">
        <v>10001492</v>
      </c>
      <c r="E87" s="11" t="s">
        <v>61</v>
      </c>
      <c r="F87" s="12" t="s">
        <v>62</v>
      </c>
      <c r="G87" s="12" t="s">
        <v>467</v>
      </c>
      <c r="H87" s="12" t="s">
        <v>468</v>
      </c>
      <c r="I87" s="12" t="s">
        <v>475</v>
      </c>
      <c r="J87" s="13"/>
      <c r="K87" s="13"/>
      <c r="L87" s="12" t="s">
        <v>85</v>
      </c>
      <c r="M87" s="12" t="s">
        <v>201</v>
      </c>
      <c r="N87" s="13"/>
      <c r="O87" s="13"/>
      <c r="P87" s="14">
        <v>0</v>
      </c>
      <c r="Q87" s="13"/>
      <c r="R87" s="12" t="s">
        <v>71</v>
      </c>
      <c r="S87" s="12" t="s">
        <v>72</v>
      </c>
      <c r="T87" s="13"/>
      <c r="U87" s="13"/>
      <c r="V87" s="12" t="s">
        <v>476</v>
      </c>
      <c r="W87" s="14">
        <v>0.34</v>
      </c>
      <c r="X87" s="14">
        <v>0.23</v>
      </c>
      <c r="Y87" s="13"/>
      <c r="Z87" s="13"/>
      <c r="AA87" s="14">
        <v>5.7</v>
      </c>
      <c r="AB87" s="13"/>
      <c r="AC87" s="13"/>
      <c r="AD87" s="13"/>
      <c r="AE87" s="13"/>
      <c r="AF87" s="13"/>
      <c r="AG87" s="12" t="s">
        <v>477</v>
      </c>
      <c r="AH87" s="14">
        <v>0.8</v>
      </c>
      <c r="AI87" s="13"/>
      <c r="AJ87" s="14">
        <v>1.2</v>
      </c>
      <c r="AK87" s="14">
        <v>1.2</v>
      </c>
      <c r="AL87" s="12" t="s">
        <v>79</v>
      </c>
      <c r="AM87" s="12" t="s">
        <v>62</v>
      </c>
      <c r="AN87" s="14">
        <v>93</v>
      </c>
      <c r="AO87" s="14">
        <v>68</v>
      </c>
      <c r="AP87" s="12" t="s">
        <v>81</v>
      </c>
      <c r="AQ87" s="13"/>
      <c r="AR87" s="12" t="s">
        <v>83</v>
      </c>
      <c r="AS87" s="12" t="s">
        <v>84</v>
      </c>
      <c r="AT87" s="12" t="s">
        <v>110</v>
      </c>
      <c r="AU87" s="13"/>
      <c r="AV87" s="13"/>
      <c r="AW87" s="13"/>
      <c r="AX87" s="13"/>
      <c r="AY87" s="14">
        <v>0</v>
      </c>
      <c r="AZ87" s="13"/>
      <c r="BA87" s="13"/>
      <c r="BB87" s="14">
        <v>0</v>
      </c>
      <c r="BC87" s="14">
        <v>0</v>
      </c>
      <c r="BD87" s="14">
        <v>0</v>
      </c>
      <c r="BE87" s="13"/>
      <c r="BF87" s="13"/>
      <c r="BG87" s="13"/>
      <c r="BH87" s="13"/>
      <c r="BI87" s="12" t="s">
        <v>419</v>
      </c>
      <c r="BJ87" s="12" t="s">
        <v>89</v>
      </c>
      <c r="BK87" s="13"/>
      <c r="BL87" s="13"/>
      <c r="BM87" s="12" t="s">
        <v>457</v>
      </c>
      <c r="BT87" s="62">
        <f t="shared" si="55"/>
        <v>0</v>
      </c>
      <c r="BX87" s="61"/>
      <c r="BY87" s="61">
        <v>1</v>
      </c>
      <c r="CF87" s="62"/>
      <c r="CG87" s="1"/>
      <c r="CJ87" s="1" t="s">
        <v>564</v>
      </c>
    </row>
    <row r="88" spans="1:88" ht="20.100000000000001" customHeight="1">
      <c r="A88" s="84">
        <v>10001493</v>
      </c>
      <c r="B88" s="84">
        <v>10001493</v>
      </c>
      <c r="C88" s="84"/>
      <c r="D88" s="10">
        <v>10001493</v>
      </c>
      <c r="E88" s="11" t="s">
        <v>61</v>
      </c>
      <c r="F88" s="12" t="s">
        <v>62</v>
      </c>
      <c r="G88" s="12" t="s">
        <v>467</v>
      </c>
      <c r="H88" s="12" t="s">
        <v>468</v>
      </c>
      <c r="I88" s="12" t="s">
        <v>478</v>
      </c>
      <c r="J88" s="13"/>
      <c r="K88" s="13"/>
      <c r="L88" s="12" t="s">
        <v>85</v>
      </c>
      <c r="M88" s="12" t="s">
        <v>201</v>
      </c>
      <c r="N88" s="13"/>
      <c r="O88" s="13"/>
      <c r="P88" s="14">
        <v>0</v>
      </c>
      <c r="Q88" s="13"/>
      <c r="R88" s="12" t="s">
        <v>71</v>
      </c>
      <c r="S88" s="12" t="s">
        <v>72</v>
      </c>
      <c r="T88" s="13"/>
      <c r="U88" s="13"/>
      <c r="V88" s="12" t="s">
        <v>479</v>
      </c>
      <c r="W88" s="14">
        <v>0.33</v>
      </c>
      <c r="X88" s="14">
        <v>0.28000000000000003</v>
      </c>
      <c r="Y88" s="13"/>
      <c r="Z88" s="13"/>
      <c r="AA88" s="14">
        <v>3.8</v>
      </c>
      <c r="AB88" s="13"/>
      <c r="AC88" s="13"/>
      <c r="AD88" s="13"/>
      <c r="AE88" s="13"/>
      <c r="AF88" s="13"/>
      <c r="AG88" s="12" t="s">
        <v>480</v>
      </c>
      <c r="AH88" s="14">
        <v>0.8</v>
      </c>
      <c r="AI88" s="13"/>
      <c r="AJ88" s="14">
        <v>1.2</v>
      </c>
      <c r="AK88" s="14">
        <v>1.2</v>
      </c>
      <c r="AL88" s="12" t="s">
        <v>79</v>
      </c>
      <c r="AM88" s="12" t="s">
        <v>62</v>
      </c>
      <c r="AN88" s="14">
        <v>93</v>
      </c>
      <c r="AO88" s="14">
        <v>68</v>
      </c>
      <c r="AP88" s="12" t="s">
        <v>81</v>
      </c>
      <c r="AQ88" s="13"/>
      <c r="AR88" s="12" t="s">
        <v>83</v>
      </c>
      <c r="AS88" s="12" t="s">
        <v>84</v>
      </c>
      <c r="AT88" s="12" t="s">
        <v>110</v>
      </c>
      <c r="AU88" s="13"/>
      <c r="AV88" s="13"/>
      <c r="AW88" s="13"/>
      <c r="AX88" s="13"/>
      <c r="AY88" s="14">
        <v>0</v>
      </c>
      <c r="AZ88" s="13"/>
      <c r="BA88" s="13"/>
      <c r="BB88" s="14">
        <v>0</v>
      </c>
      <c r="BC88" s="14">
        <v>0</v>
      </c>
      <c r="BD88" s="14">
        <v>0</v>
      </c>
      <c r="BE88" s="13"/>
      <c r="BF88" s="13"/>
      <c r="BG88" s="13"/>
      <c r="BH88" s="13"/>
      <c r="BI88" s="12" t="s">
        <v>419</v>
      </c>
      <c r="BJ88" s="12" t="s">
        <v>89</v>
      </c>
      <c r="BK88" s="13"/>
      <c r="BL88" s="13"/>
      <c r="BM88" s="12" t="s">
        <v>457</v>
      </c>
      <c r="BT88" s="62">
        <f t="shared" si="55"/>
        <v>0</v>
      </c>
      <c r="BX88" s="61"/>
      <c r="BY88" s="61">
        <v>1</v>
      </c>
      <c r="CF88" s="62"/>
      <c r="CG88" s="1"/>
      <c r="CJ88" s="1" t="s">
        <v>564</v>
      </c>
    </row>
    <row r="89" spans="1:88" ht="20.100000000000001" customHeight="1">
      <c r="A89" s="84">
        <v>10001494</v>
      </c>
      <c r="B89" s="84">
        <v>10001494</v>
      </c>
      <c r="C89" s="84"/>
      <c r="D89" s="10">
        <v>10001494</v>
      </c>
      <c r="E89" s="11" t="s">
        <v>61</v>
      </c>
      <c r="F89" s="12" t="s">
        <v>62</v>
      </c>
      <c r="G89" s="12" t="s">
        <v>467</v>
      </c>
      <c r="H89" s="12" t="s">
        <v>468</v>
      </c>
      <c r="I89" s="12" t="s">
        <v>481</v>
      </c>
      <c r="J89" s="13"/>
      <c r="K89" s="13"/>
      <c r="L89" s="12" t="s">
        <v>85</v>
      </c>
      <c r="M89" s="12" t="s">
        <v>201</v>
      </c>
      <c r="N89" s="13"/>
      <c r="O89" s="13"/>
      <c r="P89" s="14">
        <v>0</v>
      </c>
      <c r="Q89" s="13"/>
      <c r="R89" s="12" t="s">
        <v>71</v>
      </c>
      <c r="S89" s="12" t="s">
        <v>72</v>
      </c>
      <c r="T89" s="13"/>
      <c r="U89" s="13"/>
      <c r="V89" s="12" t="s">
        <v>482</v>
      </c>
      <c r="W89" s="14">
        <v>0.32</v>
      </c>
      <c r="X89" s="14">
        <v>0.48</v>
      </c>
      <c r="Y89" s="13"/>
      <c r="Z89" s="13"/>
      <c r="AA89" s="14">
        <v>5.5</v>
      </c>
      <c r="AB89" s="13"/>
      <c r="AC89" s="13"/>
      <c r="AD89" s="13"/>
      <c r="AE89" s="13"/>
      <c r="AF89" s="13"/>
      <c r="AG89" s="12" t="s">
        <v>483</v>
      </c>
      <c r="AH89" s="14">
        <v>0.8</v>
      </c>
      <c r="AI89" s="13"/>
      <c r="AJ89" s="14">
        <v>1.2</v>
      </c>
      <c r="AK89" s="14">
        <v>1.2</v>
      </c>
      <c r="AL89" s="12" t="s">
        <v>79</v>
      </c>
      <c r="AM89" s="12" t="s">
        <v>62</v>
      </c>
      <c r="AN89" s="14">
        <v>91</v>
      </c>
      <c r="AO89" s="14">
        <v>66</v>
      </c>
      <c r="AP89" s="12" t="s">
        <v>81</v>
      </c>
      <c r="AQ89" s="13"/>
      <c r="AR89" s="12" t="s">
        <v>83</v>
      </c>
      <c r="AS89" s="12" t="s">
        <v>84</v>
      </c>
      <c r="AT89" s="12" t="s">
        <v>110</v>
      </c>
      <c r="AU89" s="13"/>
      <c r="AV89" s="13"/>
      <c r="AW89" s="13"/>
      <c r="AX89" s="13"/>
      <c r="AY89" s="14">
        <v>0</v>
      </c>
      <c r="AZ89" s="13"/>
      <c r="BA89" s="13"/>
      <c r="BB89" s="14">
        <v>0</v>
      </c>
      <c r="BC89" s="14">
        <v>0</v>
      </c>
      <c r="BD89" s="14">
        <v>0</v>
      </c>
      <c r="BE89" s="13"/>
      <c r="BF89" s="13"/>
      <c r="BG89" s="13"/>
      <c r="BH89" s="13"/>
      <c r="BI89" s="12" t="s">
        <v>419</v>
      </c>
      <c r="BJ89" s="12" t="s">
        <v>89</v>
      </c>
      <c r="BK89" s="13"/>
      <c r="BL89" s="13"/>
      <c r="BM89" s="12" t="s">
        <v>457</v>
      </c>
      <c r="BT89" s="62">
        <f t="shared" si="55"/>
        <v>0</v>
      </c>
      <c r="BX89" s="61"/>
      <c r="BY89" s="61">
        <v>1</v>
      </c>
      <c r="CF89" s="62"/>
      <c r="CG89" s="1"/>
    </row>
    <row r="90" spans="1:88" ht="20.100000000000001" customHeight="1">
      <c r="A90" s="84">
        <v>10001501</v>
      </c>
      <c r="B90" s="84">
        <v>10001501</v>
      </c>
      <c r="C90" s="89" t="s">
        <v>682</v>
      </c>
      <c r="D90" s="90">
        <v>10001501</v>
      </c>
      <c r="E90" s="11"/>
      <c r="F90" s="12"/>
      <c r="G90" s="12"/>
      <c r="H90" s="12"/>
      <c r="I90" s="12"/>
      <c r="J90" s="13"/>
      <c r="K90" s="13"/>
      <c r="L90" s="13"/>
      <c r="M90" s="12"/>
      <c r="N90" s="12"/>
      <c r="O90" s="16"/>
      <c r="P90" s="14"/>
      <c r="Q90" s="12"/>
      <c r="R90" s="12"/>
      <c r="S90" s="12"/>
      <c r="T90" s="13"/>
      <c r="U90" s="13"/>
      <c r="V90" s="12"/>
      <c r="W90" s="14"/>
      <c r="X90" s="14"/>
      <c r="Y90" s="12"/>
      <c r="Z90" s="13"/>
      <c r="AA90" s="14"/>
      <c r="AB90" s="13"/>
      <c r="AC90" s="13"/>
      <c r="AD90" s="14"/>
      <c r="AE90" s="12"/>
      <c r="AF90" s="13"/>
      <c r="AG90" s="12" t="s">
        <v>682</v>
      </c>
      <c r="AH90" s="14"/>
      <c r="AI90" s="13">
        <v>6</v>
      </c>
      <c r="AJ90" s="14"/>
      <c r="AK90" s="14"/>
      <c r="AL90" s="12"/>
      <c r="AM90" s="12"/>
      <c r="AN90" s="14"/>
      <c r="AO90" s="14"/>
      <c r="AP90" s="12"/>
      <c r="AQ90" s="13"/>
      <c r="AR90" s="12"/>
      <c r="AS90" s="12"/>
      <c r="AT90" s="12"/>
      <c r="AU90" s="13"/>
      <c r="AV90" s="12"/>
      <c r="AW90" s="13"/>
      <c r="AX90" s="13"/>
      <c r="AY90" s="14"/>
      <c r="AZ90" s="14"/>
      <c r="BA90" s="14"/>
      <c r="BB90" s="14"/>
      <c r="BC90" s="14"/>
      <c r="BD90" s="14"/>
      <c r="BE90" s="13"/>
      <c r="BF90" s="13"/>
      <c r="BG90" s="13"/>
      <c r="BH90" s="13"/>
      <c r="BI90" s="12"/>
      <c r="BJ90" s="12"/>
      <c r="BK90" s="13"/>
      <c r="BL90" s="13"/>
      <c r="BM90" s="12"/>
      <c r="BS90" s="62">
        <f>'LookUp Gelpacks'!S32</f>
        <v>1.258</v>
      </c>
      <c r="BU90" s="60">
        <f>'LookUp Gelpacks'!AW38</f>
        <v>22.56</v>
      </c>
      <c r="BW90" s="60">
        <f>'LookUp Gelpacks'!CE32</f>
        <v>201.9</v>
      </c>
      <c r="BX90" s="61"/>
      <c r="BY90" s="61">
        <f>'LookUp Gelpacks'!V32</f>
        <v>6</v>
      </c>
      <c r="BZ90" s="62">
        <f t="shared" ref="BZ90:BZ95" si="56">BU90</f>
        <v>22.56</v>
      </c>
      <c r="CA90" s="67">
        <f>BY90*BS90</f>
        <v>7.548</v>
      </c>
      <c r="CB90" s="67"/>
      <c r="CC90" s="67">
        <f t="shared" ref="CC90:CC95" si="57">(AI90*BR90)/1000</f>
        <v>0</v>
      </c>
      <c r="CD90" s="67">
        <f t="shared" ref="CD90:CD95" si="58">BW90/1000</f>
        <v>0.2019</v>
      </c>
      <c r="CE90" s="67">
        <f t="shared" ref="CE90:CE95" si="59">BX90/1000</f>
        <v>0</v>
      </c>
      <c r="CG90" s="1"/>
    </row>
    <row r="91" spans="1:88" ht="20.100000000000001" customHeight="1">
      <c r="A91" s="84">
        <v>10001502</v>
      </c>
      <c r="B91" s="84">
        <v>10001502</v>
      </c>
      <c r="C91" s="89" t="s">
        <v>683</v>
      </c>
      <c r="D91" s="90">
        <v>10001502</v>
      </c>
      <c r="E91" s="11"/>
      <c r="F91" s="12"/>
      <c r="G91" s="12"/>
      <c r="H91" s="12"/>
      <c r="I91" s="12"/>
      <c r="J91" s="13"/>
      <c r="K91" s="13"/>
      <c r="L91" s="13"/>
      <c r="M91" s="12"/>
      <c r="N91" s="12"/>
      <c r="O91" s="16"/>
      <c r="P91" s="14"/>
      <c r="Q91" s="12"/>
      <c r="R91" s="12"/>
      <c r="S91" s="12"/>
      <c r="T91" s="13"/>
      <c r="U91" s="13"/>
      <c r="V91" s="12"/>
      <c r="W91" s="14"/>
      <c r="X91" s="14"/>
      <c r="Y91" s="12"/>
      <c r="Z91" s="13"/>
      <c r="AA91" s="14"/>
      <c r="AB91" s="13"/>
      <c r="AC91" s="13"/>
      <c r="AD91" s="14"/>
      <c r="AE91" s="12"/>
      <c r="AF91" s="13"/>
      <c r="AG91" s="12" t="s">
        <v>683</v>
      </c>
      <c r="AH91" s="14"/>
      <c r="AI91" s="13">
        <v>5</v>
      </c>
      <c r="AJ91" s="14"/>
      <c r="AK91" s="14"/>
      <c r="AL91" s="12"/>
      <c r="AM91" s="12"/>
      <c r="AN91" s="14"/>
      <c r="AO91" s="14"/>
      <c r="AP91" s="12"/>
      <c r="AQ91" s="13"/>
      <c r="AR91" s="12"/>
      <c r="AS91" s="12"/>
      <c r="AT91" s="12"/>
      <c r="AU91" s="13"/>
      <c r="AV91" s="12"/>
      <c r="AW91" s="13"/>
      <c r="AX91" s="13"/>
      <c r="AY91" s="14"/>
      <c r="AZ91" s="14"/>
      <c r="BA91" s="14"/>
      <c r="BB91" s="14"/>
      <c r="BC91" s="14"/>
      <c r="BD91" s="14"/>
      <c r="BE91" s="13"/>
      <c r="BF91" s="13"/>
      <c r="BG91" s="13"/>
      <c r="BH91" s="13"/>
      <c r="BI91" s="12"/>
      <c r="BJ91" s="12"/>
      <c r="BK91" s="13"/>
      <c r="BL91" s="13"/>
      <c r="BM91" s="12"/>
      <c r="BS91" s="62">
        <f>'LookUp Gelpacks'!S33</f>
        <v>1.4890000000000001</v>
      </c>
      <c r="BU91" s="60">
        <f>'LookUp Gelpacks'!AW39</f>
        <v>22.56</v>
      </c>
      <c r="BW91" s="60">
        <f>'LookUp Gelpacks'!CE33</f>
        <v>199.4</v>
      </c>
      <c r="BX91" s="61"/>
      <c r="BY91" s="61">
        <f>'LookUp Gelpacks'!V33</f>
        <v>5</v>
      </c>
      <c r="BZ91" s="62">
        <f t="shared" si="56"/>
        <v>22.56</v>
      </c>
      <c r="CA91" s="67">
        <f t="shared" ref="CA91:CA95" si="60">BY91*BS91</f>
        <v>7.4450000000000003</v>
      </c>
      <c r="CB91" s="67"/>
      <c r="CC91" s="67">
        <f t="shared" si="57"/>
        <v>0</v>
      </c>
      <c r="CD91" s="67">
        <f t="shared" si="58"/>
        <v>0.19939999999999999</v>
      </c>
      <c r="CE91" s="67">
        <f t="shared" si="59"/>
        <v>0</v>
      </c>
      <c r="CG91" s="1"/>
    </row>
    <row r="92" spans="1:88" ht="20.100000000000001" customHeight="1">
      <c r="A92" s="84">
        <v>10001507</v>
      </c>
      <c r="B92" s="84">
        <v>10001507</v>
      </c>
      <c r="C92" s="89" t="s">
        <v>684</v>
      </c>
      <c r="D92" s="90">
        <v>10001507</v>
      </c>
      <c r="E92" s="11"/>
      <c r="F92" s="12"/>
      <c r="G92" s="12"/>
      <c r="H92" s="12"/>
      <c r="I92" s="12"/>
      <c r="J92" s="13"/>
      <c r="K92" s="13"/>
      <c r="L92" s="13"/>
      <c r="M92" s="12"/>
      <c r="N92" s="12"/>
      <c r="O92" s="16"/>
      <c r="P92" s="14"/>
      <c r="Q92" s="12"/>
      <c r="R92" s="12"/>
      <c r="S92" s="12"/>
      <c r="T92" s="13"/>
      <c r="U92" s="13"/>
      <c r="V92" s="12"/>
      <c r="W92" s="14"/>
      <c r="X92" s="14"/>
      <c r="Y92" s="12"/>
      <c r="Z92" s="13"/>
      <c r="AA92" s="14"/>
      <c r="AB92" s="13"/>
      <c r="AC92" s="13"/>
      <c r="AD92" s="14"/>
      <c r="AE92" s="12"/>
      <c r="AF92" s="13"/>
      <c r="AG92" s="12" t="s">
        <v>684</v>
      </c>
      <c r="AH92" s="14"/>
      <c r="AI92" s="13">
        <v>4</v>
      </c>
      <c r="AJ92" s="14"/>
      <c r="AK92" s="14"/>
      <c r="AL92" s="12"/>
      <c r="AM92" s="12"/>
      <c r="AN92" s="14"/>
      <c r="AO92" s="14"/>
      <c r="AP92" s="12"/>
      <c r="AQ92" s="13"/>
      <c r="AR92" s="12"/>
      <c r="AS92" s="12"/>
      <c r="AT92" s="12"/>
      <c r="AU92" s="13"/>
      <c r="AV92" s="12"/>
      <c r="AW92" s="13"/>
      <c r="AX92" s="13"/>
      <c r="AY92" s="14"/>
      <c r="AZ92" s="14"/>
      <c r="BA92" s="14"/>
      <c r="BB92" s="14"/>
      <c r="BC92" s="14"/>
      <c r="BD92" s="14"/>
      <c r="BE92" s="13"/>
      <c r="BF92" s="13"/>
      <c r="BG92" s="13"/>
      <c r="BH92" s="13"/>
      <c r="BI92" s="12"/>
      <c r="BJ92" s="12"/>
      <c r="BK92" s="13"/>
      <c r="BL92" s="13"/>
      <c r="BM92" s="12"/>
      <c r="BS92" s="62">
        <f>'LookUp Gelpacks'!S34</f>
        <v>1.5920000000000001</v>
      </c>
      <c r="BU92" s="60">
        <f>'LookUp Gelpacks'!AW40</f>
        <v>22.56</v>
      </c>
      <c r="BW92" s="60">
        <f>'LookUp Gelpacks'!CE34</f>
        <v>193.1</v>
      </c>
      <c r="BX92" s="61"/>
      <c r="BY92" s="61">
        <f>'LookUp Gelpacks'!V34</f>
        <v>4</v>
      </c>
      <c r="BZ92" s="62">
        <f t="shared" si="56"/>
        <v>22.56</v>
      </c>
      <c r="CA92" s="67">
        <f t="shared" si="60"/>
        <v>6.3680000000000003</v>
      </c>
      <c r="CB92" s="67"/>
      <c r="CC92" s="67">
        <f t="shared" si="57"/>
        <v>0</v>
      </c>
      <c r="CD92" s="67">
        <f t="shared" si="58"/>
        <v>0.19309999999999999</v>
      </c>
      <c r="CE92" s="67">
        <f t="shared" si="59"/>
        <v>0</v>
      </c>
      <c r="CG92" s="1"/>
    </row>
    <row r="93" spans="1:88" ht="20.100000000000001" customHeight="1">
      <c r="A93" s="84">
        <v>10001512</v>
      </c>
      <c r="B93" s="84">
        <v>10001512</v>
      </c>
      <c r="C93" s="89" t="s">
        <v>685</v>
      </c>
      <c r="D93" s="90">
        <v>10001512</v>
      </c>
      <c r="E93" s="11"/>
      <c r="F93" s="12"/>
      <c r="G93" s="12"/>
      <c r="H93" s="12"/>
      <c r="I93" s="12"/>
      <c r="J93" s="13"/>
      <c r="K93" s="13"/>
      <c r="L93" s="13"/>
      <c r="M93" s="12"/>
      <c r="N93" s="12"/>
      <c r="O93" s="16"/>
      <c r="P93" s="14"/>
      <c r="Q93" s="12"/>
      <c r="R93" s="12"/>
      <c r="S93" s="12"/>
      <c r="T93" s="13"/>
      <c r="U93" s="13"/>
      <c r="V93" s="12"/>
      <c r="W93" s="14"/>
      <c r="X93" s="14"/>
      <c r="Y93" s="12"/>
      <c r="Z93" s="13"/>
      <c r="AA93" s="14"/>
      <c r="AB93" s="13"/>
      <c r="AC93" s="13"/>
      <c r="AD93" s="14"/>
      <c r="AE93" s="12"/>
      <c r="AF93" s="13"/>
      <c r="AG93" s="12" t="s">
        <v>685</v>
      </c>
      <c r="AH93" s="14"/>
      <c r="AI93" s="13">
        <v>6</v>
      </c>
      <c r="AJ93" s="14"/>
      <c r="AK93" s="14"/>
      <c r="AL93" s="12"/>
      <c r="AM93" s="12"/>
      <c r="AN93" s="14"/>
      <c r="AO93" s="14"/>
      <c r="AP93" s="12"/>
      <c r="AQ93" s="13"/>
      <c r="AR93" s="12"/>
      <c r="AS93" s="12"/>
      <c r="AT93" s="12"/>
      <c r="AU93" s="13"/>
      <c r="AV93" s="12"/>
      <c r="AW93" s="13"/>
      <c r="AX93" s="13"/>
      <c r="AY93" s="14"/>
      <c r="AZ93" s="14"/>
      <c r="BA93" s="14"/>
      <c r="BB93" s="14"/>
      <c r="BC93" s="14"/>
      <c r="BD93" s="14"/>
      <c r="BE93" s="13"/>
      <c r="BF93" s="13"/>
      <c r="BG93" s="13"/>
      <c r="BH93" s="13"/>
      <c r="BI93" s="12"/>
      <c r="BJ93" s="12"/>
      <c r="BK93" s="13"/>
      <c r="BL93" s="13"/>
      <c r="BM93" s="12"/>
      <c r="BS93" s="62">
        <f>'LookUp Gelpacks'!S35</f>
        <v>1.258</v>
      </c>
      <c r="BU93" s="60">
        <f>'LookUp Gelpacks'!AW41</f>
        <v>22.56</v>
      </c>
      <c r="BW93" s="60">
        <f>'LookUp Gelpacks'!CE35</f>
        <v>201.9</v>
      </c>
      <c r="BX93" s="61"/>
      <c r="BY93" s="61">
        <f>'LookUp Gelpacks'!V35</f>
        <v>6</v>
      </c>
      <c r="BZ93" s="62">
        <f t="shared" si="56"/>
        <v>22.56</v>
      </c>
      <c r="CA93" s="67">
        <f t="shared" si="60"/>
        <v>7.548</v>
      </c>
      <c r="CB93" s="67"/>
      <c r="CC93" s="67">
        <f t="shared" si="57"/>
        <v>0</v>
      </c>
      <c r="CD93" s="67">
        <f t="shared" si="58"/>
        <v>0.2019</v>
      </c>
      <c r="CE93" s="67">
        <f t="shared" si="59"/>
        <v>0</v>
      </c>
      <c r="CG93" s="1"/>
    </row>
    <row r="94" spans="1:88" ht="20.100000000000001" customHeight="1">
      <c r="A94" s="84">
        <v>10001514</v>
      </c>
      <c r="B94" s="84">
        <v>10001514</v>
      </c>
      <c r="C94" s="89" t="s">
        <v>686</v>
      </c>
      <c r="D94" s="90">
        <v>10001514</v>
      </c>
      <c r="E94" s="11"/>
      <c r="F94" s="12"/>
      <c r="G94" s="12"/>
      <c r="H94" s="12"/>
      <c r="I94" s="12"/>
      <c r="J94" s="13"/>
      <c r="K94" s="13"/>
      <c r="L94" s="13"/>
      <c r="M94" s="12"/>
      <c r="N94" s="12"/>
      <c r="O94" s="16"/>
      <c r="P94" s="14"/>
      <c r="Q94" s="12"/>
      <c r="R94" s="12"/>
      <c r="S94" s="12"/>
      <c r="T94" s="13"/>
      <c r="U94" s="13"/>
      <c r="V94" s="12"/>
      <c r="W94" s="14"/>
      <c r="X94" s="14"/>
      <c r="Y94" s="12"/>
      <c r="Z94" s="13"/>
      <c r="AA94" s="14"/>
      <c r="AB94" s="13"/>
      <c r="AC94" s="13"/>
      <c r="AD94" s="14"/>
      <c r="AE94" s="12"/>
      <c r="AF94" s="13"/>
      <c r="AG94" s="12" t="s">
        <v>686</v>
      </c>
      <c r="AH94" s="14"/>
      <c r="AI94" s="13">
        <v>5</v>
      </c>
      <c r="AJ94" s="14"/>
      <c r="AK94" s="14"/>
      <c r="AL94" s="12"/>
      <c r="AM94" s="12"/>
      <c r="AN94" s="14"/>
      <c r="AO94" s="14"/>
      <c r="AP94" s="12"/>
      <c r="AQ94" s="13"/>
      <c r="AR94" s="12"/>
      <c r="AS94" s="12"/>
      <c r="AT94" s="12"/>
      <c r="AU94" s="13"/>
      <c r="AV94" s="12"/>
      <c r="AW94" s="13"/>
      <c r="AX94" s="13"/>
      <c r="AY94" s="14"/>
      <c r="AZ94" s="14"/>
      <c r="BA94" s="14"/>
      <c r="BB94" s="14"/>
      <c r="BC94" s="14"/>
      <c r="BD94" s="14"/>
      <c r="BE94" s="13"/>
      <c r="BF94" s="13"/>
      <c r="BG94" s="13"/>
      <c r="BH94" s="13"/>
      <c r="BI94" s="12"/>
      <c r="BJ94" s="12"/>
      <c r="BK94" s="13"/>
      <c r="BL94" s="13"/>
      <c r="BM94" s="12"/>
      <c r="BS94" s="62">
        <f>'LookUp Gelpacks'!S36</f>
        <v>1.4890000000000001</v>
      </c>
      <c r="BU94" s="60">
        <f>'LookUp Gelpacks'!AW42</f>
        <v>22.56</v>
      </c>
      <c r="BW94" s="60">
        <f>'LookUp Gelpacks'!CE36</f>
        <v>199.4</v>
      </c>
      <c r="BX94" s="61"/>
      <c r="BY94" s="61">
        <f>'LookUp Gelpacks'!V36</f>
        <v>5</v>
      </c>
      <c r="BZ94" s="62">
        <f t="shared" si="56"/>
        <v>22.56</v>
      </c>
      <c r="CA94" s="67">
        <f t="shared" si="60"/>
        <v>7.4450000000000003</v>
      </c>
      <c r="CB94" s="67"/>
      <c r="CC94" s="67">
        <f t="shared" si="57"/>
        <v>0</v>
      </c>
      <c r="CD94" s="67">
        <f t="shared" si="58"/>
        <v>0.19939999999999999</v>
      </c>
      <c r="CE94" s="67">
        <f t="shared" si="59"/>
        <v>0</v>
      </c>
      <c r="CG94" s="1"/>
    </row>
    <row r="95" spans="1:88" ht="20.100000000000001" customHeight="1">
      <c r="A95" s="84">
        <v>10001515</v>
      </c>
      <c r="B95" s="84">
        <v>10001515</v>
      </c>
      <c r="C95" s="89" t="s">
        <v>687</v>
      </c>
      <c r="D95" s="90">
        <v>10001515</v>
      </c>
      <c r="E95" s="11"/>
      <c r="F95" s="12"/>
      <c r="G95" s="12"/>
      <c r="H95" s="12"/>
      <c r="I95" s="12"/>
      <c r="J95" s="13"/>
      <c r="K95" s="13"/>
      <c r="L95" s="13"/>
      <c r="M95" s="12"/>
      <c r="N95" s="12"/>
      <c r="O95" s="16"/>
      <c r="P95" s="14"/>
      <c r="Q95" s="12"/>
      <c r="R95" s="12"/>
      <c r="S95" s="12"/>
      <c r="T95" s="13"/>
      <c r="U95" s="13"/>
      <c r="V95" s="12"/>
      <c r="W95" s="14"/>
      <c r="X95" s="14"/>
      <c r="Y95" s="12"/>
      <c r="Z95" s="13"/>
      <c r="AA95" s="14"/>
      <c r="AB95" s="13"/>
      <c r="AC95" s="13"/>
      <c r="AD95" s="14"/>
      <c r="AE95" s="12"/>
      <c r="AF95" s="13"/>
      <c r="AG95" s="12" t="s">
        <v>687</v>
      </c>
      <c r="AH95" s="14"/>
      <c r="AI95" s="13">
        <v>4</v>
      </c>
      <c r="AJ95" s="14"/>
      <c r="AK95" s="14"/>
      <c r="AL95" s="12"/>
      <c r="AM95" s="12"/>
      <c r="AN95" s="14"/>
      <c r="AO95" s="14"/>
      <c r="AP95" s="12"/>
      <c r="AQ95" s="13"/>
      <c r="AR95" s="12"/>
      <c r="AS95" s="12"/>
      <c r="AT95" s="12"/>
      <c r="AU95" s="13"/>
      <c r="AV95" s="12"/>
      <c r="AW95" s="13"/>
      <c r="AX95" s="13"/>
      <c r="AY95" s="14"/>
      <c r="AZ95" s="14"/>
      <c r="BA95" s="14"/>
      <c r="BB95" s="14"/>
      <c r="BC95" s="14"/>
      <c r="BD95" s="14"/>
      <c r="BE95" s="13"/>
      <c r="BF95" s="13"/>
      <c r="BG95" s="13"/>
      <c r="BH95" s="13"/>
      <c r="BI95" s="12"/>
      <c r="BJ95" s="12"/>
      <c r="BK95" s="13"/>
      <c r="BL95" s="13"/>
      <c r="BM95" s="12"/>
      <c r="BS95" s="62">
        <f>'LookUp Gelpacks'!S37</f>
        <v>1.5920000000000001</v>
      </c>
      <c r="BU95" s="60">
        <f>'LookUp Gelpacks'!AW43</f>
        <v>22.56</v>
      </c>
      <c r="BW95" s="60">
        <f>'LookUp Gelpacks'!CE37</f>
        <v>193.1</v>
      </c>
      <c r="BX95" s="61"/>
      <c r="BY95" s="61">
        <f>'LookUp Gelpacks'!V37</f>
        <v>4</v>
      </c>
      <c r="BZ95" s="62">
        <f t="shared" si="56"/>
        <v>22.56</v>
      </c>
      <c r="CA95" s="67">
        <f t="shared" si="60"/>
        <v>6.3680000000000003</v>
      </c>
      <c r="CB95" s="67"/>
      <c r="CC95" s="67">
        <f t="shared" si="57"/>
        <v>0</v>
      </c>
      <c r="CD95" s="67">
        <f t="shared" si="58"/>
        <v>0.19309999999999999</v>
      </c>
      <c r="CE95" s="67">
        <f t="shared" si="59"/>
        <v>0</v>
      </c>
      <c r="CG95" s="1"/>
      <c r="CI95" s="1" t="s">
        <v>564</v>
      </c>
      <c r="CJ95" s="1" t="s">
        <v>564</v>
      </c>
    </row>
    <row r="96" spans="1:88" ht="20.100000000000001" customHeight="1">
      <c r="A96" s="84">
        <v>10001519</v>
      </c>
      <c r="B96" s="84">
        <v>10001519</v>
      </c>
      <c r="C96" s="84"/>
      <c r="D96" s="10">
        <v>10001519</v>
      </c>
      <c r="E96" s="17"/>
      <c r="F96" s="12" t="s">
        <v>110</v>
      </c>
      <c r="G96" s="12" t="s">
        <v>138</v>
      </c>
      <c r="H96" s="12" t="s">
        <v>378</v>
      </c>
      <c r="I96" s="12" t="s">
        <v>484</v>
      </c>
      <c r="J96" s="13"/>
      <c r="K96" s="13"/>
      <c r="L96" s="12" t="s">
        <v>380</v>
      </c>
      <c r="M96" s="12" t="s">
        <v>67</v>
      </c>
      <c r="N96" s="12" t="s">
        <v>68</v>
      </c>
      <c r="O96" s="12" t="s">
        <v>69</v>
      </c>
      <c r="P96" s="14">
        <v>1</v>
      </c>
      <c r="Q96" s="12" t="s">
        <v>177</v>
      </c>
      <c r="R96" s="12" t="s">
        <v>71</v>
      </c>
      <c r="S96" s="12" t="s">
        <v>72</v>
      </c>
      <c r="T96" s="13"/>
      <c r="U96" s="13"/>
      <c r="V96" s="12" t="s">
        <v>73</v>
      </c>
      <c r="W96" s="12" t="s">
        <v>74</v>
      </c>
      <c r="X96" s="12" t="s">
        <v>75</v>
      </c>
      <c r="Y96" s="12" t="s">
        <v>485</v>
      </c>
      <c r="Z96" s="13"/>
      <c r="AA96" s="14">
        <v>10</v>
      </c>
      <c r="AB96" s="13"/>
      <c r="AC96" s="12" t="s">
        <v>76</v>
      </c>
      <c r="AD96" s="14">
        <v>48043158</v>
      </c>
      <c r="AE96" s="12" t="s">
        <v>77</v>
      </c>
      <c r="AF96" s="13"/>
      <c r="AG96" s="12" t="s">
        <v>486</v>
      </c>
      <c r="AH96" s="14">
        <v>0.8</v>
      </c>
      <c r="AI96" s="14">
        <v>48</v>
      </c>
      <c r="AJ96" s="14">
        <v>1.2</v>
      </c>
      <c r="AK96" s="14">
        <v>1.2</v>
      </c>
      <c r="AL96" s="12" t="s">
        <v>79</v>
      </c>
      <c r="AM96" s="12" t="s">
        <v>62</v>
      </c>
      <c r="AN96" s="12" t="s">
        <v>80</v>
      </c>
      <c r="AO96" s="14">
        <v>480</v>
      </c>
      <c r="AP96" s="12" t="s">
        <v>81</v>
      </c>
      <c r="AQ96" s="12" t="s">
        <v>146</v>
      </c>
      <c r="AR96" s="12" t="s">
        <v>83</v>
      </c>
      <c r="AS96" s="12" t="s">
        <v>84</v>
      </c>
      <c r="AT96" s="12" t="s">
        <v>110</v>
      </c>
      <c r="AU96" s="13"/>
      <c r="AV96" s="15">
        <v>0.15</v>
      </c>
      <c r="AW96" s="15">
        <v>0.85</v>
      </c>
      <c r="AX96" s="13"/>
      <c r="AY96" s="15">
        <v>0.15</v>
      </c>
      <c r="AZ96" s="15">
        <v>0.3</v>
      </c>
      <c r="BA96" s="15">
        <v>0.55000000000000004</v>
      </c>
      <c r="BB96" s="13"/>
      <c r="BC96" s="13"/>
      <c r="BD96" s="13"/>
      <c r="BE96" s="13"/>
      <c r="BF96" s="13"/>
      <c r="BG96" s="12" t="s">
        <v>147</v>
      </c>
      <c r="BH96" s="12" t="s">
        <v>148</v>
      </c>
      <c r="BI96" s="12" t="s">
        <v>419</v>
      </c>
      <c r="BJ96" s="12" t="s">
        <v>89</v>
      </c>
      <c r="BK96" s="13"/>
      <c r="BL96" s="13"/>
      <c r="BM96" s="12" t="s">
        <v>457</v>
      </c>
      <c r="BO96" s="60">
        <f>'LookUp Roll&amp;Packs'!$U$9</f>
        <v>43.19</v>
      </c>
      <c r="BR96" s="60">
        <f>'LookUp Roll&amp;Packs'!$V$9</f>
        <v>5.22</v>
      </c>
      <c r="BT96" s="62">
        <f>AI96</f>
        <v>48</v>
      </c>
      <c r="BU96" s="60">
        <f>'LookUp Roll&amp;Packs'!$BI$9</f>
        <v>22.56</v>
      </c>
      <c r="BV96" s="60">
        <f>'LookUp Roll&amp;Packs'!$CO$9</f>
        <v>2796.7</v>
      </c>
      <c r="BW96" s="60">
        <f>'LookUp Roll&amp;Packs'!$CQ$9</f>
        <v>175.14</v>
      </c>
      <c r="BX96" s="61">
        <f>'LookUp Roll&amp;Packs'!$CP$9</f>
        <v>66.8</v>
      </c>
      <c r="BY96" s="61">
        <v>1</v>
      </c>
      <c r="BZ96" s="62">
        <f t="shared" ref="BZ96:BZ98" si="61">BU96</f>
        <v>22.56</v>
      </c>
      <c r="CA96" s="67">
        <f t="shared" ref="CA96:CA98" si="62">((AI96*BO96)+BV96)/1000</f>
        <v>4.8698199999999998</v>
      </c>
      <c r="CB96" s="67"/>
      <c r="CC96" s="67">
        <f>(AI96*BR96)/1000</f>
        <v>0.25056</v>
      </c>
      <c r="CD96" s="67">
        <f t="shared" ref="CD96:CD98" si="63">BW96/1000</f>
        <v>0.17513999999999999</v>
      </c>
      <c r="CE96" s="67">
        <f t="shared" ref="CE96:CE98" si="64">BX96/1000</f>
        <v>6.6799999999999998E-2</v>
      </c>
      <c r="CH96" s="54" t="s">
        <v>564</v>
      </c>
      <c r="CI96" s="1" t="s">
        <v>564</v>
      </c>
      <c r="CJ96" s="1" t="s">
        <v>564</v>
      </c>
    </row>
    <row r="97" spans="1:88" ht="20.100000000000001" customHeight="1">
      <c r="A97" s="84">
        <v>10001522</v>
      </c>
      <c r="B97" s="84">
        <v>10001522</v>
      </c>
      <c r="C97" s="84"/>
      <c r="D97" s="10">
        <v>10001522</v>
      </c>
      <c r="E97" s="17"/>
      <c r="F97" s="12" t="s">
        <v>110</v>
      </c>
      <c r="G97" s="12" t="s">
        <v>63</v>
      </c>
      <c r="H97" s="12" t="s">
        <v>271</v>
      </c>
      <c r="I97" s="12" t="s">
        <v>487</v>
      </c>
      <c r="J97" s="13"/>
      <c r="K97" s="13"/>
      <c r="L97" s="12" t="s">
        <v>273</v>
      </c>
      <c r="M97" s="12" t="s">
        <v>67</v>
      </c>
      <c r="N97" s="12" t="s">
        <v>237</v>
      </c>
      <c r="O97" s="12" t="s">
        <v>238</v>
      </c>
      <c r="P97" s="14">
        <v>0</v>
      </c>
      <c r="Q97" s="12" t="s">
        <v>324</v>
      </c>
      <c r="R97" s="12" t="s">
        <v>71</v>
      </c>
      <c r="S97" s="12" t="s">
        <v>72</v>
      </c>
      <c r="T97" s="13"/>
      <c r="U97" s="13"/>
      <c r="V97" s="12" t="s">
        <v>103</v>
      </c>
      <c r="W97" s="12" t="s">
        <v>104</v>
      </c>
      <c r="X97" s="12" t="s">
        <v>75</v>
      </c>
      <c r="Y97" s="12" t="s">
        <v>485</v>
      </c>
      <c r="Z97" s="13"/>
      <c r="AA97" s="14">
        <v>19.399999999999999</v>
      </c>
      <c r="AB97" s="13"/>
      <c r="AC97" s="12" t="s">
        <v>275</v>
      </c>
      <c r="AD97" s="14">
        <v>48043158</v>
      </c>
      <c r="AE97" s="12" t="s">
        <v>77</v>
      </c>
      <c r="AF97" s="13"/>
      <c r="AG97" s="12" t="s">
        <v>488</v>
      </c>
      <c r="AH97" s="14">
        <v>0.8</v>
      </c>
      <c r="AI97" s="14">
        <v>24</v>
      </c>
      <c r="AJ97" s="14">
        <v>1.2</v>
      </c>
      <c r="AK97" s="14">
        <v>1.2</v>
      </c>
      <c r="AL97" s="12" t="s">
        <v>79</v>
      </c>
      <c r="AM97" s="12" t="s">
        <v>62</v>
      </c>
      <c r="AN97" s="12" t="s">
        <v>281</v>
      </c>
      <c r="AO97" s="14">
        <v>466</v>
      </c>
      <c r="AP97" s="12" t="s">
        <v>81</v>
      </c>
      <c r="AQ97" s="13"/>
      <c r="AR97" s="12" t="s">
        <v>83</v>
      </c>
      <c r="AS97" s="12" t="s">
        <v>84</v>
      </c>
      <c r="AT97" s="12" t="s">
        <v>110</v>
      </c>
      <c r="AU97" s="13"/>
      <c r="AV97" s="15">
        <v>0.15</v>
      </c>
      <c r="AW97" s="15">
        <v>0.85</v>
      </c>
      <c r="AX97" s="13"/>
      <c r="AY97" s="15">
        <v>0.15</v>
      </c>
      <c r="AZ97" s="15">
        <v>0.3</v>
      </c>
      <c r="BA97" s="15">
        <v>0.55000000000000004</v>
      </c>
      <c r="BB97" s="14">
        <v>217</v>
      </c>
      <c r="BC97" s="14">
        <v>23</v>
      </c>
      <c r="BD97" s="14">
        <v>13.5</v>
      </c>
      <c r="BE97" s="13"/>
      <c r="BF97" s="13"/>
      <c r="BG97" s="13"/>
      <c r="BH97" s="13"/>
      <c r="BI97" s="12" t="s">
        <v>419</v>
      </c>
      <c r="BJ97" s="12" t="s">
        <v>89</v>
      </c>
      <c r="BK97" s="13"/>
      <c r="BL97" s="13"/>
      <c r="BM97" s="12" t="s">
        <v>457</v>
      </c>
      <c r="BO97" s="60">
        <f>'LookUp Roll&amp;Packs'!$U$10</f>
        <v>71.260000000000005</v>
      </c>
      <c r="BR97" s="60">
        <f>'LookUp Roll&amp;Packs'!$V$10</f>
        <v>7.78</v>
      </c>
      <c r="BT97" s="62">
        <f>AI97</f>
        <v>24</v>
      </c>
      <c r="BU97" s="60">
        <f>'LookUp Roll&amp;Packs'!$BI$10</f>
        <v>22.56</v>
      </c>
      <c r="BV97" s="60">
        <f>'LookUp Roll&amp;Packs'!$CO$10</f>
        <v>2796.7</v>
      </c>
      <c r="BW97" s="60">
        <f>'LookUp Roll&amp;Packs'!$CQ$10</f>
        <v>160.74</v>
      </c>
      <c r="BX97" s="61">
        <f>'LookUp Roll&amp;Packs'!$CP$10</f>
        <v>66.8</v>
      </c>
      <c r="BY97" s="61">
        <v>1</v>
      </c>
      <c r="BZ97" s="62">
        <f t="shared" si="61"/>
        <v>22.56</v>
      </c>
      <c r="CA97" s="67">
        <f t="shared" si="62"/>
        <v>4.5069400000000002</v>
      </c>
      <c r="CB97" s="67"/>
      <c r="CC97" s="67">
        <f>(AI97*BR97)/1000</f>
        <v>0.18672</v>
      </c>
      <c r="CD97" s="67">
        <f t="shared" si="63"/>
        <v>0.16074000000000002</v>
      </c>
      <c r="CE97" s="67">
        <f t="shared" si="64"/>
        <v>6.6799999999999998E-2</v>
      </c>
      <c r="CH97" s="55" t="s">
        <v>564</v>
      </c>
      <c r="CI97" s="1" t="s">
        <v>564</v>
      </c>
      <c r="CJ97" s="1" t="s">
        <v>564</v>
      </c>
    </row>
    <row r="98" spans="1:88" ht="20.100000000000001" customHeight="1">
      <c r="A98" s="84">
        <v>10001523</v>
      </c>
      <c r="B98" s="84">
        <v>10001523</v>
      </c>
      <c r="C98" s="84"/>
      <c r="D98" s="10">
        <v>10001523</v>
      </c>
      <c r="E98" s="17"/>
      <c r="F98" s="12" t="s">
        <v>110</v>
      </c>
      <c r="G98" s="12" t="s">
        <v>63</v>
      </c>
      <c r="H98" s="12" t="s">
        <v>271</v>
      </c>
      <c r="I98" s="12" t="s">
        <v>489</v>
      </c>
      <c r="J98" s="13"/>
      <c r="K98" s="13"/>
      <c r="L98" s="12" t="s">
        <v>273</v>
      </c>
      <c r="M98" s="12" t="s">
        <v>67</v>
      </c>
      <c r="N98" s="12" t="s">
        <v>490</v>
      </c>
      <c r="O98" s="12" t="s">
        <v>491</v>
      </c>
      <c r="P98" s="14">
        <v>0</v>
      </c>
      <c r="Q98" s="12" t="s">
        <v>177</v>
      </c>
      <c r="R98" s="12" t="s">
        <v>71</v>
      </c>
      <c r="S98" s="12" t="s">
        <v>72</v>
      </c>
      <c r="T98" s="13"/>
      <c r="U98" s="13"/>
      <c r="V98" s="12" t="s">
        <v>492</v>
      </c>
      <c r="W98" s="12" t="s">
        <v>318</v>
      </c>
      <c r="X98" s="12" t="s">
        <v>75</v>
      </c>
      <c r="Y98" s="12" t="s">
        <v>485</v>
      </c>
      <c r="Z98" s="13"/>
      <c r="AA98" s="14">
        <v>19.3</v>
      </c>
      <c r="AB98" s="13"/>
      <c r="AC98" s="12" t="s">
        <v>275</v>
      </c>
      <c r="AD98" s="14">
        <v>48043158</v>
      </c>
      <c r="AE98" s="12" t="s">
        <v>77</v>
      </c>
      <c r="AF98" s="13"/>
      <c r="AG98" s="12" t="s">
        <v>493</v>
      </c>
      <c r="AH98" s="14">
        <v>0.8</v>
      </c>
      <c r="AI98" s="14">
        <v>24</v>
      </c>
      <c r="AJ98" s="14">
        <v>1.2</v>
      </c>
      <c r="AK98" s="14">
        <v>1.2</v>
      </c>
      <c r="AL98" s="12" t="s">
        <v>79</v>
      </c>
      <c r="AM98" s="12" t="s">
        <v>62</v>
      </c>
      <c r="AN98" s="12" t="s">
        <v>494</v>
      </c>
      <c r="AO98" s="14">
        <v>464</v>
      </c>
      <c r="AP98" s="12" t="s">
        <v>81</v>
      </c>
      <c r="AQ98" s="12" t="s">
        <v>146</v>
      </c>
      <c r="AR98" s="12" t="s">
        <v>83</v>
      </c>
      <c r="AS98" s="12" t="s">
        <v>84</v>
      </c>
      <c r="AT98" s="12" t="s">
        <v>110</v>
      </c>
      <c r="AU98" s="13"/>
      <c r="AV98" s="15">
        <v>0.15</v>
      </c>
      <c r="AW98" s="15">
        <v>0.85</v>
      </c>
      <c r="AX98" s="13"/>
      <c r="AY98" s="15">
        <v>0.15</v>
      </c>
      <c r="AZ98" s="15">
        <v>0.3</v>
      </c>
      <c r="BA98" s="15">
        <v>0.55000000000000004</v>
      </c>
      <c r="BB98" s="13"/>
      <c r="BC98" s="13"/>
      <c r="BD98" s="13"/>
      <c r="BE98" s="13"/>
      <c r="BF98" s="13"/>
      <c r="BG98" s="13"/>
      <c r="BH98" s="13"/>
      <c r="BI98" s="12" t="s">
        <v>419</v>
      </c>
      <c r="BJ98" s="12" t="s">
        <v>89</v>
      </c>
      <c r="BK98" s="13"/>
      <c r="BL98" s="13"/>
      <c r="BM98" s="12" t="s">
        <v>457</v>
      </c>
      <c r="BO98" s="60">
        <f>'LookUp Roll&amp;Packs'!$U$10</f>
        <v>71.260000000000005</v>
      </c>
      <c r="BR98" s="60">
        <f>'LookUp Roll&amp;Packs'!$V$10</f>
        <v>7.78</v>
      </c>
      <c r="BT98" s="62">
        <f>AI98</f>
        <v>24</v>
      </c>
      <c r="BU98" s="60">
        <f>'LookUp Roll&amp;Packs'!$BI$10</f>
        <v>22.56</v>
      </c>
      <c r="BV98" s="60">
        <f>'LookUp Roll&amp;Packs'!$CO$10</f>
        <v>2796.7</v>
      </c>
      <c r="BW98" s="60">
        <f>'LookUp Roll&amp;Packs'!$CQ$10</f>
        <v>160.74</v>
      </c>
      <c r="BX98" s="61">
        <f>'LookUp Roll&amp;Packs'!$CP$10</f>
        <v>66.8</v>
      </c>
      <c r="BY98" s="61">
        <v>1</v>
      </c>
      <c r="BZ98" s="62">
        <f t="shared" si="61"/>
        <v>22.56</v>
      </c>
      <c r="CA98" s="67">
        <f t="shared" si="62"/>
        <v>4.5069400000000002</v>
      </c>
      <c r="CB98" s="67"/>
      <c r="CC98" s="67">
        <f>(AI98*BR98)/1000</f>
        <v>0.18672</v>
      </c>
      <c r="CD98" s="67">
        <f t="shared" si="63"/>
        <v>0.16074000000000002</v>
      </c>
      <c r="CE98" s="67">
        <f t="shared" si="64"/>
        <v>6.6799999999999998E-2</v>
      </c>
      <c r="CH98" s="55" t="s">
        <v>564</v>
      </c>
    </row>
    <row r="99" spans="1:88" ht="20.100000000000001" customHeight="1">
      <c r="B99" s="84"/>
      <c r="C99" s="84"/>
      <c r="D99" s="91">
        <v>10001534</v>
      </c>
      <c r="E99" s="93" t="s">
        <v>61</v>
      </c>
      <c r="F99" s="93" t="s">
        <v>62</v>
      </c>
      <c r="G99" s="93" t="s">
        <v>112</v>
      </c>
      <c r="H99" s="93" t="s">
        <v>198</v>
      </c>
      <c r="I99" s="93" t="s">
        <v>711</v>
      </c>
      <c r="J99" s="93"/>
      <c r="K99" s="93"/>
      <c r="L99" s="93"/>
      <c r="M99" s="12"/>
      <c r="N99" s="12" t="s">
        <v>712</v>
      </c>
      <c r="O99" s="93" t="s">
        <v>709</v>
      </c>
      <c r="P99" s="94">
        <v>1</v>
      </c>
      <c r="Q99" s="93" t="s">
        <v>70</v>
      </c>
      <c r="R99" s="93" t="s">
        <v>71</v>
      </c>
      <c r="S99" s="12"/>
      <c r="T99" s="13"/>
      <c r="U99" s="13"/>
      <c r="V99" s="12"/>
      <c r="W99" s="12"/>
      <c r="X99" s="12"/>
      <c r="Y99" s="12"/>
      <c r="Z99" s="13"/>
      <c r="AA99" s="14"/>
      <c r="AB99" s="13"/>
      <c r="AC99" s="12"/>
      <c r="AD99" s="14"/>
      <c r="AE99" s="12"/>
      <c r="AF99" s="13"/>
      <c r="AG99" s="12"/>
      <c r="AH99" s="14"/>
      <c r="AI99" s="14"/>
      <c r="AJ99" s="14"/>
      <c r="AK99" s="14"/>
      <c r="AL99" s="12"/>
      <c r="AM99" s="12"/>
      <c r="AN99" s="12"/>
      <c r="AO99" s="14"/>
      <c r="AP99" s="12"/>
      <c r="AQ99" s="12"/>
      <c r="AR99" s="12"/>
      <c r="AS99" s="12"/>
      <c r="AT99" s="12"/>
      <c r="AU99" s="13"/>
      <c r="AV99" s="15"/>
      <c r="AW99" s="15"/>
      <c r="AX99" s="13"/>
      <c r="AY99" s="15"/>
      <c r="AZ99" s="15"/>
      <c r="BA99" s="15"/>
      <c r="BB99" s="13"/>
      <c r="BC99" s="13"/>
      <c r="BD99" s="13"/>
      <c r="BE99" s="13"/>
      <c r="BF99" s="13"/>
      <c r="BG99" s="13"/>
      <c r="BH99" s="13"/>
      <c r="BI99" s="12"/>
      <c r="BJ99" s="12"/>
      <c r="BK99" s="13"/>
      <c r="BL99" s="13"/>
      <c r="BM99" s="12"/>
      <c r="BX99" s="61"/>
      <c r="BY99" s="61"/>
      <c r="CA99" s="67"/>
      <c r="CB99" s="67"/>
      <c r="CC99" s="67"/>
      <c r="CD99" s="67"/>
      <c r="CE99" s="67"/>
      <c r="CH99" s="55"/>
      <c r="CJ99" s="1" t="s">
        <v>564</v>
      </c>
    </row>
    <row r="100" spans="1:88" ht="20.100000000000001" customHeight="1">
      <c r="A100" s="84">
        <v>10001590</v>
      </c>
      <c r="B100" s="84">
        <v>10001590</v>
      </c>
      <c r="C100" s="84"/>
      <c r="D100" s="10">
        <v>10001590</v>
      </c>
      <c r="E100" s="11" t="s">
        <v>61</v>
      </c>
      <c r="F100" s="12" t="s">
        <v>62</v>
      </c>
      <c r="G100" s="12" t="s">
        <v>412</v>
      </c>
      <c r="H100" s="12" t="s">
        <v>413</v>
      </c>
      <c r="I100" s="12" t="s">
        <v>414</v>
      </c>
      <c r="J100" s="13"/>
      <c r="K100" s="13"/>
      <c r="L100" s="12" t="s">
        <v>85</v>
      </c>
      <c r="M100" s="12" t="s">
        <v>201</v>
      </c>
      <c r="N100" s="13"/>
      <c r="O100" s="13"/>
      <c r="P100" s="14">
        <v>0</v>
      </c>
      <c r="Q100" s="12" t="s">
        <v>85</v>
      </c>
      <c r="R100" s="12" t="s">
        <v>71</v>
      </c>
      <c r="S100" s="12" t="s">
        <v>72</v>
      </c>
      <c r="T100" s="13"/>
      <c r="U100" s="13"/>
      <c r="V100" s="12" t="s">
        <v>495</v>
      </c>
      <c r="W100" s="14">
        <v>0.11</v>
      </c>
      <c r="X100" s="14">
        <v>0.15</v>
      </c>
      <c r="Y100" s="12" t="s">
        <v>415</v>
      </c>
      <c r="Z100" s="13"/>
      <c r="AA100" s="14">
        <v>13.1</v>
      </c>
      <c r="AB100" s="13"/>
      <c r="AC100" s="13"/>
      <c r="AD100" s="14">
        <v>38249992</v>
      </c>
      <c r="AE100" s="12" t="s">
        <v>77</v>
      </c>
      <c r="AF100" s="13"/>
      <c r="AG100" s="12" t="s">
        <v>416</v>
      </c>
      <c r="AH100" s="14">
        <v>0.8</v>
      </c>
      <c r="AI100" s="13"/>
      <c r="AJ100" s="14">
        <v>1.2</v>
      </c>
      <c r="AK100" s="14">
        <v>1.83</v>
      </c>
      <c r="AL100" s="12" t="s">
        <v>496</v>
      </c>
      <c r="AM100" s="12" t="s">
        <v>62</v>
      </c>
      <c r="AN100" s="14">
        <v>599.5</v>
      </c>
      <c r="AO100" s="14">
        <v>578</v>
      </c>
      <c r="AP100" s="12" t="s">
        <v>81</v>
      </c>
      <c r="AQ100" s="13"/>
      <c r="AR100" s="12" t="s">
        <v>83</v>
      </c>
      <c r="AS100" s="12" t="s">
        <v>84</v>
      </c>
      <c r="AT100" s="12" t="s">
        <v>110</v>
      </c>
      <c r="AU100" s="13"/>
      <c r="AV100" s="12" t="s">
        <v>116</v>
      </c>
      <c r="AW100" s="12" t="s">
        <v>116</v>
      </c>
      <c r="AX100" s="12" t="s">
        <v>116</v>
      </c>
      <c r="AY100" s="14">
        <v>0</v>
      </c>
      <c r="AZ100" s="13"/>
      <c r="BA100" s="13"/>
      <c r="BB100" s="13"/>
      <c r="BC100" s="13"/>
      <c r="BD100" s="13"/>
      <c r="BE100" s="13"/>
      <c r="BF100" s="13"/>
      <c r="BG100" s="12" t="s">
        <v>417</v>
      </c>
      <c r="BH100" s="12" t="s">
        <v>418</v>
      </c>
      <c r="BI100" s="12" t="s">
        <v>419</v>
      </c>
      <c r="BJ100" s="12" t="s">
        <v>89</v>
      </c>
      <c r="BK100" s="13"/>
      <c r="BL100" s="13"/>
      <c r="BM100" s="12" t="s">
        <v>457</v>
      </c>
      <c r="BP100" s="60">
        <f>'LookUp Gelpacks'!C4</f>
        <v>4.4401500000000009</v>
      </c>
      <c r="BS100" s="62">
        <f>'LookUp Gelpacks'!S4</f>
        <v>0.65400000000000003</v>
      </c>
      <c r="BT100" s="62">
        <f>'LookUp Gelpacks'!F4</f>
        <v>125</v>
      </c>
      <c r="BV100" s="60">
        <f>'LookUp Gelpacks'!S4</f>
        <v>0.65400000000000003</v>
      </c>
      <c r="BX100" s="61"/>
      <c r="BY100" s="61">
        <f>'LookUp Gelpacks'!V4</f>
        <v>44</v>
      </c>
      <c r="BZ100" s="62">
        <f>'LookUp Gelpacks'!AW4</f>
        <v>22.56</v>
      </c>
      <c r="CA100" s="62">
        <f>'LookUp Gelpacks'!CB4</f>
        <v>257.38</v>
      </c>
      <c r="CF100" s="62"/>
      <c r="CG100" s="1"/>
      <c r="CJ100" s="1" t="s">
        <v>564</v>
      </c>
    </row>
    <row r="101" spans="1:88" ht="20.100000000000001" customHeight="1">
      <c r="A101" s="84">
        <v>10001591</v>
      </c>
      <c r="B101" s="84">
        <v>10001591</v>
      </c>
      <c r="C101" s="84"/>
      <c r="D101" s="10">
        <v>10001591</v>
      </c>
      <c r="E101" s="11" t="s">
        <v>61</v>
      </c>
      <c r="F101" s="12" t="s">
        <v>62</v>
      </c>
      <c r="G101" s="12" t="s">
        <v>412</v>
      </c>
      <c r="H101" s="12" t="s">
        <v>413</v>
      </c>
      <c r="I101" s="12" t="s">
        <v>497</v>
      </c>
      <c r="J101" s="13"/>
      <c r="K101" s="13"/>
      <c r="L101" s="12" t="s">
        <v>85</v>
      </c>
      <c r="M101" s="12" t="s">
        <v>201</v>
      </c>
      <c r="N101" s="13"/>
      <c r="O101" s="13"/>
      <c r="P101" s="14">
        <v>0</v>
      </c>
      <c r="Q101" s="12" t="s">
        <v>85</v>
      </c>
      <c r="R101" s="12" t="s">
        <v>71</v>
      </c>
      <c r="S101" s="12" t="s">
        <v>72</v>
      </c>
      <c r="T101" s="13"/>
      <c r="U101" s="13"/>
      <c r="V101" s="12" t="s">
        <v>498</v>
      </c>
      <c r="W101" s="14">
        <v>0.13</v>
      </c>
      <c r="X101" s="14">
        <v>0.15</v>
      </c>
      <c r="Y101" s="12" t="s">
        <v>415</v>
      </c>
      <c r="Z101" s="13"/>
      <c r="AA101" s="14">
        <v>14.6</v>
      </c>
      <c r="AB101" s="13"/>
      <c r="AC101" s="13"/>
      <c r="AD101" s="14">
        <v>38249992</v>
      </c>
      <c r="AE101" s="12" t="s">
        <v>77</v>
      </c>
      <c r="AF101" s="13"/>
      <c r="AG101" s="12" t="s">
        <v>499</v>
      </c>
      <c r="AH101" s="14">
        <v>0.8</v>
      </c>
      <c r="AI101" s="13"/>
      <c r="AJ101" s="14">
        <v>1.2</v>
      </c>
      <c r="AK101" s="14">
        <v>1.83</v>
      </c>
      <c r="AL101" s="12" t="s">
        <v>496</v>
      </c>
      <c r="AM101" s="12" t="s">
        <v>62</v>
      </c>
      <c r="AN101" s="14">
        <v>665.28</v>
      </c>
      <c r="AO101" s="14">
        <v>641</v>
      </c>
      <c r="AP101" s="12" t="s">
        <v>81</v>
      </c>
      <c r="AQ101" s="13"/>
      <c r="AR101" s="12" t="s">
        <v>83</v>
      </c>
      <c r="AS101" s="12" t="s">
        <v>84</v>
      </c>
      <c r="AT101" s="12" t="s">
        <v>110</v>
      </c>
      <c r="AU101" s="13"/>
      <c r="AV101" s="12" t="s">
        <v>116</v>
      </c>
      <c r="AW101" s="12" t="s">
        <v>116</v>
      </c>
      <c r="AX101" s="12" t="s">
        <v>116</v>
      </c>
      <c r="AY101" s="14">
        <v>0</v>
      </c>
      <c r="AZ101" s="13"/>
      <c r="BA101" s="13"/>
      <c r="BB101" s="13"/>
      <c r="BC101" s="13"/>
      <c r="BD101" s="13"/>
      <c r="BE101" s="13"/>
      <c r="BF101" s="13"/>
      <c r="BG101" s="12" t="s">
        <v>417</v>
      </c>
      <c r="BH101" s="12" t="s">
        <v>418</v>
      </c>
      <c r="BI101" s="12" t="s">
        <v>419</v>
      </c>
      <c r="BJ101" s="12" t="s">
        <v>89</v>
      </c>
      <c r="BK101" s="13"/>
      <c r="BL101" s="13"/>
      <c r="BM101" s="12" t="s">
        <v>457</v>
      </c>
      <c r="BT101" s="62">
        <f t="shared" ref="BT101:BT117" si="65">AI101</f>
        <v>0</v>
      </c>
      <c r="BX101" s="61"/>
      <c r="BY101" s="61">
        <v>1</v>
      </c>
      <c r="CF101" s="62"/>
      <c r="CG101" s="1"/>
      <c r="CJ101" s="1" t="s">
        <v>564</v>
      </c>
    </row>
    <row r="102" spans="1:88" ht="20.100000000000001" customHeight="1">
      <c r="A102" s="84">
        <v>10001592</v>
      </c>
      <c r="B102" s="84">
        <v>10001592</v>
      </c>
      <c r="C102" s="84"/>
      <c r="D102" s="10">
        <v>10001592</v>
      </c>
      <c r="E102" s="11" t="s">
        <v>61</v>
      </c>
      <c r="F102" s="12" t="s">
        <v>62</v>
      </c>
      <c r="G102" s="12" t="s">
        <v>412</v>
      </c>
      <c r="H102" s="12" t="s">
        <v>413</v>
      </c>
      <c r="I102" s="12" t="s">
        <v>500</v>
      </c>
      <c r="J102" s="13"/>
      <c r="K102" s="13"/>
      <c r="L102" s="12" t="s">
        <v>85</v>
      </c>
      <c r="M102" s="12" t="s">
        <v>201</v>
      </c>
      <c r="N102" s="13"/>
      <c r="O102" s="13"/>
      <c r="P102" s="14">
        <v>0</v>
      </c>
      <c r="Q102" s="12" t="s">
        <v>85</v>
      </c>
      <c r="R102" s="12" t="s">
        <v>71</v>
      </c>
      <c r="S102" s="12" t="s">
        <v>72</v>
      </c>
      <c r="T102" s="13"/>
      <c r="U102" s="13"/>
      <c r="V102" s="12" t="s">
        <v>501</v>
      </c>
      <c r="W102" s="14">
        <v>0.2</v>
      </c>
      <c r="X102" s="14">
        <v>0.15</v>
      </c>
      <c r="Y102" s="12" t="s">
        <v>415</v>
      </c>
      <c r="Z102" s="13"/>
      <c r="AA102" s="14">
        <v>16.5</v>
      </c>
      <c r="AB102" s="13"/>
      <c r="AC102" s="13"/>
      <c r="AD102" s="14">
        <v>38249992</v>
      </c>
      <c r="AE102" s="12" t="s">
        <v>77</v>
      </c>
      <c r="AF102" s="13"/>
      <c r="AG102" s="12" t="s">
        <v>502</v>
      </c>
      <c r="AH102" s="14">
        <v>0.8</v>
      </c>
      <c r="AI102" s="13"/>
      <c r="AJ102" s="14">
        <v>1.2</v>
      </c>
      <c r="AK102" s="14">
        <v>1.83</v>
      </c>
      <c r="AL102" s="12" t="s">
        <v>496</v>
      </c>
      <c r="AM102" s="12" t="s">
        <v>62</v>
      </c>
      <c r="AN102" s="14">
        <v>749.76</v>
      </c>
      <c r="AO102" s="14">
        <v>725</v>
      </c>
      <c r="AP102" s="12" t="s">
        <v>81</v>
      </c>
      <c r="AQ102" s="13"/>
      <c r="AR102" s="12" t="s">
        <v>83</v>
      </c>
      <c r="AS102" s="12" t="s">
        <v>84</v>
      </c>
      <c r="AT102" s="12" t="s">
        <v>110</v>
      </c>
      <c r="AU102" s="13"/>
      <c r="AV102" s="12" t="s">
        <v>116</v>
      </c>
      <c r="AW102" s="12" t="s">
        <v>116</v>
      </c>
      <c r="AX102" s="12" t="s">
        <v>116</v>
      </c>
      <c r="AY102" s="14">
        <v>0</v>
      </c>
      <c r="AZ102" s="13"/>
      <c r="BA102" s="13"/>
      <c r="BB102" s="13"/>
      <c r="BC102" s="13"/>
      <c r="BD102" s="13"/>
      <c r="BE102" s="13"/>
      <c r="BF102" s="13"/>
      <c r="BG102" s="12" t="s">
        <v>417</v>
      </c>
      <c r="BH102" s="12" t="s">
        <v>418</v>
      </c>
      <c r="BI102" s="12" t="s">
        <v>419</v>
      </c>
      <c r="BJ102" s="12" t="s">
        <v>89</v>
      </c>
      <c r="BK102" s="13"/>
      <c r="BL102" s="13"/>
      <c r="BM102" s="12" t="s">
        <v>457</v>
      </c>
      <c r="BT102" s="62">
        <f t="shared" si="65"/>
        <v>0</v>
      </c>
      <c r="BX102" s="61"/>
      <c r="BY102" s="61">
        <v>1</v>
      </c>
      <c r="CF102" s="62"/>
      <c r="CG102" s="1"/>
      <c r="CJ102" s="1" t="s">
        <v>564</v>
      </c>
    </row>
    <row r="103" spans="1:88" ht="20.100000000000001" customHeight="1">
      <c r="A103" s="84">
        <v>10001593</v>
      </c>
      <c r="B103" s="84">
        <v>10001593</v>
      </c>
      <c r="C103" s="84"/>
      <c r="D103" s="10">
        <v>10001593</v>
      </c>
      <c r="E103" s="11" t="s">
        <v>61</v>
      </c>
      <c r="F103" s="12" t="s">
        <v>62</v>
      </c>
      <c r="G103" s="12" t="s">
        <v>412</v>
      </c>
      <c r="H103" s="12" t="s">
        <v>413</v>
      </c>
      <c r="I103" s="12" t="s">
        <v>503</v>
      </c>
      <c r="J103" s="13"/>
      <c r="K103" s="13"/>
      <c r="L103" s="12" t="s">
        <v>85</v>
      </c>
      <c r="M103" s="12" t="s">
        <v>201</v>
      </c>
      <c r="N103" s="13"/>
      <c r="O103" s="13"/>
      <c r="P103" s="14">
        <v>0</v>
      </c>
      <c r="Q103" s="12" t="s">
        <v>85</v>
      </c>
      <c r="R103" s="12" t="s">
        <v>71</v>
      </c>
      <c r="S103" s="12" t="s">
        <v>72</v>
      </c>
      <c r="T103" s="13"/>
      <c r="U103" s="13"/>
      <c r="V103" s="12" t="s">
        <v>470</v>
      </c>
      <c r="W103" s="14">
        <v>0.22</v>
      </c>
      <c r="X103" s="14">
        <v>0.15</v>
      </c>
      <c r="Y103" s="12" t="s">
        <v>415</v>
      </c>
      <c r="Z103" s="13"/>
      <c r="AA103" s="14">
        <v>16.5</v>
      </c>
      <c r="AB103" s="13"/>
      <c r="AC103" s="13"/>
      <c r="AD103" s="14">
        <v>38249992</v>
      </c>
      <c r="AE103" s="12" t="s">
        <v>77</v>
      </c>
      <c r="AF103" s="13"/>
      <c r="AG103" s="12" t="s">
        <v>504</v>
      </c>
      <c r="AH103" s="14">
        <v>0.8</v>
      </c>
      <c r="AI103" s="13"/>
      <c r="AJ103" s="14">
        <v>1.2</v>
      </c>
      <c r="AK103" s="14">
        <v>1.83</v>
      </c>
      <c r="AL103" s="12" t="s">
        <v>496</v>
      </c>
      <c r="AM103" s="12" t="s">
        <v>62</v>
      </c>
      <c r="AN103" s="14">
        <v>750.46400000000006</v>
      </c>
      <c r="AO103" s="14">
        <v>725</v>
      </c>
      <c r="AP103" s="12" t="s">
        <v>81</v>
      </c>
      <c r="AQ103" s="13"/>
      <c r="AR103" s="12" t="s">
        <v>83</v>
      </c>
      <c r="AS103" s="12" t="s">
        <v>84</v>
      </c>
      <c r="AT103" s="12" t="s">
        <v>110</v>
      </c>
      <c r="AU103" s="13"/>
      <c r="AV103" s="12" t="s">
        <v>116</v>
      </c>
      <c r="AW103" s="12" t="s">
        <v>116</v>
      </c>
      <c r="AX103" s="12" t="s">
        <v>116</v>
      </c>
      <c r="AY103" s="14">
        <v>0</v>
      </c>
      <c r="AZ103" s="13"/>
      <c r="BA103" s="13"/>
      <c r="BB103" s="13"/>
      <c r="BC103" s="13"/>
      <c r="BD103" s="13"/>
      <c r="BE103" s="13"/>
      <c r="BF103" s="13"/>
      <c r="BG103" s="12" t="s">
        <v>417</v>
      </c>
      <c r="BH103" s="12" t="s">
        <v>418</v>
      </c>
      <c r="BI103" s="12" t="s">
        <v>419</v>
      </c>
      <c r="BJ103" s="12" t="s">
        <v>89</v>
      </c>
      <c r="BK103" s="13"/>
      <c r="BL103" s="13"/>
      <c r="BM103" s="12" t="s">
        <v>457</v>
      </c>
      <c r="BT103" s="62">
        <f t="shared" si="65"/>
        <v>0</v>
      </c>
      <c r="BX103" s="61"/>
      <c r="BY103" s="61">
        <v>1</v>
      </c>
      <c r="CF103" s="62"/>
      <c r="CG103" s="1"/>
      <c r="CJ103" s="1" t="s">
        <v>564</v>
      </c>
    </row>
    <row r="104" spans="1:88" ht="20.100000000000001" customHeight="1">
      <c r="A104" s="84">
        <v>10001594</v>
      </c>
      <c r="B104" s="85">
        <v>10001594</v>
      </c>
      <c r="C104" s="85"/>
      <c r="D104" s="86">
        <v>10001594</v>
      </c>
      <c r="E104" s="11" t="s">
        <v>61</v>
      </c>
      <c r="F104" s="12" t="s">
        <v>62</v>
      </c>
      <c r="G104" s="12" t="s">
        <v>412</v>
      </c>
      <c r="H104" s="12" t="s">
        <v>413</v>
      </c>
      <c r="I104" s="12" t="s">
        <v>505</v>
      </c>
      <c r="J104" s="13"/>
      <c r="K104" s="13"/>
      <c r="L104" s="12" t="s">
        <v>85</v>
      </c>
      <c r="M104" s="12" t="s">
        <v>201</v>
      </c>
      <c r="N104" s="13"/>
      <c r="O104" s="13"/>
      <c r="P104" s="14">
        <v>0</v>
      </c>
      <c r="Q104" s="12" t="s">
        <v>85</v>
      </c>
      <c r="R104" s="12" t="s">
        <v>71</v>
      </c>
      <c r="S104" s="12" t="s">
        <v>72</v>
      </c>
      <c r="T104" s="13"/>
      <c r="U104" s="13"/>
      <c r="V104" s="12" t="s">
        <v>506</v>
      </c>
      <c r="W104" s="14">
        <v>0.24</v>
      </c>
      <c r="X104" s="14">
        <v>0.15</v>
      </c>
      <c r="Y104" s="12" t="s">
        <v>415</v>
      </c>
      <c r="Z104" s="13"/>
      <c r="AA104" s="14">
        <v>15.6</v>
      </c>
      <c r="AB104" s="13"/>
      <c r="AC104" s="13"/>
      <c r="AD104" s="14">
        <v>38249992</v>
      </c>
      <c r="AE104" s="12" t="s">
        <v>77</v>
      </c>
      <c r="AF104" s="13"/>
      <c r="AG104" s="12" t="s">
        <v>507</v>
      </c>
      <c r="AH104" s="14">
        <v>0.8</v>
      </c>
      <c r="AI104" s="13"/>
      <c r="AJ104" s="14">
        <v>1.2</v>
      </c>
      <c r="AK104" s="14">
        <v>1.83</v>
      </c>
      <c r="AL104" s="12" t="s">
        <v>496</v>
      </c>
      <c r="AM104" s="12" t="s">
        <v>62</v>
      </c>
      <c r="AN104" s="14">
        <v>709.63199999999995</v>
      </c>
      <c r="AO104" s="14">
        <v>685</v>
      </c>
      <c r="AP104" s="12" t="s">
        <v>81</v>
      </c>
      <c r="AQ104" s="13"/>
      <c r="AR104" s="12" t="s">
        <v>83</v>
      </c>
      <c r="AS104" s="12" t="s">
        <v>84</v>
      </c>
      <c r="AT104" s="12" t="s">
        <v>110</v>
      </c>
      <c r="AU104" s="13"/>
      <c r="AV104" s="12" t="s">
        <v>116</v>
      </c>
      <c r="AW104" s="12" t="s">
        <v>116</v>
      </c>
      <c r="AX104" s="12" t="s">
        <v>116</v>
      </c>
      <c r="AY104" s="14">
        <v>0</v>
      </c>
      <c r="AZ104" s="13"/>
      <c r="BA104" s="13"/>
      <c r="BB104" s="13"/>
      <c r="BC104" s="13"/>
      <c r="BD104" s="13"/>
      <c r="BE104" s="13"/>
      <c r="BF104" s="13"/>
      <c r="BG104" s="12" t="s">
        <v>417</v>
      </c>
      <c r="BH104" s="12" t="s">
        <v>418</v>
      </c>
      <c r="BI104" s="12" t="s">
        <v>419</v>
      </c>
      <c r="BJ104" s="12" t="s">
        <v>89</v>
      </c>
      <c r="BK104" s="13"/>
      <c r="BL104" s="13"/>
      <c r="BM104" s="12" t="s">
        <v>457</v>
      </c>
      <c r="BT104" s="62">
        <f t="shared" si="65"/>
        <v>0</v>
      </c>
      <c r="BX104" s="61"/>
      <c r="BY104" s="61">
        <v>1</v>
      </c>
      <c r="CF104" s="62"/>
      <c r="CG104" s="1"/>
      <c r="CJ104" s="1" t="s">
        <v>564</v>
      </c>
    </row>
    <row r="105" spans="1:88" ht="20.100000000000001" customHeight="1">
      <c r="D105" s="10">
        <v>10001595</v>
      </c>
      <c r="E105" s="11" t="s">
        <v>61</v>
      </c>
      <c r="F105" s="12" t="s">
        <v>62</v>
      </c>
      <c r="G105" s="12" t="s">
        <v>412</v>
      </c>
      <c r="H105" s="12" t="s">
        <v>413</v>
      </c>
      <c r="I105" s="12" t="s">
        <v>508</v>
      </c>
      <c r="J105" s="13"/>
      <c r="K105" s="13"/>
      <c r="L105" s="12" t="s">
        <v>85</v>
      </c>
      <c r="M105" s="12" t="s">
        <v>201</v>
      </c>
      <c r="N105" s="13"/>
      <c r="O105" s="13"/>
      <c r="P105" s="14">
        <v>0</v>
      </c>
      <c r="Q105" s="12" t="s">
        <v>85</v>
      </c>
      <c r="R105" s="12" t="s">
        <v>71</v>
      </c>
      <c r="S105" s="12" t="s">
        <v>72</v>
      </c>
      <c r="T105" s="13"/>
      <c r="U105" s="13"/>
      <c r="V105" s="12" t="s">
        <v>290</v>
      </c>
      <c r="W105" s="14">
        <v>0</v>
      </c>
      <c r="X105" s="14">
        <v>0</v>
      </c>
      <c r="Y105" s="12" t="s">
        <v>509</v>
      </c>
      <c r="Z105" s="13"/>
      <c r="AA105" s="14">
        <v>0</v>
      </c>
      <c r="AB105" s="13"/>
      <c r="AC105" s="13"/>
      <c r="AD105" s="14">
        <v>38249992</v>
      </c>
      <c r="AE105" s="12" t="s">
        <v>85</v>
      </c>
      <c r="AF105" s="13"/>
      <c r="AG105" s="12" t="s">
        <v>510</v>
      </c>
      <c r="AH105" s="14">
        <v>0</v>
      </c>
      <c r="AI105" s="13"/>
      <c r="AJ105" s="14">
        <v>0</v>
      </c>
      <c r="AK105" s="14">
        <v>0</v>
      </c>
      <c r="AL105" s="12" t="s">
        <v>85</v>
      </c>
      <c r="AM105" s="12" t="s">
        <v>62</v>
      </c>
      <c r="AN105" s="14">
        <v>0</v>
      </c>
      <c r="AO105" s="14">
        <v>0</v>
      </c>
      <c r="AP105" s="12" t="s">
        <v>81</v>
      </c>
      <c r="AQ105" s="13"/>
      <c r="AR105" s="12" t="s">
        <v>83</v>
      </c>
      <c r="AS105" s="12" t="s">
        <v>84</v>
      </c>
      <c r="AT105" s="12" t="s">
        <v>110</v>
      </c>
      <c r="AU105" s="13"/>
      <c r="AV105" s="12" t="s">
        <v>116</v>
      </c>
      <c r="AW105" s="12" t="s">
        <v>116</v>
      </c>
      <c r="AX105" s="12" t="s">
        <v>116</v>
      </c>
      <c r="AY105" s="14">
        <v>0</v>
      </c>
      <c r="AZ105" s="13"/>
      <c r="BA105" s="13"/>
      <c r="BB105" s="13"/>
      <c r="BC105" s="13"/>
      <c r="BD105" s="13"/>
      <c r="BE105" s="13"/>
      <c r="BF105" s="13"/>
      <c r="BG105" s="12" t="s">
        <v>417</v>
      </c>
      <c r="BH105" s="12" t="s">
        <v>418</v>
      </c>
      <c r="BI105" s="12" t="s">
        <v>419</v>
      </c>
      <c r="BJ105" s="12" t="s">
        <v>89</v>
      </c>
      <c r="BK105" s="13"/>
      <c r="BL105" s="13"/>
      <c r="BM105" s="12" t="s">
        <v>457</v>
      </c>
      <c r="BT105" s="62">
        <f t="shared" si="65"/>
        <v>0</v>
      </c>
      <c r="BX105" s="61"/>
      <c r="BY105" s="61">
        <v>1</v>
      </c>
      <c r="CF105" s="62"/>
      <c r="CG105" s="1"/>
      <c r="CJ105" s="1" t="s">
        <v>564</v>
      </c>
    </row>
    <row r="106" spans="1:88" ht="20.100000000000001" customHeight="1">
      <c r="D106" s="10">
        <v>10001596</v>
      </c>
      <c r="E106" s="11" t="s">
        <v>61</v>
      </c>
      <c r="F106" s="12" t="s">
        <v>62</v>
      </c>
      <c r="G106" s="12" t="s">
        <v>412</v>
      </c>
      <c r="H106" s="12" t="s">
        <v>413</v>
      </c>
      <c r="I106" s="12" t="s">
        <v>511</v>
      </c>
      <c r="J106" s="13"/>
      <c r="K106" s="13"/>
      <c r="L106" s="12" t="s">
        <v>85</v>
      </c>
      <c r="M106" s="12" t="s">
        <v>201</v>
      </c>
      <c r="N106" s="13"/>
      <c r="O106" s="13"/>
      <c r="P106" s="14">
        <v>0</v>
      </c>
      <c r="Q106" s="12" t="s">
        <v>85</v>
      </c>
      <c r="R106" s="12" t="s">
        <v>71</v>
      </c>
      <c r="S106" s="12" t="s">
        <v>72</v>
      </c>
      <c r="T106" s="13"/>
      <c r="U106" s="13"/>
      <c r="V106" s="12" t="s">
        <v>290</v>
      </c>
      <c r="W106" s="14">
        <v>0</v>
      </c>
      <c r="X106" s="14">
        <v>0</v>
      </c>
      <c r="Y106" s="12" t="s">
        <v>509</v>
      </c>
      <c r="Z106" s="13"/>
      <c r="AA106" s="14">
        <v>0</v>
      </c>
      <c r="AB106" s="13"/>
      <c r="AC106" s="13"/>
      <c r="AD106" s="14">
        <v>38249992</v>
      </c>
      <c r="AE106" s="12" t="s">
        <v>85</v>
      </c>
      <c r="AF106" s="13"/>
      <c r="AG106" s="12" t="s">
        <v>512</v>
      </c>
      <c r="AH106" s="14">
        <v>0</v>
      </c>
      <c r="AI106" s="13"/>
      <c r="AJ106" s="14">
        <v>0</v>
      </c>
      <c r="AK106" s="14">
        <v>0</v>
      </c>
      <c r="AL106" s="12" t="s">
        <v>85</v>
      </c>
      <c r="AM106" s="12" t="s">
        <v>62</v>
      </c>
      <c r="AN106" s="14">
        <v>0</v>
      </c>
      <c r="AO106" s="14">
        <v>0</v>
      </c>
      <c r="AP106" s="12" t="s">
        <v>81</v>
      </c>
      <c r="AQ106" s="13"/>
      <c r="AR106" s="12" t="s">
        <v>83</v>
      </c>
      <c r="AS106" s="12" t="s">
        <v>84</v>
      </c>
      <c r="AT106" s="12" t="s">
        <v>110</v>
      </c>
      <c r="AU106" s="13"/>
      <c r="AV106" s="12" t="s">
        <v>116</v>
      </c>
      <c r="AW106" s="12" t="s">
        <v>116</v>
      </c>
      <c r="AX106" s="12" t="s">
        <v>116</v>
      </c>
      <c r="AY106" s="14">
        <v>0</v>
      </c>
      <c r="AZ106" s="13"/>
      <c r="BA106" s="13"/>
      <c r="BB106" s="13"/>
      <c r="BC106" s="13"/>
      <c r="BD106" s="13"/>
      <c r="BE106" s="13"/>
      <c r="BF106" s="13"/>
      <c r="BG106" s="12" t="s">
        <v>417</v>
      </c>
      <c r="BH106" s="12" t="s">
        <v>418</v>
      </c>
      <c r="BI106" s="12" t="s">
        <v>419</v>
      </c>
      <c r="BJ106" s="12" t="s">
        <v>89</v>
      </c>
      <c r="BK106" s="13"/>
      <c r="BL106" s="13"/>
      <c r="BM106" s="12" t="s">
        <v>457</v>
      </c>
      <c r="BT106" s="62">
        <f t="shared" si="65"/>
        <v>0</v>
      </c>
      <c r="BX106" s="61"/>
      <c r="BY106" s="61">
        <v>1</v>
      </c>
      <c r="CF106" s="62"/>
      <c r="CG106" s="1"/>
      <c r="CJ106" s="1" t="s">
        <v>564</v>
      </c>
    </row>
    <row r="107" spans="1:88" ht="20.100000000000001" customHeight="1">
      <c r="D107" s="10">
        <v>10001597</v>
      </c>
      <c r="E107" s="11" t="s">
        <v>61</v>
      </c>
      <c r="F107" s="12" t="s">
        <v>62</v>
      </c>
      <c r="G107" s="12" t="s">
        <v>412</v>
      </c>
      <c r="H107" s="12" t="s">
        <v>413</v>
      </c>
      <c r="I107" s="12" t="s">
        <v>513</v>
      </c>
      <c r="J107" s="13"/>
      <c r="K107" s="13"/>
      <c r="L107" s="12" t="s">
        <v>85</v>
      </c>
      <c r="M107" s="12" t="s">
        <v>201</v>
      </c>
      <c r="N107" s="13"/>
      <c r="O107" s="13"/>
      <c r="P107" s="14">
        <v>0</v>
      </c>
      <c r="Q107" s="12" t="s">
        <v>85</v>
      </c>
      <c r="R107" s="12" t="s">
        <v>71</v>
      </c>
      <c r="S107" s="12" t="s">
        <v>72</v>
      </c>
      <c r="T107" s="13"/>
      <c r="U107" s="13"/>
      <c r="V107" s="12" t="s">
        <v>290</v>
      </c>
      <c r="W107" s="14">
        <v>0</v>
      </c>
      <c r="X107" s="14">
        <v>0</v>
      </c>
      <c r="Y107" s="12" t="s">
        <v>514</v>
      </c>
      <c r="Z107" s="13"/>
      <c r="AA107" s="14">
        <v>0</v>
      </c>
      <c r="AB107" s="13"/>
      <c r="AC107" s="13"/>
      <c r="AD107" s="14">
        <v>38249992</v>
      </c>
      <c r="AE107" s="12" t="s">
        <v>85</v>
      </c>
      <c r="AF107" s="13"/>
      <c r="AG107" s="12" t="s">
        <v>515</v>
      </c>
      <c r="AH107" s="14">
        <v>0</v>
      </c>
      <c r="AI107" s="13"/>
      <c r="AJ107" s="14">
        <v>0</v>
      </c>
      <c r="AK107" s="14">
        <v>0</v>
      </c>
      <c r="AL107" s="12" t="s">
        <v>85</v>
      </c>
      <c r="AM107" s="12" t="s">
        <v>62</v>
      </c>
      <c r="AN107" s="14">
        <v>0</v>
      </c>
      <c r="AO107" s="14">
        <v>0</v>
      </c>
      <c r="AP107" s="12" t="s">
        <v>81</v>
      </c>
      <c r="AQ107" s="13"/>
      <c r="AR107" s="12" t="s">
        <v>83</v>
      </c>
      <c r="AS107" s="12" t="s">
        <v>84</v>
      </c>
      <c r="AT107" s="12" t="s">
        <v>110</v>
      </c>
      <c r="AU107" s="13"/>
      <c r="AV107" s="12" t="s">
        <v>116</v>
      </c>
      <c r="AW107" s="12" t="s">
        <v>116</v>
      </c>
      <c r="AX107" s="12" t="s">
        <v>116</v>
      </c>
      <c r="AY107" s="14">
        <v>0</v>
      </c>
      <c r="AZ107" s="13"/>
      <c r="BA107" s="13"/>
      <c r="BB107" s="13"/>
      <c r="BC107" s="13"/>
      <c r="BD107" s="13"/>
      <c r="BE107" s="13"/>
      <c r="BF107" s="13"/>
      <c r="BG107" s="12" t="s">
        <v>417</v>
      </c>
      <c r="BH107" s="12" t="s">
        <v>418</v>
      </c>
      <c r="BI107" s="12" t="s">
        <v>419</v>
      </c>
      <c r="BJ107" s="12" t="s">
        <v>89</v>
      </c>
      <c r="BK107" s="13"/>
      <c r="BL107" s="13"/>
      <c r="BM107" s="12" t="s">
        <v>457</v>
      </c>
      <c r="BT107" s="62">
        <f t="shared" si="65"/>
        <v>0</v>
      </c>
      <c r="BX107" s="61"/>
      <c r="BY107" s="61">
        <v>1</v>
      </c>
      <c r="CF107" s="62"/>
      <c r="CG107" s="1"/>
      <c r="CJ107" s="1" t="s">
        <v>564</v>
      </c>
    </row>
    <row r="108" spans="1:88" ht="20.100000000000001" customHeight="1">
      <c r="A108" s="84">
        <v>10001603</v>
      </c>
      <c r="B108" s="84">
        <v>10001603</v>
      </c>
      <c r="C108" s="84"/>
      <c r="D108" s="10">
        <v>10001603</v>
      </c>
      <c r="E108" s="11" t="s">
        <v>61</v>
      </c>
      <c r="F108" s="12" t="s">
        <v>62</v>
      </c>
      <c r="G108" s="12" t="s">
        <v>412</v>
      </c>
      <c r="H108" s="12" t="s">
        <v>413</v>
      </c>
      <c r="I108" s="12" t="s">
        <v>414</v>
      </c>
      <c r="J108" s="13"/>
      <c r="K108" s="13"/>
      <c r="L108" s="12" t="s">
        <v>85</v>
      </c>
      <c r="M108" s="12" t="s">
        <v>201</v>
      </c>
      <c r="N108" s="13"/>
      <c r="O108" s="13"/>
      <c r="P108" s="14">
        <v>0</v>
      </c>
      <c r="Q108" s="12" t="s">
        <v>85</v>
      </c>
      <c r="R108" s="12" t="s">
        <v>71</v>
      </c>
      <c r="S108" s="12" t="s">
        <v>72</v>
      </c>
      <c r="T108" s="13"/>
      <c r="U108" s="13"/>
      <c r="V108" s="12" t="s">
        <v>495</v>
      </c>
      <c r="W108" s="14">
        <v>0.11</v>
      </c>
      <c r="X108" s="14">
        <v>0.15</v>
      </c>
      <c r="Y108" s="12" t="s">
        <v>516</v>
      </c>
      <c r="Z108" s="13"/>
      <c r="AA108" s="14">
        <v>13.1</v>
      </c>
      <c r="AB108" s="13"/>
      <c r="AC108" s="13"/>
      <c r="AD108" s="14">
        <v>38249992</v>
      </c>
      <c r="AE108" s="12" t="s">
        <v>517</v>
      </c>
      <c r="AF108" s="13"/>
      <c r="AG108" s="12" t="s">
        <v>518</v>
      </c>
      <c r="AH108" s="14">
        <v>1</v>
      </c>
      <c r="AI108" s="13"/>
      <c r="AJ108" s="14">
        <v>1.2</v>
      </c>
      <c r="AK108" s="14">
        <v>1.8</v>
      </c>
      <c r="AL108" s="12" t="s">
        <v>519</v>
      </c>
      <c r="AM108" s="12" t="s">
        <v>62</v>
      </c>
      <c r="AN108" s="14">
        <v>681.25</v>
      </c>
      <c r="AO108" s="14">
        <v>656</v>
      </c>
      <c r="AP108" s="12" t="s">
        <v>81</v>
      </c>
      <c r="AQ108" s="13"/>
      <c r="AR108" s="12" t="s">
        <v>83</v>
      </c>
      <c r="AS108" s="12" t="s">
        <v>84</v>
      </c>
      <c r="AT108" s="12" t="s">
        <v>110</v>
      </c>
      <c r="AU108" s="13"/>
      <c r="AV108" s="12" t="s">
        <v>116</v>
      </c>
      <c r="AW108" s="12" t="s">
        <v>116</v>
      </c>
      <c r="AX108" s="12" t="s">
        <v>116</v>
      </c>
      <c r="AY108" s="14">
        <v>0</v>
      </c>
      <c r="AZ108" s="13"/>
      <c r="BA108" s="13"/>
      <c r="BB108" s="13"/>
      <c r="BC108" s="13"/>
      <c r="BD108" s="13"/>
      <c r="BE108" s="13"/>
      <c r="BF108" s="13"/>
      <c r="BG108" s="12" t="s">
        <v>417</v>
      </c>
      <c r="BH108" s="12" t="s">
        <v>418</v>
      </c>
      <c r="BI108" s="12" t="s">
        <v>419</v>
      </c>
      <c r="BJ108" s="12" t="s">
        <v>89</v>
      </c>
      <c r="BK108" s="13"/>
      <c r="BL108" s="13"/>
      <c r="BM108" s="12" t="s">
        <v>457</v>
      </c>
      <c r="BT108" s="62">
        <f t="shared" si="65"/>
        <v>0</v>
      </c>
      <c r="BX108" s="61"/>
      <c r="BY108" s="61">
        <v>1</v>
      </c>
      <c r="CF108" s="62"/>
      <c r="CG108" s="1"/>
      <c r="CJ108" s="1" t="s">
        <v>564</v>
      </c>
    </row>
    <row r="109" spans="1:88" ht="20.100000000000001" customHeight="1">
      <c r="A109" s="84">
        <v>10001604</v>
      </c>
      <c r="B109" s="84">
        <v>10001604</v>
      </c>
      <c r="C109" s="84"/>
      <c r="D109" s="10">
        <v>10001604</v>
      </c>
      <c r="E109" s="11" t="s">
        <v>61</v>
      </c>
      <c r="F109" s="12" t="s">
        <v>62</v>
      </c>
      <c r="G109" s="12" t="s">
        <v>412</v>
      </c>
      <c r="H109" s="12" t="s">
        <v>413</v>
      </c>
      <c r="I109" s="12" t="s">
        <v>497</v>
      </c>
      <c r="J109" s="13"/>
      <c r="K109" s="13"/>
      <c r="L109" s="12" t="s">
        <v>85</v>
      </c>
      <c r="M109" s="12" t="s">
        <v>201</v>
      </c>
      <c r="N109" s="13"/>
      <c r="O109" s="13"/>
      <c r="P109" s="14">
        <v>0</v>
      </c>
      <c r="Q109" s="12" t="s">
        <v>85</v>
      </c>
      <c r="R109" s="12" t="s">
        <v>71</v>
      </c>
      <c r="S109" s="12" t="s">
        <v>72</v>
      </c>
      <c r="T109" s="13"/>
      <c r="U109" s="13"/>
      <c r="V109" s="12" t="s">
        <v>498</v>
      </c>
      <c r="W109" s="14">
        <v>0.13</v>
      </c>
      <c r="X109" s="14">
        <v>0.15</v>
      </c>
      <c r="Y109" s="12" t="s">
        <v>516</v>
      </c>
      <c r="Z109" s="13"/>
      <c r="AA109" s="14">
        <v>14.6</v>
      </c>
      <c r="AB109" s="13"/>
      <c r="AC109" s="13"/>
      <c r="AD109" s="14">
        <v>38249992</v>
      </c>
      <c r="AE109" s="12" t="s">
        <v>517</v>
      </c>
      <c r="AF109" s="13"/>
      <c r="AG109" s="12" t="s">
        <v>520</v>
      </c>
      <c r="AH109" s="14">
        <v>1</v>
      </c>
      <c r="AI109" s="13"/>
      <c r="AJ109" s="14">
        <v>1.2</v>
      </c>
      <c r="AK109" s="14">
        <v>1.8</v>
      </c>
      <c r="AL109" s="12" t="s">
        <v>519</v>
      </c>
      <c r="AM109" s="12" t="s">
        <v>62</v>
      </c>
      <c r="AN109" s="14">
        <v>756</v>
      </c>
      <c r="AO109" s="14">
        <v>732</v>
      </c>
      <c r="AP109" s="12" t="s">
        <v>81</v>
      </c>
      <c r="AQ109" s="13"/>
      <c r="AR109" s="12" t="s">
        <v>83</v>
      </c>
      <c r="AS109" s="12" t="s">
        <v>84</v>
      </c>
      <c r="AT109" s="12" t="s">
        <v>110</v>
      </c>
      <c r="AU109" s="13"/>
      <c r="AV109" s="12" t="s">
        <v>116</v>
      </c>
      <c r="AW109" s="12" t="s">
        <v>116</v>
      </c>
      <c r="AX109" s="12" t="s">
        <v>116</v>
      </c>
      <c r="AY109" s="14">
        <v>0</v>
      </c>
      <c r="AZ109" s="13"/>
      <c r="BA109" s="13"/>
      <c r="BB109" s="13"/>
      <c r="BC109" s="13"/>
      <c r="BD109" s="13"/>
      <c r="BE109" s="13"/>
      <c r="BF109" s="13"/>
      <c r="BG109" s="12" t="s">
        <v>417</v>
      </c>
      <c r="BH109" s="12" t="s">
        <v>418</v>
      </c>
      <c r="BI109" s="12" t="s">
        <v>419</v>
      </c>
      <c r="BJ109" s="12" t="s">
        <v>89</v>
      </c>
      <c r="BK109" s="13"/>
      <c r="BL109" s="13"/>
      <c r="BM109" s="12" t="s">
        <v>457</v>
      </c>
      <c r="BT109" s="62">
        <f t="shared" si="65"/>
        <v>0</v>
      </c>
      <c r="BX109" s="61"/>
      <c r="BY109" s="61">
        <v>1</v>
      </c>
      <c r="CF109" s="62"/>
      <c r="CG109" s="1"/>
      <c r="CJ109" s="1" t="s">
        <v>564</v>
      </c>
    </row>
    <row r="110" spans="1:88" ht="20.100000000000001" customHeight="1">
      <c r="A110" s="84">
        <v>10001605</v>
      </c>
      <c r="B110" s="84">
        <v>10001605</v>
      </c>
      <c r="C110" s="84"/>
      <c r="D110" s="10">
        <v>10001605</v>
      </c>
      <c r="E110" s="11" t="s">
        <v>61</v>
      </c>
      <c r="F110" s="12" t="s">
        <v>62</v>
      </c>
      <c r="G110" s="12" t="s">
        <v>412</v>
      </c>
      <c r="H110" s="12" t="s">
        <v>413</v>
      </c>
      <c r="I110" s="12" t="s">
        <v>500</v>
      </c>
      <c r="J110" s="13"/>
      <c r="K110" s="13"/>
      <c r="L110" s="12" t="s">
        <v>85</v>
      </c>
      <c r="M110" s="12" t="s">
        <v>201</v>
      </c>
      <c r="N110" s="13"/>
      <c r="O110" s="13"/>
      <c r="P110" s="14">
        <v>0</v>
      </c>
      <c r="Q110" s="12" t="s">
        <v>85</v>
      </c>
      <c r="R110" s="12" t="s">
        <v>71</v>
      </c>
      <c r="S110" s="12" t="s">
        <v>72</v>
      </c>
      <c r="T110" s="13"/>
      <c r="U110" s="13"/>
      <c r="V110" s="12" t="s">
        <v>501</v>
      </c>
      <c r="W110" s="14">
        <v>0.2</v>
      </c>
      <c r="X110" s="14">
        <v>0.15</v>
      </c>
      <c r="Y110" s="12" t="s">
        <v>516</v>
      </c>
      <c r="Z110" s="13"/>
      <c r="AA110" s="14">
        <v>16.600000000000001</v>
      </c>
      <c r="AB110" s="13"/>
      <c r="AC110" s="13"/>
      <c r="AD110" s="14">
        <v>38249992</v>
      </c>
      <c r="AE110" s="12" t="s">
        <v>517</v>
      </c>
      <c r="AF110" s="13"/>
      <c r="AG110" s="12" t="s">
        <v>521</v>
      </c>
      <c r="AH110" s="14">
        <v>1</v>
      </c>
      <c r="AI110" s="13"/>
      <c r="AJ110" s="14">
        <v>1.2</v>
      </c>
      <c r="AK110" s="14">
        <v>1.8</v>
      </c>
      <c r="AL110" s="12" t="s">
        <v>519</v>
      </c>
      <c r="AM110" s="12" t="s">
        <v>62</v>
      </c>
      <c r="AN110" s="14">
        <v>856</v>
      </c>
      <c r="AO110" s="14">
        <v>830</v>
      </c>
      <c r="AP110" s="12" t="s">
        <v>81</v>
      </c>
      <c r="AQ110" s="13"/>
      <c r="AR110" s="12" t="s">
        <v>83</v>
      </c>
      <c r="AS110" s="12" t="s">
        <v>84</v>
      </c>
      <c r="AT110" s="12" t="s">
        <v>110</v>
      </c>
      <c r="AU110" s="13"/>
      <c r="AV110" s="12" t="s">
        <v>116</v>
      </c>
      <c r="AW110" s="12" t="s">
        <v>116</v>
      </c>
      <c r="AX110" s="12" t="s">
        <v>116</v>
      </c>
      <c r="AY110" s="14">
        <v>0</v>
      </c>
      <c r="AZ110" s="13"/>
      <c r="BA110" s="13"/>
      <c r="BB110" s="13"/>
      <c r="BC110" s="13"/>
      <c r="BD110" s="13"/>
      <c r="BE110" s="13"/>
      <c r="BF110" s="13"/>
      <c r="BG110" s="12" t="s">
        <v>417</v>
      </c>
      <c r="BH110" s="12" t="s">
        <v>418</v>
      </c>
      <c r="BI110" s="12" t="s">
        <v>419</v>
      </c>
      <c r="BJ110" s="12" t="s">
        <v>89</v>
      </c>
      <c r="BK110" s="13"/>
      <c r="BL110" s="13"/>
      <c r="BM110" s="12" t="s">
        <v>457</v>
      </c>
      <c r="BT110" s="62">
        <f t="shared" si="65"/>
        <v>0</v>
      </c>
      <c r="BX110" s="61"/>
      <c r="BY110" s="61">
        <v>1</v>
      </c>
      <c r="CF110" s="62"/>
      <c r="CG110" s="1"/>
      <c r="CJ110" s="1" t="s">
        <v>564</v>
      </c>
    </row>
    <row r="111" spans="1:88" ht="20.100000000000001" customHeight="1">
      <c r="A111" s="84">
        <v>10001606</v>
      </c>
      <c r="B111" s="84">
        <v>10001606</v>
      </c>
      <c r="C111" s="84"/>
      <c r="D111" s="10">
        <v>10001606</v>
      </c>
      <c r="E111" s="11" t="s">
        <v>61</v>
      </c>
      <c r="F111" s="12" t="s">
        <v>62</v>
      </c>
      <c r="G111" s="12" t="s">
        <v>412</v>
      </c>
      <c r="H111" s="12" t="s">
        <v>413</v>
      </c>
      <c r="I111" s="12" t="s">
        <v>503</v>
      </c>
      <c r="J111" s="13"/>
      <c r="K111" s="13"/>
      <c r="L111" s="12" t="s">
        <v>85</v>
      </c>
      <c r="M111" s="12" t="s">
        <v>201</v>
      </c>
      <c r="N111" s="13"/>
      <c r="O111" s="13"/>
      <c r="P111" s="14">
        <v>0</v>
      </c>
      <c r="Q111" s="12" t="s">
        <v>85</v>
      </c>
      <c r="R111" s="12" t="s">
        <v>71</v>
      </c>
      <c r="S111" s="12" t="s">
        <v>72</v>
      </c>
      <c r="T111" s="13"/>
      <c r="U111" s="13"/>
      <c r="V111" s="12" t="s">
        <v>470</v>
      </c>
      <c r="W111" s="14">
        <v>0.22</v>
      </c>
      <c r="X111" s="14">
        <v>0.15</v>
      </c>
      <c r="Y111" s="12" t="s">
        <v>516</v>
      </c>
      <c r="Z111" s="13"/>
      <c r="AA111" s="14">
        <v>16.600000000000001</v>
      </c>
      <c r="AB111" s="13"/>
      <c r="AC111" s="13"/>
      <c r="AD111" s="14">
        <v>38249992</v>
      </c>
      <c r="AE111" s="12" t="s">
        <v>517</v>
      </c>
      <c r="AF111" s="13"/>
      <c r="AG111" s="12" t="s">
        <v>522</v>
      </c>
      <c r="AH111" s="14">
        <v>1</v>
      </c>
      <c r="AI111" s="13"/>
      <c r="AJ111" s="14">
        <v>1.2</v>
      </c>
      <c r="AK111" s="14">
        <v>1.8</v>
      </c>
      <c r="AL111" s="12" t="s">
        <v>519</v>
      </c>
      <c r="AM111" s="12" t="s">
        <v>62</v>
      </c>
      <c r="AN111" s="14">
        <v>854.4</v>
      </c>
      <c r="AO111" s="14">
        <v>830</v>
      </c>
      <c r="AP111" s="12" t="s">
        <v>81</v>
      </c>
      <c r="AQ111" s="13"/>
      <c r="AR111" s="12" t="s">
        <v>83</v>
      </c>
      <c r="AS111" s="12" t="s">
        <v>84</v>
      </c>
      <c r="AT111" s="12" t="s">
        <v>110</v>
      </c>
      <c r="AU111" s="13"/>
      <c r="AV111" s="12" t="s">
        <v>116</v>
      </c>
      <c r="AW111" s="12" t="s">
        <v>116</v>
      </c>
      <c r="AX111" s="12" t="s">
        <v>116</v>
      </c>
      <c r="AY111" s="14">
        <v>0</v>
      </c>
      <c r="AZ111" s="13"/>
      <c r="BA111" s="13"/>
      <c r="BB111" s="13"/>
      <c r="BC111" s="13"/>
      <c r="BD111" s="13"/>
      <c r="BE111" s="13"/>
      <c r="BF111" s="13"/>
      <c r="BG111" s="12" t="s">
        <v>417</v>
      </c>
      <c r="BH111" s="12" t="s">
        <v>418</v>
      </c>
      <c r="BI111" s="12" t="s">
        <v>419</v>
      </c>
      <c r="BJ111" s="12" t="s">
        <v>89</v>
      </c>
      <c r="BK111" s="13"/>
      <c r="BL111" s="13"/>
      <c r="BM111" s="12" t="s">
        <v>457</v>
      </c>
      <c r="BT111" s="62">
        <f t="shared" si="65"/>
        <v>0</v>
      </c>
      <c r="BX111" s="61"/>
      <c r="BY111" s="61">
        <v>1</v>
      </c>
      <c r="CF111" s="62"/>
      <c r="CG111" s="1"/>
      <c r="CJ111" s="1" t="s">
        <v>564</v>
      </c>
    </row>
    <row r="112" spans="1:88" ht="20.100000000000001" customHeight="1">
      <c r="A112" s="84">
        <v>10001607</v>
      </c>
      <c r="B112" s="84">
        <v>10001607</v>
      </c>
      <c r="C112" s="84"/>
      <c r="D112" s="10">
        <v>10001607</v>
      </c>
      <c r="E112" s="11" t="s">
        <v>61</v>
      </c>
      <c r="F112" s="12" t="s">
        <v>62</v>
      </c>
      <c r="G112" s="12" t="s">
        <v>412</v>
      </c>
      <c r="H112" s="12" t="s">
        <v>413</v>
      </c>
      <c r="I112" s="12" t="s">
        <v>505</v>
      </c>
      <c r="J112" s="13"/>
      <c r="K112" s="13"/>
      <c r="L112" s="12" t="s">
        <v>85</v>
      </c>
      <c r="M112" s="12" t="s">
        <v>201</v>
      </c>
      <c r="N112" s="13"/>
      <c r="O112" s="13"/>
      <c r="P112" s="14">
        <v>0</v>
      </c>
      <c r="Q112" s="12" t="s">
        <v>85</v>
      </c>
      <c r="R112" s="12" t="s">
        <v>71</v>
      </c>
      <c r="S112" s="12" t="s">
        <v>72</v>
      </c>
      <c r="T112" s="13"/>
      <c r="U112" s="13"/>
      <c r="V112" s="12" t="s">
        <v>506</v>
      </c>
      <c r="W112" s="14">
        <v>0.24</v>
      </c>
      <c r="X112" s="14">
        <v>0.15</v>
      </c>
      <c r="Y112" s="12" t="s">
        <v>516</v>
      </c>
      <c r="Z112" s="13"/>
      <c r="AA112" s="14">
        <v>14.6</v>
      </c>
      <c r="AB112" s="13"/>
      <c r="AC112" s="13"/>
      <c r="AD112" s="14">
        <v>38249992</v>
      </c>
      <c r="AE112" s="12" t="s">
        <v>517</v>
      </c>
      <c r="AF112" s="13"/>
      <c r="AG112" s="12" t="s">
        <v>523</v>
      </c>
      <c r="AH112" s="14">
        <v>1</v>
      </c>
      <c r="AI112" s="13"/>
      <c r="AJ112" s="14">
        <v>1.2</v>
      </c>
      <c r="AK112" s="14">
        <v>1.8</v>
      </c>
      <c r="AL112" s="12" t="s">
        <v>519</v>
      </c>
      <c r="AM112" s="12" t="s">
        <v>62</v>
      </c>
      <c r="AN112" s="14">
        <v>754.8</v>
      </c>
      <c r="AO112" s="14">
        <v>730</v>
      </c>
      <c r="AP112" s="12" t="s">
        <v>81</v>
      </c>
      <c r="AQ112" s="13"/>
      <c r="AR112" s="12" t="s">
        <v>83</v>
      </c>
      <c r="AS112" s="12" t="s">
        <v>84</v>
      </c>
      <c r="AT112" s="12" t="s">
        <v>110</v>
      </c>
      <c r="AU112" s="13"/>
      <c r="AV112" s="12" t="s">
        <v>116</v>
      </c>
      <c r="AW112" s="12" t="s">
        <v>116</v>
      </c>
      <c r="AX112" s="12" t="s">
        <v>116</v>
      </c>
      <c r="AY112" s="14">
        <v>0</v>
      </c>
      <c r="AZ112" s="13"/>
      <c r="BA112" s="13"/>
      <c r="BB112" s="13"/>
      <c r="BC112" s="13"/>
      <c r="BD112" s="13"/>
      <c r="BE112" s="13"/>
      <c r="BF112" s="13"/>
      <c r="BG112" s="12" t="s">
        <v>417</v>
      </c>
      <c r="BH112" s="12" t="s">
        <v>418</v>
      </c>
      <c r="BI112" s="12" t="s">
        <v>419</v>
      </c>
      <c r="BJ112" s="12" t="s">
        <v>89</v>
      </c>
      <c r="BK112" s="13"/>
      <c r="BL112" s="13"/>
      <c r="BM112" s="12" t="s">
        <v>457</v>
      </c>
      <c r="BT112" s="62">
        <f t="shared" si="65"/>
        <v>0</v>
      </c>
      <c r="BX112" s="61"/>
      <c r="BY112" s="61">
        <v>1</v>
      </c>
      <c r="CF112" s="62"/>
      <c r="CG112" s="1"/>
      <c r="CJ112" s="1" t="s">
        <v>564</v>
      </c>
    </row>
    <row r="113" spans="1:94" ht="20.100000000000001" customHeight="1">
      <c r="A113" s="84">
        <v>10001608</v>
      </c>
      <c r="B113" s="84">
        <v>10001608</v>
      </c>
      <c r="C113" s="84"/>
      <c r="D113" s="10">
        <v>10001608</v>
      </c>
      <c r="E113" s="11" t="s">
        <v>61</v>
      </c>
      <c r="F113" s="12" t="s">
        <v>62</v>
      </c>
      <c r="G113" s="12" t="s">
        <v>412</v>
      </c>
      <c r="H113" s="12" t="s">
        <v>413</v>
      </c>
      <c r="I113" s="12" t="s">
        <v>524</v>
      </c>
      <c r="J113" s="13"/>
      <c r="K113" s="13"/>
      <c r="L113" s="12" t="s">
        <v>85</v>
      </c>
      <c r="M113" s="12" t="s">
        <v>201</v>
      </c>
      <c r="N113" s="13"/>
      <c r="O113" s="13"/>
      <c r="P113" s="14">
        <v>0</v>
      </c>
      <c r="Q113" s="12" t="s">
        <v>85</v>
      </c>
      <c r="R113" s="12" t="s">
        <v>71</v>
      </c>
      <c r="S113" s="12" t="s">
        <v>72</v>
      </c>
      <c r="T113" s="13"/>
      <c r="U113" s="13"/>
      <c r="V113" s="12" t="s">
        <v>290</v>
      </c>
      <c r="W113" s="14">
        <v>0</v>
      </c>
      <c r="X113" s="14">
        <v>0</v>
      </c>
      <c r="Y113" s="12" t="s">
        <v>525</v>
      </c>
      <c r="Z113" s="13"/>
      <c r="AA113" s="14">
        <v>0</v>
      </c>
      <c r="AB113" s="13"/>
      <c r="AC113" s="13"/>
      <c r="AD113" s="14">
        <v>38249992</v>
      </c>
      <c r="AE113" s="12" t="s">
        <v>85</v>
      </c>
      <c r="AF113" s="13"/>
      <c r="AG113" s="12" t="s">
        <v>526</v>
      </c>
      <c r="AH113" s="14">
        <v>0</v>
      </c>
      <c r="AI113" s="13"/>
      <c r="AJ113" s="14">
        <v>0</v>
      </c>
      <c r="AK113" s="14">
        <v>0</v>
      </c>
      <c r="AL113" s="12" t="s">
        <v>85</v>
      </c>
      <c r="AM113" s="12" t="s">
        <v>62</v>
      </c>
      <c r="AN113" s="14">
        <v>0</v>
      </c>
      <c r="AO113" s="14">
        <v>0</v>
      </c>
      <c r="AP113" s="12" t="s">
        <v>81</v>
      </c>
      <c r="AQ113" s="13"/>
      <c r="AR113" s="12" t="s">
        <v>83</v>
      </c>
      <c r="AS113" s="12" t="s">
        <v>84</v>
      </c>
      <c r="AT113" s="12" t="s">
        <v>110</v>
      </c>
      <c r="AU113" s="13"/>
      <c r="AV113" s="12" t="s">
        <v>116</v>
      </c>
      <c r="AW113" s="12" t="s">
        <v>116</v>
      </c>
      <c r="AX113" s="12" t="s">
        <v>116</v>
      </c>
      <c r="AY113" s="14">
        <v>0</v>
      </c>
      <c r="AZ113" s="13"/>
      <c r="BA113" s="13"/>
      <c r="BB113" s="13"/>
      <c r="BC113" s="13"/>
      <c r="BD113" s="13"/>
      <c r="BE113" s="13"/>
      <c r="BF113" s="13"/>
      <c r="BG113" s="12" t="s">
        <v>417</v>
      </c>
      <c r="BH113" s="12" t="s">
        <v>418</v>
      </c>
      <c r="BI113" s="12" t="s">
        <v>419</v>
      </c>
      <c r="BJ113" s="12" t="s">
        <v>89</v>
      </c>
      <c r="BK113" s="13"/>
      <c r="BL113" s="13"/>
      <c r="BM113" s="12" t="s">
        <v>457</v>
      </c>
      <c r="BT113" s="62">
        <f t="shared" si="65"/>
        <v>0</v>
      </c>
      <c r="BX113" s="61"/>
      <c r="BY113" s="61">
        <v>1</v>
      </c>
      <c r="CF113" s="62"/>
      <c r="CG113" s="1"/>
      <c r="CJ113" s="1" t="s">
        <v>564</v>
      </c>
    </row>
    <row r="114" spans="1:94" ht="20.100000000000001" customHeight="1">
      <c r="A114" s="84">
        <v>10001609</v>
      </c>
      <c r="B114" s="84">
        <v>10001609</v>
      </c>
      <c r="C114" s="84"/>
      <c r="D114" s="10">
        <v>10001609</v>
      </c>
      <c r="E114" s="11" t="s">
        <v>61</v>
      </c>
      <c r="F114" s="12" t="s">
        <v>62</v>
      </c>
      <c r="G114" s="12" t="s">
        <v>412</v>
      </c>
      <c r="H114" s="12" t="s">
        <v>413</v>
      </c>
      <c r="I114" s="12" t="s">
        <v>527</v>
      </c>
      <c r="J114" s="13"/>
      <c r="K114" s="13"/>
      <c r="L114" s="12" t="s">
        <v>85</v>
      </c>
      <c r="M114" s="12" t="s">
        <v>201</v>
      </c>
      <c r="N114" s="13"/>
      <c r="O114" s="13"/>
      <c r="P114" s="14">
        <v>0</v>
      </c>
      <c r="Q114" s="12" t="s">
        <v>85</v>
      </c>
      <c r="R114" s="12" t="s">
        <v>71</v>
      </c>
      <c r="S114" s="12" t="s">
        <v>72</v>
      </c>
      <c r="T114" s="13"/>
      <c r="U114" s="13"/>
      <c r="V114" s="12" t="s">
        <v>470</v>
      </c>
      <c r="W114" s="14">
        <v>0.22</v>
      </c>
      <c r="X114" s="14">
        <v>0.15</v>
      </c>
      <c r="Y114" s="12" t="s">
        <v>525</v>
      </c>
      <c r="Z114" s="13"/>
      <c r="AA114" s="14">
        <v>17.5</v>
      </c>
      <c r="AB114" s="13"/>
      <c r="AC114" s="13"/>
      <c r="AD114" s="14">
        <v>38249992</v>
      </c>
      <c r="AE114" s="12" t="s">
        <v>517</v>
      </c>
      <c r="AF114" s="13"/>
      <c r="AG114" s="12" t="s">
        <v>528</v>
      </c>
      <c r="AH114" s="14">
        <v>1</v>
      </c>
      <c r="AI114" s="13"/>
      <c r="AJ114" s="14">
        <v>1.2</v>
      </c>
      <c r="AK114" s="14">
        <v>1.66</v>
      </c>
      <c r="AL114" s="12" t="s">
        <v>529</v>
      </c>
      <c r="AM114" s="12" t="s">
        <v>62</v>
      </c>
      <c r="AN114" s="14">
        <v>899.2</v>
      </c>
      <c r="AO114" s="14">
        <v>874</v>
      </c>
      <c r="AP114" s="12" t="s">
        <v>81</v>
      </c>
      <c r="AQ114" s="13"/>
      <c r="AR114" s="12" t="s">
        <v>83</v>
      </c>
      <c r="AS114" s="12" t="s">
        <v>84</v>
      </c>
      <c r="AT114" s="12" t="s">
        <v>110</v>
      </c>
      <c r="AU114" s="13"/>
      <c r="AV114" s="12" t="s">
        <v>116</v>
      </c>
      <c r="AW114" s="12" t="s">
        <v>116</v>
      </c>
      <c r="AX114" s="12" t="s">
        <v>116</v>
      </c>
      <c r="AY114" s="14">
        <v>0</v>
      </c>
      <c r="AZ114" s="13"/>
      <c r="BA114" s="13"/>
      <c r="BB114" s="13"/>
      <c r="BC114" s="13"/>
      <c r="BD114" s="13"/>
      <c r="BE114" s="13"/>
      <c r="BF114" s="13"/>
      <c r="BG114" s="12" t="s">
        <v>417</v>
      </c>
      <c r="BH114" s="12" t="s">
        <v>418</v>
      </c>
      <c r="BI114" s="12" t="s">
        <v>419</v>
      </c>
      <c r="BJ114" s="12" t="s">
        <v>89</v>
      </c>
      <c r="BK114" s="13"/>
      <c r="BL114" s="13"/>
      <c r="BM114" s="12" t="s">
        <v>457</v>
      </c>
      <c r="BT114" s="62">
        <f t="shared" si="65"/>
        <v>0</v>
      </c>
      <c r="BX114" s="61"/>
      <c r="BY114" s="61">
        <v>1</v>
      </c>
      <c r="CF114" s="62"/>
      <c r="CG114" s="1"/>
      <c r="CJ114" s="1" t="s">
        <v>564</v>
      </c>
    </row>
    <row r="115" spans="1:94" ht="20.100000000000001" customHeight="1">
      <c r="A115" s="84">
        <v>10001610</v>
      </c>
      <c r="B115" s="84">
        <v>10001610</v>
      </c>
      <c r="C115" s="84"/>
      <c r="D115" s="10">
        <v>10001610</v>
      </c>
      <c r="E115" s="11" t="s">
        <v>61</v>
      </c>
      <c r="F115" s="12" t="s">
        <v>62</v>
      </c>
      <c r="G115" s="12" t="s">
        <v>412</v>
      </c>
      <c r="H115" s="12" t="s">
        <v>413</v>
      </c>
      <c r="I115" s="12" t="s">
        <v>530</v>
      </c>
      <c r="J115" s="13"/>
      <c r="K115" s="13"/>
      <c r="L115" s="12" t="s">
        <v>85</v>
      </c>
      <c r="M115" s="12" t="s">
        <v>201</v>
      </c>
      <c r="N115" s="13"/>
      <c r="O115" s="13"/>
      <c r="P115" s="14">
        <v>0</v>
      </c>
      <c r="Q115" s="12" t="s">
        <v>85</v>
      </c>
      <c r="R115" s="12" t="s">
        <v>71</v>
      </c>
      <c r="S115" s="12" t="s">
        <v>72</v>
      </c>
      <c r="T115" s="13"/>
      <c r="U115" s="13"/>
      <c r="V115" s="12" t="s">
        <v>290</v>
      </c>
      <c r="W115" s="14">
        <v>0</v>
      </c>
      <c r="X115" s="14">
        <v>0</v>
      </c>
      <c r="Y115" s="12" t="s">
        <v>525</v>
      </c>
      <c r="Z115" s="13"/>
      <c r="AA115" s="14">
        <v>0</v>
      </c>
      <c r="AB115" s="13"/>
      <c r="AC115" s="13"/>
      <c r="AD115" s="14">
        <v>38249992</v>
      </c>
      <c r="AE115" s="12" t="s">
        <v>85</v>
      </c>
      <c r="AF115" s="13"/>
      <c r="AG115" s="12" t="s">
        <v>531</v>
      </c>
      <c r="AH115" s="14">
        <v>0</v>
      </c>
      <c r="AI115" s="13"/>
      <c r="AJ115" s="14">
        <v>0</v>
      </c>
      <c r="AK115" s="14">
        <v>0</v>
      </c>
      <c r="AL115" s="12" t="s">
        <v>85</v>
      </c>
      <c r="AM115" s="12" t="s">
        <v>62</v>
      </c>
      <c r="AN115" s="14">
        <v>0</v>
      </c>
      <c r="AO115" s="14">
        <v>0</v>
      </c>
      <c r="AP115" s="12" t="s">
        <v>81</v>
      </c>
      <c r="AQ115" s="13"/>
      <c r="AR115" s="12" t="s">
        <v>83</v>
      </c>
      <c r="AS115" s="12" t="s">
        <v>84</v>
      </c>
      <c r="AT115" s="12" t="s">
        <v>110</v>
      </c>
      <c r="AU115" s="13"/>
      <c r="AV115" s="12" t="s">
        <v>116</v>
      </c>
      <c r="AW115" s="12" t="s">
        <v>116</v>
      </c>
      <c r="AX115" s="12" t="s">
        <v>116</v>
      </c>
      <c r="AY115" s="14">
        <v>0</v>
      </c>
      <c r="AZ115" s="13"/>
      <c r="BA115" s="13"/>
      <c r="BB115" s="13"/>
      <c r="BC115" s="13"/>
      <c r="BD115" s="13"/>
      <c r="BE115" s="13"/>
      <c r="BF115" s="13"/>
      <c r="BG115" s="12" t="s">
        <v>417</v>
      </c>
      <c r="BH115" s="12" t="s">
        <v>418</v>
      </c>
      <c r="BI115" s="12" t="s">
        <v>419</v>
      </c>
      <c r="BJ115" s="12" t="s">
        <v>89</v>
      </c>
      <c r="BK115" s="13"/>
      <c r="BL115" s="13"/>
      <c r="BM115" s="12" t="s">
        <v>457</v>
      </c>
      <c r="BT115" s="62">
        <f t="shared" si="65"/>
        <v>0</v>
      </c>
      <c r="BX115" s="61"/>
      <c r="BY115" s="61">
        <v>1</v>
      </c>
      <c r="CF115" s="62"/>
      <c r="CG115" s="1"/>
      <c r="CJ115" s="1" t="s">
        <v>564</v>
      </c>
    </row>
    <row r="116" spans="1:94" ht="20.100000000000001" customHeight="1">
      <c r="A116" s="84">
        <v>10001611</v>
      </c>
      <c r="B116" s="84">
        <v>10001611</v>
      </c>
      <c r="C116" s="84"/>
      <c r="D116" s="10">
        <v>10001611</v>
      </c>
      <c r="E116" s="11" t="s">
        <v>61</v>
      </c>
      <c r="F116" s="12" t="s">
        <v>62</v>
      </c>
      <c r="G116" s="12" t="s">
        <v>412</v>
      </c>
      <c r="H116" s="12" t="s">
        <v>413</v>
      </c>
      <c r="I116" s="12" t="s">
        <v>532</v>
      </c>
      <c r="J116" s="13"/>
      <c r="K116" s="13"/>
      <c r="L116" s="12" t="s">
        <v>85</v>
      </c>
      <c r="M116" s="12" t="s">
        <v>201</v>
      </c>
      <c r="N116" s="13"/>
      <c r="O116" s="13"/>
      <c r="P116" s="14">
        <v>0</v>
      </c>
      <c r="Q116" s="13"/>
      <c r="R116" s="12" t="s">
        <v>71</v>
      </c>
      <c r="S116" s="12" t="s">
        <v>72</v>
      </c>
      <c r="T116" s="13"/>
      <c r="U116" s="13"/>
      <c r="V116" s="12" t="s">
        <v>533</v>
      </c>
      <c r="W116" s="14">
        <v>0.21</v>
      </c>
      <c r="X116" s="14">
        <v>0.15</v>
      </c>
      <c r="Y116" s="12" t="s">
        <v>415</v>
      </c>
      <c r="Z116" s="13"/>
      <c r="AA116" s="14">
        <v>17.5</v>
      </c>
      <c r="AB116" s="13"/>
      <c r="AC116" s="13"/>
      <c r="AD116" s="14">
        <v>38249992</v>
      </c>
      <c r="AE116" s="12" t="s">
        <v>77</v>
      </c>
      <c r="AF116" s="13"/>
      <c r="AG116" s="12" t="s">
        <v>534</v>
      </c>
      <c r="AH116" s="14">
        <v>0.8</v>
      </c>
      <c r="AI116" s="13"/>
      <c r="AJ116" s="14">
        <v>1.2</v>
      </c>
      <c r="AK116" s="14">
        <v>1.83</v>
      </c>
      <c r="AL116" s="12" t="s">
        <v>496</v>
      </c>
      <c r="AM116" s="12" t="s">
        <v>62</v>
      </c>
      <c r="AN116" s="14">
        <v>794.11199999999997</v>
      </c>
      <c r="AO116" s="14">
        <v>769</v>
      </c>
      <c r="AP116" s="12" t="s">
        <v>81</v>
      </c>
      <c r="AQ116" s="13"/>
      <c r="AR116" s="12" t="s">
        <v>83</v>
      </c>
      <c r="AS116" s="12" t="s">
        <v>84</v>
      </c>
      <c r="AT116" s="12" t="s">
        <v>110</v>
      </c>
      <c r="AU116" s="13"/>
      <c r="AV116" s="12" t="s">
        <v>116</v>
      </c>
      <c r="AW116" s="12" t="s">
        <v>116</v>
      </c>
      <c r="AX116" s="12" t="s">
        <v>116</v>
      </c>
      <c r="AY116" s="14">
        <v>0</v>
      </c>
      <c r="AZ116" s="13"/>
      <c r="BA116" s="13"/>
      <c r="BB116" s="13"/>
      <c r="BC116" s="13"/>
      <c r="BD116" s="13"/>
      <c r="BE116" s="13"/>
      <c r="BF116" s="13"/>
      <c r="BG116" s="12" t="s">
        <v>417</v>
      </c>
      <c r="BH116" s="12" t="s">
        <v>418</v>
      </c>
      <c r="BI116" s="12" t="s">
        <v>419</v>
      </c>
      <c r="BJ116" s="12" t="s">
        <v>89</v>
      </c>
      <c r="BK116" s="13"/>
      <c r="BL116" s="13"/>
      <c r="BM116" s="12" t="s">
        <v>457</v>
      </c>
      <c r="BT116" s="62">
        <f t="shared" si="65"/>
        <v>0</v>
      </c>
      <c r="BX116" s="61"/>
      <c r="BY116" s="61">
        <v>1</v>
      </c>
      <c r="CF116" s="62"/>
      <c r="CG116" s="1"/>
      <c r="CJ116" s="1" t="s">
        <v>564</v>
      </c>
    </row>
    <row r="117" spans="1:94" ht="20.100000000000001" customHeight="1">
      <c r="A117" s="84">
        <v>10001612</v>
      </c>
      <c r="B117" s="84">
        <v>10001612</v>
      </c>
      <c r="C117" s="84"/>
      <c r="D117" s="10">
        <v>10001612</v>
      </c>
      <c r="E117" s="11" t="s">
        <v>61</v>
      </c>
      <c r="F117" s="12" t="s">
        <v>62</v>
      </c>
      <c r="G117" s="12" t="s">
        <v>412</v>
      </c>
      <c r="H117" s="12" t="s">
        <v>413</v>
      </c>
      <c r="I117" s="12" t="s">
        <v>535</v>
      </c>
      <c r="J117" s="13"/>
      <c r="K117" s="13"/>
      <c r="L117" s="12" t="s">
        <v>85</v>
      </c>
      <c r="M117" s="12" t="s">
        <v>201</v>
      </c>
      <c r="N117" s="13"/>
      <c r="O117" s="13"/>
      <c r="P117" s="14">
        <v>0</v>
      </c>
      <c r="Q117" s="12" t="s">
        <v>85</v>
      </c>
      <c r="R117" s="12" t="s">
        <v>71</v>
      </c>
      <c r="S117" s="12" t="s">
        <v>72</v>
      </c>
      <c r="T117" s="13"/>
      <c r="U117" s="13"/>
      <c r="V117" s="12" t="s">
        <v>536</v>
      </c>
      <c r="W117" s="14">
        <v>0.17</v>
      </c>
      <c r="X117" s="14">
        <v>0.15</v>
      </c>
      <c r="Y117" s="12" t="s">
        <v>415</v>
      </c>
      <c r="Z117" s="13"/>
      <c r="AA117" s="14">
        <v>15.5</v>
      </c>
      <c r="AB117" s="13"/>
      <c r="AC117" s="13"/>
      <c r="AD117" s="14">
        <v>38249992</v>
      </c>
      <c r="AE117" s="12" t="s">
        <v>77</v>
      </c>
      <c r="AF117" s="13"/>
      <c r="AG117" s="12" t="s">
        <v>537</v>
      </c>
      <c r="AH117" s="14">
        <v>0.8</v>
      </c>
      <c r="AI117" s="13"/>
      <c r="AJ117" s="14">
        <v>1.2</v>
      </c>
      <c r="AK117" s="14">
        <v>1.83</v>
      </c>
      <c r="AL117" s="12" t="s">
        <v>496</v>
      </c>
      <c r="AM117" s="12" t="s">
        <v>62</v>
      </c>
      <c r="AN117" s="14">
        <v>704</v>
      </c>
      <c r="AO117" s="14">
        <v>682</v>
      </c>
      <c r="AP117" s="12" t="s">
        <v>81</v>
      </c>
      <c r="AQ117" s="13"/>
      <c r="AR117" s="12" t="s">
        <v>83</v>
      </c>
      <c r="AS117" s="12" t="s">
        <v>84</v>
      </c>
      <c r="AT117" s="12" t="s">
        <v>110</v>
      </c>
      <c r="AU117" s="13"/>
      <c r="AV117" s="12" t="s">
        <v>116</v>
      </c>
      <c r="AW117" s="12" t="s">
        <v>116</v>
      </c>
      <c r="AX117" s="12" t="s">
        <v>116</v>
      </c>
      <c r="AY117" s="14">
        <v>0</v>
      </c>
      <c r="AZ117" s="13"/>
      <c r="BA117" s="13"/>
      <c r="BB117" s="13"/>
      <c r="BC117" s="13"/>
      <c r="BD117" s="13"/>
      <c r="BE117" s="13"/>
      <c r="BF117" s="13"/>
      <c r="BG117" s="12" t="s">
        <v>417</v>
      </c>
      <c r="BH117" s="12" t="s">
        <v>418</v>
      </c>
      <c r="BI117" s="12" t="s">
        <v>419</v>
      </c>
      <c r="BJ117" s="12" t="s">
        <v>89</v>
      </c>
      <c r="BK117" s="13"/>
      <c r="BL117" s="13"/>
      <c r="BM117" s="12" t="s">
        <v>457</v>
      </c>
      <c r="BT117" s="62">
        <f t="shared" si="65"/>
        <v>0</v>
      </c>
      <c r="BX117" s="61"/>
      <c r="BY117" s="61">
        <v>1</v>
      </c>
      <c r="CF117" s="62"/>
      <c r="CG117" s="1"/>
      <c r="CJ117" s="1" t="s">
        <v>564</v>
      </c>
    </row>
    <row r="118" spans="1:94" ht="20.100000000000001" customHeight="1">
      <c r="A118" s="84">
        <v>10001613</v>
      </c>
      <c r="D118" s="10">
        <v>10001613</v>
      </c>
      <c r="E118" s="11" t="s">
        <v>61</v>
      </c>
      <c r="F118" s="12" t="s">
        <v>62</v>
      </c>
      <c r="G118" s="12" t="s">
        <v>412</v>
      </c>
      <c r="H118" s="12" t="s">
        <v>413</v>
      </c>
      <c r="I118" s="12" t="s">
        <v>538</v>
      </c>
      <c r="J118" s="13"/>
      <c r="K118" s="13"/>
      <c r="L118" s="12" t="s">
        <v>85</v>
      </c>
      <c r="M118" s="12" t="s">
        <v>201</v>
      </c>
      <c r="N118" s="13"/>
      <c r="O118" s="13"/>
      <c r="P118" s="14">
        <v>0</v>
      </c>
      <c r="Q118" s="13"/>
      <c r="R118" s="12" t="s">
        <v>71</v>
      </c>
      <c r="S118" s="12" t="s">
        <v>72</v>
      </c>
      <c r="T118" s="13"/>
      <c r="U118" s="13"/>
      <c r="V118" s="12" t="s">
        <v>536</v>
      </c>
      <c r="W118" s="14">
        <v>0.17</v>
      </c>
      <c r="X118" s="14">
        <v>0.15</v>
      </c>
      <c r="Y118" s="12" t="s">
        <v>525</v>
      </c>
      <c r="Z118" s="13"/>
      <c r="AA118" s="14">
        <v>15.5</v>
      </c>
      <c r="AB118" s="13"/>
      <c r="AC118" s="13"/>
      <c r="AD118" s="14">
        <v>38249992</v>
      </c>
      <c r="AE118" s="12" t="s">
        <v>517</v>
      </c>
      <c r="AF118" s="13"/>
      <c r="AG118" s="12" t="s">
        <v>539</v>
      </c>
      <c r="AH118" s="14">
        <v>1</v>
      </c>
      <c r="AI118" s="13"/>
      <c r="AJ118" s="14">
        <v>1.2</v>
      </c>
      <c r="AK118" s="14">
        <v>1.8</v>
      </c>
      <c r="AL118" s="12" t="s">
        <v>519</v>
      </c>
      <c r="AM118" s="12" t="s">
        <v>62</v>
      </c>
      <c r="AN118" s="14">
        <v>800</v>
      </c>
      <c r="AO118" s="14">
        <v>775</v>
      </c>
      <c r="AP118" s="12" t="s">
        <v>81</v>
      </c>
      <c r="AQ118" s="13"/>
      <c r="AR118" s="12" t="s">
        <v>83</v>
      </c>
      <c r="AS118" s="12" t="s">
        <v>84</v>
      </c>
      <c r="AT118" s="12" t="s">
        <v>110</v>
      </c>
      <c r="AU118" s="13"/>
      <c r="AV118" s="12" t="s">
        <v>116</v>
      </c>
      <c r="AW118" s="12" t="s">
        <v>116</v>
      </c>
      <c r="AX118" s="12" t="s">
        <v>116</v>
      </c>
      <c r="AY118" s="14">
        <v>0</v>
      </c>
      <c r="AZ118" s="13"/>
      <c r="BA118" s="13"/>
      <c r="BB118" s="13"/>
      <c r="BC118" s="13"/>
      <c r="BD118" s="13"/>
      <c r="BE118" s="13"/>
      <c r="BF118" s="13"/>
      <c r="BG118" s="12" t="s">
        <v>417</v>
      </c>
      <c r="BH118" s="12" t="s">
        <v>418</v>
      </c>
      <c r="BI118" s="12" t="s">
        <v>419</v>
      </c>
      <c r="BJ118" s="12" t="s">
        <v>89</v>
      </c>
      <c r="BK118" s="13"/>
      <c r="BL118" s="13"/>
      <c r="BM118" s="12" t="s">
        <v>457</v>
      </c>
      <c r="BT118" s="62">
        <f>AI118</f>
        <v>0</v>
      </c>
      <c r="BX118" s="61"/>
      <c r="BY118" s="61">
        <v>1</v>
      </c>
      <c r="CF118" s="62"/>
      <c r="CG118" s="1"/>
    </row>
    <row r="119" spans="1:94" ht="20.100000000000001" customHeight="1">
      <c r="D119" s="92">
        <v>10001628</v>
      </c>
      <c r="E119" s="93" t="s">
        <v>61</v>
      </c>
      <c r="F119" s="93" t="s">
        <v>62</v>
      </c>
      <c r="G119" s="93" t="s">
        <v>112</v>
      </c>
      <c r="H119" s="93" t="s">
        <v>198</v>
      </c>
      <c r="I119" s="93" t="s">
        <v>708</v>
      </c>
      <c r="J119" s="13"/>
      <c r="K119" s="13"/>
      <c r="L119" s="12"/>
      <c r="M119" s="93" t="s">
        <v>201</v>
      </c>
      <c r="N119" s="93" t="s">
        <v>133</v>
      </c>
      <c r="O119" s="93" t="s">
        <v>709</v>
      </c>
      <c r="P119" s="94">
        <v>1</v>
      </c>
      <c r="Q119" s="93" t="s">
        <v>70</v>
      </c>
      <c r="R119" s="93" t="s">
        <v>71</v>
      </c>
      <c r="S119" s="12"/>
      <c r="T119" s="13"/>
      <c r="U119" s="13"/>
      <c r="V119" s="12"/>
      <c r="W119" s="14"/>
      <c r="X119" s="14"/>
      <c r="Y119" s="12"/>
      <c r="Z119" s="13"/>
      <c r="AA119" s="14"/>
      <c r="AB119" s="13"/>
      <c r="AC119" s="13"/>
      <c r="AD119" s="14"/>
      <c r="AE119" s="95" t="s">
        <v>77</v>
      </c>
      <c r="AF119" s="13"/>
      <c r="AG119" s="93" t="s">
        <v>710</v>
      </c>
      <c r="AH119" s="14"/>
      <c r="AI119" s="13">
        <v>30</v>
      </c>
      <c r="AJ119" s="14"/>
      <c r="AK119" s="14"/>
      <c r="AL119" s="12"/>
      <c r="AM119" s="12"/>
      <c r="AN119" s="14"/>
      <c r="AO119" s="14"/>
      <c r="AP119" s="12"/>
      <c r="AQ119" s="13"/>
      <c r="AR119" s="12"/>
      <c r="AS119" s="12"/>
      <c r="AT119" s="12"/>
      <c r="AU119" s="13"/>
      <c r="AV119" s="12"/>
      <c r="AW119" s="12"/>
      <c r="AX119" s="12"/>
      <c r="AY119" s="14"/>
      <c r="AZ119" s="13"/>
      <c r="BA119" s="13"/>
      <c r="BB119" s="13"/>
      <c r="BC119" s="13"/>
      <c r="BD119" s="13"/>
      <c r="BE119" s="13"/>
      <c r="BF119" s="13"/>
      <c r="BG119" s="12"/>
      <c r="BH119" s="12"/>
      <c r="BI119" s="12"/>
      <c r="BJ119" s="12"/>
      <c r="BK119" s="13"/>
      <c r="BL119" s="13"/>
      <c r="BM119" s="12"/>
      <c r="BX119" s="61"/>
      <c r="BY119" s="61"/>
      <c r="CF119" s="62"/>
      <c r="CG119" s="1"/>
    </row>
    <row r="120" spans="1:94" ht="20.100000000000001" customHeight="1">
      <c r="A120" s="84">
        <v>10001653</v>
      </c>
      <c r="B120" s="84">
        <v>10001653</v>
      </c>
      <c r="C120" s="89" t="s">
        <v>688</v>
      </c>
      <c r="D120" s="90">
        <v>10001653</v>
      </c>
      <c r="E120" s="11"/>
      <c r="F120" s="12"/>
      <c r="G120" s="12"/>
      <c r="H120" s="12"/>
      <c r="I120" s="12"/>
      <c r="J120" s="13"/>
      <c r="K120" s="13"/>
      <c r="L120" s="13"/>
      <c r="M120" s="12"/>
      <c r="N120" s="12"/>
      <c r="O120" s="16"/>
      <c r="P120" s="14"/>
      <c r="Q120" s="12"/>
      <c r="R120" s="12"/>
      <c r="S120" s="12"/>
      <c r="T120" s="13"/>
      <c r="U120" s="13"/>
      <c r="V120" s="12"/>
      <c r="W120" s="14"/>
      <c r="X120" s="14"/>
      <c r="Y120" s="12"/>
      <c r="Z120" s="13"/>
      <c r="AA120" s="14"/>
      <c r="AB120" s="13"/>
      <c r="AC120" s="13"/>
      <c r="AD120" s="14"/>
      <c r="AE120" s="12"/>
      <c r="AF120" s="13"/>
      <c r="AG120" s="12" t="s">
        <v>688</v>
      </c>
      <c r="AH120" s="14"/>
      <c r="AI120" s="13"/>
      <c r="AJ120" s="14"/>
      <c r="AK120" s="14"/>
      <c r="AL120" s="12"/>
      <c r="AM120" s="12"/>
      <c r="AN120" s="14"/>
      <c r="AO120" s="14"/>
      <c r="AP120" s="12"/>
      <c r="AQ120" s="13"/>
      <c r="AR120" s="12"/>
      <c r="AS120" s="12"/>
      <c r="AT120" s="12"/>
      <c r="AU120" s="13"/>
      <c r="AV120" s="12"/>
      <c r="AW120" s="13"/>
      <c r="AX120" s="13"/>
      <c r="AY120" s="14"/>
      <c r="AZ120" s="14"/>
      <c r="BA120" s="14"/>
      <c r="BB120" s="14"/>
      <c r="BC120" s="14"/>
      <c r="BD120" s="14"/>
      <c r="BE120" s="13"/>
      <c r="BF120" s="13"/>
      <c r="BG120" s="13"/>
      <c r="BH120" s="13"/>
      <c r="BI120" s="12"/>
      <c r="BJ120" s="12"/>
      <c r="BK120" s="13"/>
      <c r="BL120" s="13"/>
      <c r="BM120" s="12"/>
      <c r="BX120" s="61"/>
      <c r="BY120" s="61"/>
      <c r="CF120" s="62"/>
      <c r="CG120" s="1"/>
      <c r="CI120" s="1" t="s">
        <v>564</v>
      </c>
      <c r="CJ120" s="1" t="s">
        <v>564</v>
      </c>
    </row>
    <row r="121" spans="1:94" ht="20.100000000000001" customHeight="1">
      <c r="A121" s="84">
        <v>10001694</v>
      </c>
      <c r="B121" s="84">
        <v>10001694</v>
      </c>
      <c r="C121" s="84"/>
      <c r="D121" s="10">
        <v>10001694</v>
      </c>
      <c r="E121" s="11" t="s">
        <v>61</v>
      </c>
      <c r="F121" s="12" t="s">
        <v>62</v>
      </c>
      <c r="G121" s="12" t="s">
        <v>112</v>
      </c>
      <c r="H121" s="12" t="s">
        <v>190</v>
      </c>
      <c r="I121" s="12" t="s">
        <v>542</v>
      </c>
      <c r="J121" s="12" t="s">
        <v>543</v>
      </c>
      <c r="K121" s="12" t="s">
        <v>193</v>
      </c>
      <c r="L121" s="12" t="s">
        <v>194</v>
      </c>
      <c r="M121" s="12" t="s">
        <v>99</v>
      </c>
      <c r="N121" s="12" t="s">
        <v>133</v>
      </c>
      <c r="O121" s="12" t="s">
        <v>134</v>
      </c>
      <c r="P121" s="14">
        <v>1</v>
      </c>
      <c r="Q121" s="12" t="s">
        <v>70</v>
      </c>
      <c r="R121" s="12" t="s">
        <v>93</v>
      </c>
      <c r="S121" s="12" t="s">
        <v>72</v>
      </c>
      <c r="T121" s="14">
        <v>8721284290988</v>
      </c>
      <c r="U121" s="13"/>
      <c r="V121" s="12" t="s">
        <v>135</v>
      </c>
      <c r="W121" s="14">
        <v>164</v>
      </c>
      <c r="X121" s="14">
        <v>0.51</v>
      </c>
      <c r="Y121" s="12" t="s">
        <v>93</v>
      </c>
      <c r="Z121" s="13"/>
      <c r="AA121" s="14">
        <v>6.8</v>
      </c>
      <c r="AB121" s="12" t="s">
        <v>195</v>
      </c>
      <c r="AC121" s="13"/>
      <c r="AD121" s="14">
        <v>48043158</v>
      </c>
      <c r="AE121" s="13"/>
      <c r="AF121" s="13"/>
      <c r="AG121" s="12" t="s">
        <v>544</v>
      </c>
      <c r="AH121" s="14">
        <v>0.8</v>
      </c>
      <c r="AI121" s="14">
        <v>30</v>
      </c>
      <c r="AJ121" s="14">
        <v>1.2</v>
      </c>
      <c r="AK121" s="14">
        <v>0.66</v>
      </c>
      <c r="AL121" s="12" t="s">
        <v>197</v>
      </c>
      <c r="AM121" s="12" t="s">
        <v>62</v>
      </c>
      <c r="AN121" s="14">
        <v>228</v>
      </c>
      <c r="AO121" s="14">
        <v>203</v>
      </c>
      <c r="AP121" s="12" t="s">
        <v>81</v>
      </c>
      <c r="AQ121" s="12" t="s">
        <v>82</v>
      </c>
      <c r="AR121" s="12" t="s">
        <v>83</v>
      </c>
      <c r="AS121" s="12" t="s">
        <v>84</v>
      </c>
      <c r="AT121" s="12" t="s">
        <v>62</v>
      </c>
      <c r="AU121" s="13"/>
      <c r="AV121" s="15">
        <v>0.85</v>
      </c>
      <c r="AW121" s="14">
        <v>0.15</v>
      </c>
      <c r="AX121" s="13"/>
      <c r="AY121" s="14">
        <v>0.85</v>
      </c>
      <c r="AZ121" s="14">
        <v>0</v>
      </c>
      <c r="BA121" s="14">
        <v>0.15</v>
      </c>
      <c r="BB121" s="14">
        <v>0</v>
      </c>
      <c r="BC121" s="14">
        <v>0</v>
      </c>
      <c r="BD121" s="14">
        <v>0</v>
      </c>
      <c r="BE121" s="13"/>
      <c r="BF121" s="13"/>
      <c r="BG121" s="12" t="s">
        <v>125</v>
      </c>
      <c r="BH121" s="12" t="s">
        <v>87</v>
      </c>
      <c r="BI121" s="12" t="s">
        <v>419</v>
      </c>
      <c r="BJ121" s="12" t="s">
        <v>89</v>
      </c>
      <c r="BK121" s="13"/>
      <c r="BL121" s="13"/>
      <c r="BM121" s="12" t="s">
        <v>457</v>
      </c>
      <c r="BO121" s="60">
        <f>'LookUp Roll&amp;Packs'!$W$11</f>
        <v>182.41</v>
      </c>
      <c r="BT121" s="62">
        <f>AI121</f>
        <v>30</v>
      </c>
      <c r="BU121" s="60">
        <f>'LookUp Roll&amp;Packs'!$CJ$11</f>
        <v>22.56</v>
      </c>
      <c r="BV121" s="60">
        <f>'LookUp Roll&amp;Packs'!$CO$11</f>
        <v>514.76</v>
      </c>
      <c r="BW121" s="60">
        <f>'LookUp Roll&amp;Packs'!$CQ$11</f>
        <v>156.29</v>
      </c>
      <c r="BX121" s="61"/>
      <c r="BY121" s="61">
        <v>1</v>
      </c>
      <c r="CH121" s="54" t="s">
        <v>564</v>
      </c>
      <c r="CJ121" s="1" t="s">
        <v>564</v>
      </c>
    </row>
    <row r="122" spans="1:94" ht="20.100000000000001" customHeight="1">
      <c r="A122" s="84">
        <v>10001701</v>
      </c>
      <c r="B122" s="84">
        <v>10001701</v>
      </c>
      <c r="C122" s="84"/>
      <c r="D122" s="10">
        <v>10001701</v>
      </c>
      <c r="E122" s="11" t="s">
        <v>61</v>
      </c>
      <c r="F122" s="12" t="s">
        <v>62</v>
      </c>
      <c r="G122" s="12" t="s">
        <v>412</v>
      </c>
      <c r="H122" s="12" t="s">
        <v>413</v>
      </c>
      <c r="I122" s="12" t="s">
        <v>545</v>
      </c>
      <c r="J122" s="13"/>
      <c r="K122" s="13"/>
      <c r="L122" s="12" t="s">
        <v>85</v>
      </c>
      <c r="M122" s="12" t="s">
        <v>201</v>
      </c>
      <c r="N122" s="13"/>
      <c r="O122" s="13"/>
      <c r="P122" s="14">
        <v>0</v>
      </c>
      <c r="Q122" s="12" t="s">
        <v>85</v>
      </c>
      <c r="R122" s="12" t="s">
        <v>71</v>
      </c>
      <c r="S122" s="12" t="s">
        <v>72</v>
      </c>
      <c r="T122" s="13"/>
      <c r="U122" s="13"/>
      <c r="V122" s="12" t="s">
        <v>290</v>
      </c>
      <c r="W122" s="14">
        <v>0</v>
      </c>
      <c r="X122" s="14">
        <v>0</v>
      </c>
      <c r="Y122" s="12" t="s">
        <v>85</v>
      </c>
      <c r="Z122" s="13"/>
      <c r="AA122" s="14">
        <v>0</v>
      </c>
      <c r="AB122" s="13"/>
      <c r="AC122" s="13"/>
      <c r="AD122" s="14">
        <v>38249992</v>
      </c>
      <c r="AE122" s="12" t="s">
        <v>85</v>
      </c>
      <c r="AF122" s="13"/>
      <c r="AG122" s="12" t="s">
        <v>546</v>
      </c>
      <c r="AH122" s="14">
        <v>0</v>
      </c>
      <c r="AI122" s="13"/>
      <c r="AJ122" s="14">
        <v>0</v>
      </c>
      <c r="AK122" s="14">
        <v>0</v>
      </c>
      <c r="AL122" s="12" t="s">
        <v>85</v>
      </c>
      <c r="AM122" s="12" t="s">
        <v>62</v>
      </c>
      <c r="AN122" s="14">
        <v>0</v>
      </c>
      <c r="AO122" s="14">
        <v>0</v>
      </c>
      <c r="AP122" s="12" t="s">
        <v>81</v>
      </c>
      <c r="AQ122" s="13"/>
      <c r="AR122" s="12" t="s">
        <v>83</v>
      </c>
      <c r="AS122" s="12" t="s">
        <v>84</v>
      </c>
      <c r="AT122" s="12" t="s">
        <v>110</v>
      </c>
      <c r="AU122" s="13"/>
      <c r="AV122" s="12" t="s">
        <v>116</v>
      </c>
      <c r="AW122" s="12" t="s">
        <v>116</v>
      </c>
      <c r="AX122" s="12" t="s">
        <v>116</v>
      </c>
      <c r="AY122" s="14">
        <v>0</v>
      </c>
      <c r="AZ122" s="13"/>
      <c r="BA122" s="13"/>
      <c r="BB122" s="13"/>
      <c r="BC122" s="13"/>
      <c r="BD122" s="13"/>
      <c r="BE122" s="13"/>
      <c r="BF122" s="13"/>
      <c r="BG122" s="12" t="s">
        <v>417</v>
      </c>
      <c r="BH122" s="12" t="s">
        <v>418</v>
      </c>
      <c r="BI122" s="12" t="s">
        <v>419</v>
      </c>
      <c r="BJ122" s="12" t="s">
        <v>89</v>
      </c>
      <c r="BK122" s="13"/>
      <c r="BL122" s="13"/>
      <c r="BM122" s="12" t="s">
        <v>457</v>
      </c>
      <c r="BT122" s="62">
        <f>AI122</f>
        <v>0</v>
      </c>
      <c r="BX122" s="61"/>
      <c r="BY122" s="61">
        <v>1</v>
      </c>
      <c r="CF122" s="62"/>
      <c r="CG122" s="1"/>
      <c r="CJ122" s="1" t="s">
        <v>564</v>
      </c>
    </row>
    <row r="123" spans="1:94" ht="20.100000000000001" customHeight="1">
      <c r="D123" s="10">
        <v>10001703</v>
      </c>
      <c r="E123" s="11" t="s">
        <v>61</v>
      </c>
      <c r="F123" s="12" t="s">
        <v>62</v>
      </c>
      <c r="G123" s="12" t="s">
        <v>412</v>
      </c>
      <c r="H123" s="12" t="s">
        <v>413</v>
      </c>
      <c r="I123" s="12" t="s">
        <v>547</v>
      </c>
      <c r="J123" s="13"/>
      <c r="K123" s="13"/>
      <c r="L123" s="12" t="s">
        <v>85</v>
      </c>
      <c r="M123" s="12" t="s">
        <v>201</v>
      </c>
      <c r="N123" s="13"/>
      <c r="O123" s="13"/>
      <c r="P123" s="14">
        <v>0</v>
      </c>
      <c r="Q123" s="12" t="s">
        <v>85</v>
      </c>
      <c r="R123" s="12" t="s">
        <v>71</v>
      </c>
      <c r="S123" s="12" t="s">
        <v>72</v>
      </c>
      <c r="T123" s="13"/>
      <c r="U123" s="13"/>
      <c r="V123" s="12" t="s">
        <v>290</v>
      </c>
      <c r="W123" s="14">
        <v>0</v>
      </c>
      <c r="X123" s="14">
        <v>0</v>
      </c>
      <c r="Y123" s="12" t="s">
        <v>85</v>
      </c>
      <c r="Z123" s="13"/>
      <c r="AA123" s="14">
        <v>0</v>
      </c>
      <c r="AB123" s="13"/>
      <c r="AC123" s="13"/>
      <c r="AD123" s="14">
        <v>38249992</v>
      </c>
      <c r="AE123" s="12" t="s">
        <v>85</v>
      </c>
      <c r="AF123" s="13"/>
      <c r="AG123" s="12" t="s">
        <v>548</v>
      </c>
      <c r="AH123" s="14">
        <v>0</v>
      </c>
      <c r="AI123" s="13"/>
      <c r="AJ123" s="14">
        <v>0</v>
      </c>
      <c r="AK123" s="14">
        <v>0</v>
      </c>
      <c r="AL123" s="12" t="s">
        <v>85</v>
      </c>
      <c r="AM123" s="12" t="s">
        <v>62</v>
      </c>
      <c r="AN123" s="14">
        <v>0</v>
      </c>
      <c r="AO123" s="14">
        <v>0</v>
      </c>
      <c r="AP123" s="12" t="s">
        <v>81</v>
      </c>
      <c r="AQ123" s="13"/>
      <c r="AR123" s="12" t="s">
        <v>83</v>
      </c>
      <c r="AS123" s="12" t="s">
        <v>84</v>
      </c>
      <c r="AT123" s="12" t="s">
        <v>110</v>
      </c>
      <c r="AU123" s="13"/>
      <c r="AV123" s="12" t="s">
        <v>116</v>
      </c>
      <c r="AW123" s="12" t="s">
        <v>116</v>
      </c>
      <c r="AX123" s="12" t="s">
        <v>116</v>
      </c>
      <c r="AY123" s="14">
        <v>0</v>
      </c>
      <c r="AZ123" s="13"/>
      <c r="BA123" s="13"/>
      <c r="BB123" s="13"/>
      <c r="BC123" s="13"/>
      <c r="BD123" s="13"/>
      <c r="BE123" s="13"/>
      <c r="BF123" s="13"/>
      <c r="BG123" s="12" t="s">
        <v>417</v>
      </c>
      <c r="BH123" s="12" t="s">
        <v>418</v>
      </c>
      <c r="BI123" s="12" t="s">
        <v>419</v>
      </c>
      <c r="BJ123" s="12" t="s">
        <v>89</v>
      </c>
      <c r="BK123" s="13"/>
      <c r="BL123" s="13"/>
      <c r="BM123" s="12" t="s">
        <v>457</v>
      </c>
      <c r="BT123" s="62">
        <f>AI123</f>
        <v>0</v>
      </c>
      <c r="BX123" s="61"/>
      <c r="BY123" s="61">
        <v>1</v>
      </c>
      <c r="CF123" s="62"/>
      <c r="CG123" s="1"/>
      <c r="CI123" s="1" t="s">
        <v>564</v>
      </c>
      <c r="CJ123" s="1" t="s">
        <v>564</v>
      </c>
    </row>
    <row r="124" spans="1:94" ht="20.100000000000001" customHeight="1">
      <c r="A124" s="84">
        <v>10001716</v>
      </c>
      <c r="B124" s="84">
        <v>10001716</v>
      </c>
      <c r="C124" s="84"/>
      <c r="D124" s="10">
        <v>10001716</v>
      </c>
      <c r="E124" s="17"/>
      <c r="F124" s="12" t="s">
        <v>110</v>
      </c>
      <c r="G124" s="12" t="s">
        <v>138</v>
      </c>
      <c r="H124" s="12" t="s">
        <v>378</v>
      </c>
      <c r="I124" s="12" t="s">
        <v>549</v>
      </c>
      <c r="J124" s="13"/>
      <c r="K124" s="13"/>
      <c r="L124" s="12" t="s">
        <v>380</v>
      </c>
      <c r="M124" s="12" t="s">
        <v>67</v>
      </c>
      <c r="N124" s="12" t="s">
        <v>540</v>
      </c>
      <c r="O124" s="12" t="s">
        <v>541</v>
      </c>
      <c r="P124" s="14">
        <v>1</v>
      </c>
      <c r="Q124" s="12" t="s">
        <v>142</v>
      </c>
      <c r="R124" s="12" t="s">
        <v>71</v>
      </c>
      <c r="S124" s="12" t="s">
        <v>72</v>
      </c>
      <c r="T124" s="13"/>
      <c r="U124" s="13"/>
      <c r="V124" s="12" t="s">
        <v>73</v>
      </c>
      <c r="W124" s="12" t="s">
        <v>74</v>
      </c>
      <c r="X124" s="12" t="s">
        <v>75</v>
      </c>
      <c r="Y124" s="12" t="s">
        <v>85</v>
      </c>
      <c r="Z124" s="13"/>
      <c r="AA124" s="14">
        <v>10</v>
      </c>
      <c r="AB124" s="13"/>
      <c r="AC124" s="12" t="s">
        <v>76</v>
      </c>
      <c r="AD124" s="14">
        <v>48043158</v>
      </c>
      <c r="AE124" s="12" t="s">
        <v>77</v>
      </c>
      <c r="AF124" s="13"/>
      <c r="AG124" s="12" t="s">
        <v>550</v>
      </c>
      <c r="AH124" s="14">
        <v>0.8</v>
      </c>
      <c r="AI124" s="14">
        <v>48</v>
      </c>
      <c r="AJ124" s="14">
        <v>1.2</v>
      </c>
      <c r="AK124" s="14">
        <v>1.2</v>
      </c>
      <c r="AL124" s="12" t="s">
        <v>79</v>
      </c>
      <c r="AM124" s="12" t="s">
        <v>62</v>
      </c>
      <c r="AN124" s="12" t="s">
        <v>551</v>
      </c>
      <c r="AO124" s="13"/>
      <c r="AP124" s="12" t="s">
        <v>81</v>
      </c>
      <c r="AQ124" s="12" t="s">
        <v>146</v>
      </c>
      <c r="AR124" s="12" t="s">
        <v>83</v>
      </c>
      <c r="AS124" s="12" t="s">
        <v>84</v>
      </c>
      <c r="AT124" s="12" t="s">
        <v>110</v>
      </c>
      <c r="AU124" s="13"/>
      <c r="AV124" s="13"/>
      <c r="AW124" s="15">
        <v>1</v>
      </c>
      <c r="AX124" s="13"/>
      <c r="AY124" s="14">
        <v>0</v>
      </c>
      <c r="AZ124" s="14">
        <v>0</v>
      </c>
      <c r="BA124" s="15">
        <v>1</v>
      </c>
      <c r="BB124" s="13"/>
      <c r="BC124" s="13"/>
      <c r="BD124" s="13"/>
      <c r="BE124" s="13"/>
      <c r="BF124" s="13"/>
      <c r="BG124" s="12" t="s">
        <v>147</v>
      </c>
      <c r="BH124" s="12" t="s">
        <v>148</v>
      </c>
      <c r="BI124" s="12" t="s">
        <v>419</v>
      </c>
      <c r="BJ124" s="12" t="s">
        <v>89</v>
      </c>
      <c r="BK124" s="13"/>
      <c r="BL124" s="13"/>
      <c r="BM124" s="12" t="s">
        <v>457</v>
      </c>
      <c r="BO124" s="60">
        <f>'LookUp Roll&amp;Packs'!$U$9</f>
        <v>43.19</v>
      </c>
      <c r="BR124" s="60">
        <f>'LookUp Roll&amp;Packs'!$V$9</f>
        <v>5.22</v>
      </c>
      <c r="BT124" s="62">
        <f>AI124</f>
        <v>48</v>
      </c>
      <c r="BU124" s="60">
        <f>'LookUp Roll&amp;Packs'!$BI$9</f>
        <v>22.56</v>
      </c>
      <c r="BV124" s="60">
        <f>'LookUp Roll&amp;Packs'!$CO$9</f>
        <v>2796.7</v>
      </c>
      <c r="BW124" s="60">
        <f>'LookUp Roll&amp;Packs'!$CQ$9</f>
        <v>175.14</v>
      </c>
      <c r="BX124" s="61">
        <f>'LookUp Roll&amp;Packs'!$CP$9</f>
        <v>66.8</v>
      </c>
      <c r="BY124" s="61">
        <v>1</v>
      </c>
      <c r="BZ124" s="62">
        <f>BU124</f>
        <v>22.56</v>
      </c>
      <c r="CA124" s="67">
        <f>((AI124*BO124)+BV124)/1000</f>
        <v>4.8698199999999998</v>
      </c>
      <c r="CB124" s="67"/>
      <c r="CC124" s="67">
        <f>(AI124*BR124)/1000</f>
        <v>0.25056</v>
      </c>
      <c r="CD124" s="67">
        <f>BW124/1000</f>
        <v>0.17513999999999999</v>
      </c>
      <c r="CE124" s="67">
        <f t="shared" ref="CE124" si="66">BX124/1000</f>
        <v>6.6799999999999998E-2</v>
      </c>
      <c r="CH124" s="54" t="s">
        <v>564</v>
      </c>
    </row>
    <row r="125" spans="1:94" ht="20.100000000000001" customHeight="1">
      <c r="A125" s="84">
        <v>10001729</v>
      </c>
      <c r="B125" s="84">
        <v>10001729</v>
      </c>
      <c r="C125" s="89" t="s">
        <v>689</v>
      </c>
      <c r="D125" s="90">
        <v>10001729</v>
      </c>
      <c r="E125" s="11"/>
      <c r="F125" s="12"/>
      <c r="G125" s="12"/>
      <c r="H125" s="12"/>
      <c r="I125" s="12"/>
      <c r="J125" s="13"/>
      <c r="K125" s="13"/>
      <c r="L125" s="13"/>
      <c r="M125" s="12"/>
      <c r="N125" s="12"/>
      <c r="O125" s="16"/>
      <c r="P125" s="14"/>
      <c r="Q125" s="12"/>
      <c r="R125" s="12"/>
      <c r="S125" s="12"/>
      <c r="T125" s="13"/>
      <c r="U125" s="13"/>
      <c r="V125" s="12"/>
      <c r="W125" s="14"/>
      <c r="X125" s="14"/>
      <c r="Y125" s="12"/>
      <c r="Z125" s="13"/>
      <c r="AA125" s="14"/>
      <c r="AB125" s="13"/>
      <c r="AC125" s="13"/>
      <c r="AD125" s="14"/>
      <c r="AE125" s="12"/>
      <c r="AF125" s="13"/>
      <c r="AG125" s="12" t="s">
        <v>689</v>
      </c>
      <c r="AH125" s="14"/>
      <c r="AI125" s="13"/>
      <c r="AJ125" s="14"/>
      <c r="AK125" s="14"/>
      <c r="AL125" s="12"/>
      <c r="AM125" s="12"/>
      <c r="AN125" s="14"/>
      <c r="AO125" s="14"/>
      <c r="AP125" s="12"/>
      <c r="AQ125" s="13"/>
      <c r="AR125" s="12"/>
      <c r="AS125" s="12"/>
      <c r="AT125" s="12"/>
      <c r="AU125" s="13"/>
      <c r="AV125" s="12"/>
      <c r="AW125" s="13"/>
      <c r="AX125" s="13"/>
      <c r="AY125" s="14"/>
      <c r="AZ125" s="14"/>
      <c r="BA125" s="14"/>
      <c r="BB125" s="14"/>
      <c r="BC125" s="14"/>
      <c r="BD125" s="14"/>
      <c r="BE125" s="13"/>
      <c r="BF125" s="13"/>
      <c r="BG125" s="13"/>
      <c r="BH125" s="13"/>
      <c r="BI125" s="12"/>
      <c r="BJ125" s="12"/>
      <c r="BK125" s="13"/>
      <c r="BL125" s="13"/>
      <c r="BM125" s="12"/>
      <c r="BX125" s="61"/>
      <c r="BY125" s="61"/>
      <c r="CF125" s="62"/>
      <c r="CG125" s="1"/>
    </row>
    <row r="126" spans="1:94" ht="20.100000000000001" customHeight="1">
      <c r="A126" s="84">
        <v>10001733</v>
      </c>
      <c r="B126" s="84">
        <v>10001733</v>
      </c>
      <c r="C126" s="89" t="s">
        <v>690</v>
      </c>
      <c r="D126" s="90">
        <v>10001733</v>
      </c>
      <c r="E126" s="11"/>
      <c r="F126" s="12"/>
      <c r="G126" s="12"/>
      <c r="H126" s="12"/>
      <c r="I126" s="12"/>
      <c r="J126" s="13"/>
      <c r="K126" s="13"/>
      <c r="L126" s="13"/>
      <c r="M126" s="12"/>
      <c r="N126" s="12"/>
      <c r="O126" s="16"/>
      <c r="P126" s="14"/>
      <c r="Q126" s="12"/>
      <c r="R126" s="12"/>
      <c r="S126" s="12"/>
      <c r="T126" s="13"/>
      <c r="U126" s="13"/>
      <c r="V126" s="12"/>
      <c r="W126" s="14"/>
      <c r="X126" s="14"/>
      <c r="Y126" s="12"/>
      <c r="Z126" s="13"/>
      <c r="AA126" s="14"/>
      <c r="AB126" s="13"/>
      <c r="AC126" s="13"/>
      <c r="AD126" s="14"/>
      <c r="AE126" s="12"/>
      <c r="AF126" s="13"/>
      <c r="AG126" s="12" t="s">
        <v>690</v>
      </c>
      <c r="AH126" s="14"/>
      <c r="AI126" s="13"/>
      <c r="AJ126" s="14"/>
      <c r="AK126" s="14"/>
      <c r="AL126" s="12"/>
      <c r="AM126" s="12"/>
      <c r="AN126" s="14"/>
      <c r="AO126" s="14"/>
      <c r="AP126" s="12"/>
      <c r="AQ126" s="13"/>
      <c r="AR126" s="12"/>
      <c r="AS126" s="12"/>
      <c r="AT126" s="12"/>
      <c r="AU126" s="13"/>
      <c r="AV126" s="12"/>
      <c r="AW126" s="13"/>
      <c r="AX126" s="13"/>
      <c r="AY126" s="14"/>
      <c r="AZ126" s="14"/>
      <c r="BA126" s="14"/>
      <c r="BB126" s="14"/>
      <c r="BC126" s="14"/>
      <c r="BD126" s="14"/>
      <c r="BE126" s="13"/>
      <c r="BF126" s="13"/>
      <c r="BG126" s="13"/>
      <c r="BH126" s="13"/>
      <c r="BI126" s="12"/>
      <c r="BJ126" s="12"/>
      <c r="BK126" s="13"/>
      <c r="BL126" s="13"/>
      <c r="BM126" s="12"/>
      <c r="BX126" s="61"/>
      <c r="BY126" s="61"/>
      <c r="CF126" s="62"/>
      <c r="CG126" s="1"/>
    </row>
    <row r="127" spans="1:94" ht="20.100000000000001" customHeight="1">
      <c r="A127" s="84">
        <v>10001741</v>
      </c>
      <c r="B127" s="84">
        <v>10001741</v>
      </c>
      <c r="C127" s="89" t="s">
        <v>691</v>
      </c>
      <c r="D127" s="90">
        <v>10001741</v>
      </c>
      <c r="E127" s="11"/>
      <c r="F127" s="12"/>
      <c r="G127" s="12"/>
      <c r="H127" s="12"/>
      <c r="I127" s="12"/>
      <c r="J127" s="13"/>
      <c r="K127" s="13"/>
      <c r="L127" s="13"/>
      <c r="M127" s="12"/>
      <c r="N127" s="12"/>
      <c r="O127" s="12"/>
      <c r="P127" s="14"/>
      <c r="Q127" s="12"/>
      <c r="R127" s="12"/>
      <c r="S127" s="12"/>
      <c r="T127" s="13"/>
      <c r="U127" s="13"/>
      <c r="V127" s="12"/>
      <c r="W127" s="14"/>
      <c r="X127" s="14"/>
      <c r="Y127" s="12"/>
      <c r="Z127" s="13"/>
      <c r="AA127" s="14"/>
      <c r="AB127" s="13"/>
      <c r="AC127" s="13"/>
      <c r="AD127" s="14"/>
      <c r="AE127" s="12"/>
      <c r="AF127" s="13"/>
      <c r="AG127" s="12" t="s">
        <v>691</v>
      </c>
      <c r="AH127" s="14"/>
      <c r="AI127" s="13"/>
      <c r="AJ127" s="14"/>
      <c r="AK127" s="14"/>
      <c r="AL127" s="12"/>
      <c r="AM127" s="12"/>
      <c r="AN127" s="14"/>
      <c r="AO127" s="14"/>
      <c r="AP127" s="12"/>
      <c r="AQ127" s="13"/>
      <c r="AR127" s="12"/>
      <c r="AS127" s="12"/>
      <c r="AT127" s="12"/>
      <c r="AU127" s="13"/>
      <c r="AV127" s="12"/>
      <c r="AW127" s="13"/>
      <c r="AX127" s="13"/>
      <c r="AY127" s="14"/>
      <c r="AZ127" s="14"/>
      <c r="BA127" s="14"/>
      <c r="BB127" s="14"/>
      <c r="BC127" s="14"/>
      <c r="BD127" s="14"/>
      <c r="BE127" s="13"/>
      <c r="BF127" s="13"/>
      <c r="BG127" s="13"/>
      <c r="BH127" s="13"/>
      <c r="BI127" s="12"/>
      <c r="BJ127" s="12"/>
      <c r="BK127" s="13"/>
      <c r="BL127" s="13"/>
      <c r="BM127" s="12"/>
      <c r="BX127" s="61"/>
      <c r="BY127" s="61"/>
      <c r="CF127" s="62"/>
      <c r="CG127" s="1"/>
      <c r="CI127" s="1" t="s">
        <v>564</v>
      </c>
      <c r="CJ127" s="1" t="s">
        <v>564</v>
      </c>
      <c r="CM127" s="70"/>
      <c r="CN127" s="70"/>
      <c r="CO127" s="70"/>
      <c r="CP127" s="70"/>
    </row>
    <row r="128" spans="1:94" ht="20.100000000000001" customHeight="1">
      <c r="A128" s="84">
        <v>10001742</v>
      </c>
      <c r="B128" s="84">
        <v>10001742</v>
      </c>
      <c r="C128" s="84"/>
      <c r="D128" s="10">
        <v>10001742</v>
      </c>
      <c r="E128" s="11" t="s">
        <v>61</v>
      </c>
      <c r="F128" s="12" t="s">
        <v>62</v>
      </c>
      <c r="G128" s="12" t="s">
        <v>112</v>
      </c>
      <c r="H128" s="12" t="s">
        <v>198</v>
      </c>
      <c r="I128" s="12" t="s">
        <v>191</v>
      </c>
      <c r="J128" s="12" t="s">
        <v>192</v>
      </c>
      <c r="K128" s="12" t="s">
        <v>193</v>
      </c>
      <c r="L128" s="12" t="s">
        <v>194</v>
      </c>
      <c r="M128" s="12" t="s">
        <v>99</v>
      </c>
      <c r="N128" s="12" t="s">
        <v>133</v>
      </c>
      <c r="O128" s="13"/>
      <c r="P128" s="14">
        <v>1</v>
      </c>
      <c r="Q128" s="12" t="s">
        <v>70</v>
      </c>
      <c r="R128" s="12" t="s">
        <v>71</v>
      </c>
      <c r="S128" s="12" t="s">
        <v>72</v>
      </c>
      <c r="T128" s="13"/>
      <c r="U128" s="13"/>
      <c r="V128" s="12" t="s">
        <v>135</v>
      </c>
      <c r="W128" s="14">
        <v>164</v>
      </c>
      <c r="X128" s="14">
        <v>0.51</v>
      </c>
      <c r="Y128" s="13"/>
      <c r="Z128" s="13"/>
      <c r="AA128" s="14">
        <v>6.8</v>
      </c>
      <c r="AB128" s="13"/>
      <c r="AC128" s="13"/>
      <c r="AD128" s="14">
        <v>48043158</v>
      </c>
      <c r="AE128" s="12" t="s">
        <v>77</v>
      </c>
      <c r="AF128" s="13"/>
      <c r="AG128" s="56" t="s">
        <v>557</v>
      </c>
      <c r="AH128" s="14">
        <v>0.8</v>
      </c>
      <c r="AI128" s="13">
        <v>60</v>
      </c>
      <c r="AJ128" s="14">
        <v>1.2</v>
      </c>
      <c r="AK128" s="14">
        <v>1.2</v>
      </c>
      <c r="AL128" s="12" t="s">
        <v>79</v>
      </c>
      <c r="AM128" s="12" t="s">
        <v>62</v>
      </c>
      <c r="AN128" s="14">
        <v>431</v>
      </c>
      <c r="AO128" s="14">
        <v>406</v>
      </c>
      <c r="AP128" s="12" t="s">
        <v>81</v>
      </c>
      <c r="AQ128" s="13"/>
      <c r="AR128" s="12" t="s">
        <v>83</v>
      </c>
      <c r="AS128" s="12" t="s">
        <v>84</v>
      </c>
      <c r="AT128" s="12" t="s">
        <v>62</v>
      </c>
      <c r="AU128" s="13"/>
      <c r="AV128" s="15">
        <v>0.85</v>
      </c>
      <c r="AW128" s="15">
        <v>0.15</v>
      </c>
      <c r="AX128" s="13"/>
      <c r="AY128" s="15">
        <v>0.85</v>
      </c>
      <c r="AZ128" s="13"/>
      <c r="BA128" s="15">
        <v>0.15</v>
      </c>
      <c r="BB128" s="14">
        <v>0</v>
      </c>
      <c r="BC128" s="14">
        <v>0</v>
      </c>
      <c r="BD128" s="14">
        <v>0</v>
      </c>
      <c r="BE128" s="12" t="s">
        <v>85</v>
      </c>
      <c r="BF128" s="13"/>
      <c r="BG128" s="12" t="s">
        <v>125</v>
      </c>
      <c r="BH128" s="12" t="s">
        <v>87</v>
      </c>
      <c r="BI128" s="12" t="s">
        <v>558</v>
      </c>
      <c r="BJ128" s="12" t="s">
        <v>89</v>
      </c>
      <c r="BK128" s="13"/>
      <c r="BL128" s="13"/>
      <c r="BM128" s="12" t="s">
        <v>90</v>
      </c>
      <c r="BO128" s="60">
        <f>'LookUp Roll&amp;Packs'!$W$11</f>
        <v>182.41</v>
      </c>
      <c r="BT128" s="62">
        <f>AI128</f>
        <v>60</v>
      </c>
      <c r="BU128" s="60">
        <f>'LookUp Roll&amp;Packs'!$CJ$11</f>
        <v>22.56</v>
      </c>
      <c r="BV128" s="60">
        <f>'LookUp Roll&amp;Packs'!$CO$11</f>
        <v>514.76</v>
      </c>
      <c r="BW128" s="60">
        <f>'LookUp Roll&amp;Packs'!$CQ$11</f>
        <v>156.29</v>
      </c>
      <c r="BX128" s="61"/>
      <c r="BY128" s="61">
        <v>1</v>
      </c>
      <c r="BZ128" s="62">
        <f>BU128</f>
        <v>22.56</v>
      </c>
      <c r="CA128" s="67">
        <f>((AI128*BO128)+BV128)/1000</f>
        <v>11.45936</v>
      </c>
      <c r="CB128" s="67"/>
      <c r="CD128" s="67">
        <f>BW128/1000</f>
        <v>0.15628999999999998</v>
      </c>
      <c r="CH128" s="54" t="s">
        <v>564</v>
      </c>
      <c r="CI128" s="1" t="s">
        <v>564</v>
      </c>
      <c r="CJ128" s="1" t="s">
        <v>564</v>
      </c>
    </row>
    <row r="129" spans="1:119" ht="20.100000000000001" customHeight="1">
      <c r="A129" s="84">
        <v>10500608</v>
      </c>
      <c r="B129" s="84">
        <v>10500608</v>
      </c>
      <c r="C129" s="84"/>
      <c r="D129" s="10">
        <v>10500608</v>
      </c>
      <c r="E129" s="11" t="s">
        <v>61</v>
      </c>
      <c r="F129" s="12" t="s">
        <v>62</v>
      </c>
      <c r="G129" s="12" t="s">
        <v>138</v>
      </c>
      <c r="H129" s="12" t="s">
        <v>378</v>
      </c>
      <c r="I129" s="12" t="s">
        <v>552</v>
      </c>
      <c r="J129" s="13"/>
      <c r="K129" s="13"/>
      <c r="L129" s="12" t="s">
        <v>380</v>
      </c>
      <c r="M129" s="12" t="s">
        <v>67</v>
      </c>
      <c r="N129" s="12" t="s">
        <v>158</v>
      </c>
      <c r="O129" s="12" t="s">
        <v>159</v>
      </c>
      <c r="P129" s="14">
        <v>1</v>
      </c>
      <c r="Q129" s="12" t="s">
        <v>553</v>
      </c>
      <c r="R129" s="12" t="s">
        <v>554</v>
      </c>
      <c r="S129" s="12" t="s">
        <v>72</v>
      </c>
      <c r="T129" s="14">
        <v>8721284291015</v>
      </c>
      <c r="U129" s="13"/>
      <c r="V129" s="12" t="s">
        <v>381</v>
      </c>
      <c r="W129" s="12" t="s">
        <v>179</v>
      </c>
      <c r="X129" s="12" t="s">
        <v>75</v>
      </c>
      <c r="Y129" s="13"/>
      <c r="Z129" s="13"/>
      <c r="AA129" s="14">
        <v>11.4</v>
      </c>
      <c r="AB129" s="13"/>
      <c r="AC129" s="12" t="s">
        <v>76</v>
      </c>
      <c r="AD129" s="14">
        <v>48043158</v>
      </c>
      <c r="AE129" s="12" t="s">
        <v>77</v>
      </c>
      <c r="AF129" s="13"/>
      <c r="AG129" s="12" t="s">
        <v>555</v>
      </c>
      <c r="AH129" s="14">
        <v>0.8</v>
      </c>
      <c r="AI129" s="14">
        <v>48</v>
      </c>
      <c r="AJ129" s="14">
        <v>1.2</v>
      </c>
      <c r="AK129" s="14">
        <v>1.2</v>
      </c>
      <c r="AL129" s="12" t="s">
        <v>79</v>
      </c>
      <c r="AM129" s="12" t="s">
        <v>62</v>
      </c>
      <c r="AN129" s="12" t="s">
        <v>385</v>
      </c>
      <c r="AO129" s="13"/>
      <c r="AP129" s="12" t="s">
        <v>81</v>
      </c>
      <c r="AQ129" s="12" t="s">
        <v>146</v>
      </c>
      <c r="AR129" s="12" t="s">
        <v>83</v>
      </c>
      <c r="AS129" s="12" t="s">
        <v>84</v>
      </c>
      <c r="AT129" s="12" t="s">
        <v>110</v>
      </c>
      <c r="AU129" s="15">
        <v>0.1</v>
      </c>
      <c r="AV129" s="13"/>
      <c r="AW129" s="15">
        <v>0.9</v>
      </c>
      <c r="AX129" s="13"/>
      <c r="AY129" s="15">
        <v>0.1</v>
      </c>
      <c r="AZ129" s="15">
        <v>0.45</v>
      </c>
      <c r="BA129" s="15">
        <v>0.45</v>
      </c>
      <c r="BB129" s="13"/>
      <c r="BC129" s="13"/>
      <c r="BD129" s="13"/>
      <c r="BE129" s="13"/>
      <c r="BF129" s="13"/>
      <c r="BG129" s="13"/>
      <c r="BH129" s="13"/>
      <c r="BI129" s="12" t="s">
        <v>556</v>
      </c>
      <c r="BJ129" s="12" t="s">
        <v>89</v>
      </c>
      <c r="BK129" s="13"/>
      <c r="BL129" s="13"/>
      <c r="BM129" s="12" t="s">
        <v>457</v>
      </c>
      <c r="BO129" s="60">
        <f>'LookUp Roll&amp;Packs'!$U$9</f>
        <v>43.19</v>
      </c>
      <c r="BR129" s="60">
        <f>'LookUp Roll&amp;Packs'!$V$9</f>
        <v>5.22</v>
      </c>
      <c r="BT129" s="62">
        <f>AI129</f>
        <v>48</v>
      </c>
      <c r="BU129" s="60">
        <f>'LookUp Roll&amp;Packs'!$BI$9</f>
        <v>22.56</v>
      </c>
      <c r="BV129" s="60">
        <f>'LookUp Roll&amp;Packs'!$CO$9</f>
        <v>2796.7</v>
      </c>
      <c r="BW129" s="60">
        <f>'LookUp Roll&amp;Packs'!$CQ$9</f>
        <v>175.14</v>
      </c>
      <c r="BX129" s="61">
        <f>'LookUp Roll&amp;Packs'!$CP$9</f>
        <v>66.8</v>
      </c>
      <c r="BY129" s="61">
        <v>1</v>
      </c>
      <c r="BZ129" s="62">
        <f>BU129</f>
        <v>22.56</v>
      </c>
      <c r="CA129" s="67">
        <f>((AI129*BO129)+BV129)/1000</f>
        <v>4.8698199999999998</v>
      </c>
      <c r="CB129" s="67"/>
      <c r="CC129" s="67">
        <f>(AI129*BR129)/1000</f>
        <v>0.25056</v>
      </c>
      <c r="CD129" s="67">
        <f>BW129/1000</f>
        <v>0.17513999999999999</v>
      </c>
      <c r="CE129" s="67">
        <f t="shared" ref="CE129" si="67">BX129/1000</f>
        <v>6.6799999999999998E-2</v>
      </c>
      <c r="CH129" s="54" t="s">
        <v>564</v>
      </c>
    </row>
    <row r="130" spans="1:119" ht="20.100000000000001" customHeight="1">
      <c r="A130" s="84">
        <v>10500617</v>
      </c>
      <c r="B130" s="84">
        <v>10500617</v>
      </c>
      <c r="C130" s="89" t="s">
        <v>692</v>
      </c>
    </row>
    <row r="131" spans="1:119" ht="20.100000000000001" customHeight="1">
      <c r="A131" s="84">
        <v>10500621</v>
      </c>
      <c r="B131" s="84">
        <v>10500621</v>
      </c>
      <c r="C131" s="89" t="s">
        <v>693</v>
      </c>
    </row>
    <row r="132" spans="1:119" ht="20.100000000000001" customHeight="1">
      <c r="A132" s="84">
        <v>10500630</v>
      </c>
      <c r="B132" s="84">
        <v>10500630</v>
      </c>
      <c r="C132" s="89" t="s">
        <v>694</v>
      </c>
    </row>
    <row r="133" spans="1:119" ht="20.100000000000001" customHeight="1">
      <c r="A133" s="84">
        <v>10500657</v>
      </c>
    </row>
    <row r="134" spans="1:119" ht="20.100000000000001" customHeight="1">
      <c r="A134" s="84">
        <v>10500689</v>
      </c>
      <c r="B134" s="84">
        <v>10500689</v>
      </c>
      <c r="C134" s="89" t="s">
        <v>695</v>
      </c>
    </row>
    <row r="135" spans="1:119" ht="20.100000000000001" customHeight="1">
      <c r="A135" s="84">
        <v>10500691</v>
      </c>
      <c r="B135" s="84">
        <v>10500691</v>
      </c>
      <c r="C135" s="89" t="s">
        <v>696</v>
      </c>
    </row>
    <row r="136" spans="1:119" ht="20.100000000000001" customHeight="1">
      <c r="A136" s="84">
        <v>10500694</v>
      </c>
      <c r="B136" s="84">
        <v>10500694</v>
      </c>
      <c r="C136" s="89" t="s">
        <v>697</v>
      </c>
    </row>
    <row r="137" spans="1:119" ht="20.100000000000001" customHeight="1">
      <c r="A137" s="84">
        <v>10500695</v>
      </c>
      <c r="B137" s="84">
        <v>10500695</v>
      </c>
      <c r="C137" s="89" t="s">
        <v>698</v>
      </c>
    </row>
    <row r="138" spans="1:119" ht="20.100000000000001" customHeight="1">
      <c r="A138" s="84">
        <v>10500696</v>
      </c>
      <c r="B138" s="84">
        <v>10500696</v>
      </c>
      <c r="C138" s="89" t="s">
        <v>699</v>
      </c>
    </row>
    <row r="139" spans="1:119" ht="20.100000000000001" customHeight="1">
      <c r="A139" s="84">
        <v>10500710</v>
      </c>
      <c r="B139" s="84">
        <v>10500710</v>
      </c>
      <c r="C139" s="89" t="s">
        <v>700</v>
      </c>
      <c r="DE139" s="70"/>
      <c r="DF139" s="70"/>
      <c r="DG139" s="70"/>
      <c r="DH139" s="70"/>
      <c r="DI139" s="70"/>
      <c r="DJ139" s="70"/>
      <c r="DK139" s="70"/>
    </row>
    <row r="140" spans="1:119" ht="20.100000000000001" customHeight="1">
      <c r="A140" s="84">
        <v>11513184</v>
      </c>
      <c r="B140" s="84">
        <v>11513184</v>
      </c>
      <c r="C140" s="89" t="s">
        <v>701</v>
      </c>
      <c r="CQ140" s="70"/>
      <c r="CR140" s="70"/>
      <c r="CS140" s="70"/>
      <c r="CT140" s="70"/>
      <c r="CU140" s="70"/>
      <c r="CV140" s="70"/>
      <c r="CW140" s="70"/>
      <c r="CX140" s="70"/>
      <c r="CY140" s="70"/>
      <c r="CZ140" s="70"/>
      <c r="DA140" s="70"/>
      <c r="DB140" s="70"/>
      <c r="DC140" s="70"/>
      <c r="DD140" s="70"/>
    </row>
    <row r="141" spans="1:119" ht="20.100000000000001" customHeight="1">
      <c r="A141" s="84"/>
      <c r="CI141" s="1">
        <f>COUNTA(CI3:CI128)</f>
        <v>70</v>
      </c>
      <c r="CJ141" s="1">
        <f>COUNTA(CJ3:CJ128)</f>
        <v>103</v>
      </c>
    </row>
    <row r="142" spans="1:119" ht="20.100000000000001" customHeight="1">
      <c r="A142" s="84"/>
      <c r="E142" s="1">
        <f>COUNTA(E3:E129)</f>
        <v>101</v>
      </c>
      <c r="BX142" s="61"/>
      <c r="BY142" s="61"/>
      <c r="CI142" s="22">
        <f>CI141/E142</f>
        <v>0.69306930693069302</v>
      </c>
    </row>
    <row r="143" spans="1:119" ht="20.100000000000001" customHeight="1">
      <c r="A143" s="84"/>
      <c r="BX143" s="61"/>
      <c r="BY143" s="61"/>
      <c r="DN143" s="70"/>
      <c r="DO143" s="70"/>
    </row>
    <row r="144" spans="1:119" ht="20.100000000000001" customHeight="1">
      <c r="A144" s="84"/>
      <c r="BX144" s="61"/>
      <c r="BY144" s="61"/>
      <c r="CI144" s="70"/>
      <c r="CJ144" s="70"/>
      <c r="CK144" s="70"/>
      <c r="DL144" s="70"/>
      <c r="DM144" s="70"/>
    </row>
    <row r="145" spans="2:141" ht="20.100000000000001" customHeight="1">
      <c r="D145" s="70">
        <v>1</v>
      </c>
      <c r="E145" s="70">
        <v>2</v>
      </c>
      <c r="F145" s="70">
        <v>3</v>
      </c>
      <c r="G145" s="70">
        <v>4</v>
      </c>
      <c r="H145" s="70">
        <v>5</v>
      </c>
      <c r="I145" s="70">
        <v>6</v>
      </c>
      <c r="J145" s="70">
        <v>7</v>
      </c>
      <c r="K145" s="70">
        <v>8</v>
      </c>
      <c r="L145" s="70">
        <v>9</v>
      </c>
      <c r="M145" s="70">
        <v>10</v>
      </c>
      <c r="N145" s="70">
        <v>11</v>
      </c>
      <c r="O145" s="70">
        <v>12</v>
      </c>
      <c r="P145" s="70">
        <v>13</v>
      </c>
      <c r="Q145" s="70">
        <v>14</v>
      </c>
      <c r="R145" s="70">
        <v>15</v>
      </c>
      <c r="S145" s="70">
        <v>16</v>
      </c>
      <c r="T145" s="70">
        <v>17</v>
      </c>
      <c r="U145" s="70">
        <v>18</v>
      </c>
      <c r="V145" s="70">
        <v>19</v>
      </c>
      <c r="W145" s="70">
        <v>20</v>
      </c>
      <c r="X145" s="70">
        <v>21</v>
      </c>
      <c r="Y145" s="70">
        <v>22</v>
      </c>
      <c r="Z145" s="70">
        <v>23</v>
      </c>
      <c r="AA145" s="70">
        <v>24</v>
      </c>
      <c r="AB145" s="70">
        <v>25</v>
      </c>
      <c r="AC145" s="70">
        <v>26</v>
      </c>
      <c r="AD145" s="70">
        <v>27</v>
      </c>
      <c r="AE145" s="70">
        <v>28</v>
      </c>
      <c r="AF145" s="70">
        <v>29</v>
      </c>
      <c r="AG145" s="70">
        <v>30</v>
      </c>
      <c r="AH145" s="70">
        <v>31</v>
      </c>
      <c r="AI145" s="70">
        <v>32</v>
      </c>
      <c r="AJ145" s="70">
        <v>33</v>
      </c>
      <c r="AK145" s="70">
        <v>34</v>
      </c>
      <c r="AL145" s="70">
        <v>35</v>
      </c>
      <c r="AM145" s="70">
        <v>36</v>
      </c>
      <c r="AN145" s="70">
        <v>37</v>
      </c>
      <c r="AO145" s="70">
        <v>38</v>
      </c>
      <c r="AP145" s="70">
        <v>39</v>
      </c>
      <c r="AQ145" s="70">
        <v>40</v>
      </c>
      <c r="AR145" s="70">
        <v>41</v>
      </c>
      <c r="AS145" s="70">
        <v>42</v>
      </c>
      <c r="AT145" s="70">
        <v>43</v>
      </c>
      <c r="AU145" s="70">
        <v>44</v>
      </c>
      <c r="AV145" s="70">
        <v>45</v>
      </c>
      <c r="AW145" s="70">
        <v>46</v>
      </c>
      <c r="AX145" s="70">
        <v>47</v>
      </c>
      <c r="AY145" s="70">
        <v>48</v>
      </c>
      <c r="AZ145" s="70">
        <v>49</v>
      </c>
      <c r="BA145" s="70">
        <v>50</v>
      </c>
      <c r="BB145" s="70">
        <v>51</v>
      </c>
      <c r="BC145" s="70">
        <v>52</v>
      </c>
      <c r="BD145" s="70">
        <v>53</v>
      </c>
      <c r="BE145" s="70">
        <v>54</v>
      </c>
      <c r="BF145" s="70">
        <v>55</v>
      </c>
      <c r="BG145" s="70">
        <v>56</v>
      </c>
      <c r="BH145" s="70">
        <v>57</v>
      </c>
      <c r="BI145" s="70">
        <v>58</v>
      </c>
      <c r="BJ145" s="70">
        <v>59</v>
      </c>
      <c r="BK145" s="70">
        <v>60</v>
      </c>
      <c r="BL145" s="70">
        <v>61</v>
      </c>
      <c r="BM145" s="70">
        <v>62</v>
      </c>
      <c r="BN145" s="70">
        <v>63</v>
      </c>
      <c r="BO145" s="71">
        <v>64</v>
      </c>
      <c r="BP145" s="71">
        <v>65</v>
      </c>
      <c r="BQ145" s="71">
        <v>66</v>
      </c>
      <c r="BR145" s="71">
        <v>67</v>
      </c>
      <c r="BS145" s="72">
        <v>68</v>
      </c>
      <c r="BT145" s="72">
        <v>69</v>
      </c>
      <c r="BU145" s="71">
        <v>70</v>
      </c>
      <c r="BV145" s="71">
        <v>71</v>
      </c>
      <c r="BW145" s="71">
        <v>72</v>
      </c>
      <c r="BX145" s="71">
        <v>73</v>
      </c>
      <c r="BY145" s="71">
        <v>74</v>
      </c>
      <c r="BZ145" s="72">
        <v>75</v>
      </c>
      <c r="CA145" s="72">
        <v>76</v>
      </c>
      <c r="CB145" s="72">
        <v>77</v>
      </c>
      <c r="CC145" s="72">
        <v>78</v>
      </c>
      <c r="CD145" s="72">
        <v>79</v>
      </c>
      <c r="CE145" s="72">
        <v>80</v>
      </c>
      <c r="CF145" s="72">
        <v>81</v>
      </c>
      <c r="CG145" s="70">
        <v>82</v>
      </c>
      <c r="CH145" s="70"/>
      <c r="CL145" s="70"/>
      <c r="DP145" s="70"/>
    </row>
    <row r="146" spans="2:141" ht="20.100000000000001" customHeight="1">
      <c r="BX146" s="61"/>
      <c r="BY146" s="61"/>
    </row>
    <row r="147" spans="2:141" ht="20.100000000000001" customHeight="1">
      <c r="BX147" s="61"/>
      <c r="BY147" s="61"/>
    </row>
    <row r="148" spans="2:141" ht="20.100000000000001" customHeight="1">
      <c r="BX148" s="61"/>
      <c r="BY148" s="61"/>
    </row>
    <row r="149" spans="2:141" ht="20.100000000000001" customHeight="1">
      <c r="BX149" s="61"/>
      <c r="BY149" s="61"/>
      <c r="DQ149" s="70"/>
      <c r="DR149" s="70"/>
      <c r="DS149" s="70"/>
    </row>
    <row r="150" spans="2:141" ht="20.100000000000001" customHeight="1">
      <c r="BX150" s="61"/>
      <c r="BY150" s="61"/>
    </row>
    <row r="151" spans="2:141" ht="20.100000000000001" customHeight="1">
      <c r="BX151" s="61"/>
      <c r="BY151" s="61"/>
    </row>
    <row r="152" spans="2:141" ht="20.100000000000001" customHeight="1">
      <c r="BX152" s="61"/>
      <c r="BY152" s="61"/>
      <c r="DT152" s="70"/>
      <c r="DU152" s="70"/>
      <c r="DV152" s="70"/>
      <c r="DW152" s="70"/>
      <c r="DX152" s="70"/>
    </row>
    <row r="153" spans="2:141" ht="20.100000000000001" customHeight="1">
      <c r="BX153" s="61"/>
      <c r="BY153" s="61"/>
    </row>
    <row r="154" spans="2:141" ht="20.100000000000001" customHeight="1">
      <c r="BX154" s="61"/>
      <c r="BY154" s="61"/>
      <c r="DY154" s="70"/>
      <c r="DZ154" s="70"/>
      <c r="EA154" s="70"/>
      <c r="EB154" s="70"/>
      <c r="EC154" s="70"/>
      <c r="ED154" s="70"/>
      <c r="EE154" s="70"/>
      <c r="EF154" s="70"/>
      <c r="EG154" s="70"/>
      <c r="EH154" s="70"/>
      <c r="EI154" s="70"/>
      <c r="EJ154" s="70"/>
      <c r="EK154" s="70"/>
    </row>
    <row r="155" spans="2:141" ht="20.100000000000001" customHeight="1">
      <c r="BX155" s="61"/>
      <c r="BY155" s="61"/>
    </row>
    <row r="156" spans="2:141" ht="20.100000000000001" customHeight="1">
      <c r="BX156" s="61"/>
      <c r="BY156" s="61"/>
    </row>
    <row r="157" spans="2:141" ht="20.100000000000001" customHeight="1">
      <c r="BX157" s="61"/>
      <c r="BY157" s="61"/>
    </row>
    <row r="158" spans="2:141" ht="20.100000000000001" customHeight="1">
      <c r="B158" s="84"/>
      <c r="BX158" s="61"/>
      <c r="BY158" s="61"/>
    </row>
    <row r="159" spans="2:141" ht="20.100000000000001" customHeight="1">
      <c r="BX159" s="61"/>
      <c r="BY159" s="61"/>
    </row>
    <row r="160" spans="2:141" ht="20.100000000000001" customHeight="1">
      <c r="BX160" s="61"/>
      <c r="BY160" s="61"/>
    </row>
    <row r="161" spans="3:77" ht="19.5" customHeight="1">
      <c r="C161" s="84"/>
      <c r="BX161" s="61"/>
      <c r="BY161" s="61"/>
    </row>
    <row r="162" spans="3:77" ht="19.5" customHeight="1">
      <c r="BX162" s="61"/>
      <c r="BY162" s="61"/>
    </row>
    <row r="163" spans="3:77" ht="19.5" customHeight="1">
      <c r="BX163" s="61"/>
      <c r="BY163" s="61"/>
    </row>
    <row r="164" spans="3:77" ht="19.5" customHeight="1">
      <c r="BX164" s="61"/>
      <c r="BY164" s="61"/>
    </row>
    <row r="165" spans="3:77" ht="20.100000000000001" customHeight="1">
      <c r="BX165" s="61"/>
      <c r="BY165" s="61"/>
    </row>
    <row r="166" spans="3:77" ht="20.100000000000001" customHeight="1">
      <c r="BX166" s="61"/>
      <c r="BY166" s="61"/>
    </row>
    <row r="167" spans="3:77" ht="20.100000000000001" customHeight="1">
      <c r="BX167" s="61"/>
      <c r="BY167" s="61"/>
    </row>
    <row r="168" spans="3:77" ht="20.100000000000001" customHeight="1">
      <c r="BX168" s="61"/>
      <c r="BY168" s="61"/>
    </row>
    <row r="169" spans="3:77" ht="19.5" customHeight="1">
      <c r="BX169" s="61"/>
      <c r="BY169" s="61"/>
    </row>
    <row r="170" spans="3:77" ht="19.5" customHeight="1">
      <c r="BX170" s="61"/>
      <c r="BY170" s="61"/>
    </row>
    <row r="171" spans="3:77" ht="19.5" customHeight="1">
      <c r="BX171" s="61"/>
      <c r="BY171" s="61"/>
    </row>
    <row r="172" spans="3:77" ht="20.100000000000001" customHeight="1">
      <c r="BX172" s="61"/>
      <c r="BY172" s="61"/>
    </row>
    <row r="173" spans="3:77" ht="20.100000000000001" customHeight="1">
      <c r="BX173" s="61"/>
      <c r="BY173" s="61"/>
    </row>
    <row r="174" spans="3:77" ht="20.100000000000001" customHeight="1">
      <c r="BX174" s="61"/>
      <c r="BY174" s="61"/>
    </row>
    <row r="175" spans="3:77" ht="20.100000000000001" customHeight="1">
      <c r="BX175" s="61"/>
      <c r="BY175" s="61"/>
    </row>
    <row r="176" spans="3:77" ht="19.5" customHeight="1">
      <c r="BX176" s="61"/>
      <c r="BY176" s="61"/>
    </row>
    <row r="177" spans="1:264" ht="19.5" customHeight="1">
      <c r="BX177" s="61"/>
      <c r="BY177" s="61"/>
      <c r="FU177" s="70"/>
      <c r="FV177" s="70"/>
      <c r="FW177" s="70"/>
      <c r="FX177" s="70"/>
      <c r="FY177" s="70"/>
      <c r="FZ177" s="70"/>
      <c r="GA177" s="70"/>
      <c r="GB177" s="70"/>
      <c r="GC177" s="70"/>
      <c r="GD177" s="70"/>
      <c r="GE177" s="70"/>
      <c r="GF177" s="70"/>
      <c r="GG177" s="70"/>
      <c r="GH177" s="70"/>
      <c r="GI177" s="70"/>
      <c r="GJ177" s="70"/>
      <c r="GK177" s="70"/>
      <c r="GL177" s="70"/>
      <c r="GM177" s="70"/>
      <c r="GN177" s="70"/>
      <c r="GO177" s="70"/>
      <c r="GP177" s="70"/>
      <c r="GQ177" s="70"/>
      <c r="GR177" s="70"/>
      <c r="GS177" s="70"/>
      <c r="GT177" s="70"/>
      <c r="GU177" s="70"/>
      <c r="GV177" s="70"/>
      <c r="GW177" s="70"/>
      <c r="GX177" s="70"/>
      <c r="GY177" s="70"/>
      <c r="GZ177" s="70"/>
      <c r="HA177" s="70"/>
      <c r="HB177" s="70"/>
      <c r="HC177" s="70"/>
      <c r="HD177" s="70"/>
    </row>
    <row r="178" spans="1:264" ht="20.100000000000001" customHeight="1">
      <c r="BX178" s="61"/>
      <c r="BY178" s="61"/>
      <c r="FD178" s="70"/>
      <c r="FE178" s="70"/>
      <c r="FF178" s="70"/>
      <c r="FG178" s="70"/>
      <c r="FH178" s="70"/>
      <c r="FI178" s="70"/>
      <c r="FJ178" s="70"/>
      <c r="FK178" s="70"/>
      <c r="FL178" s="70"/>
      <c r="FM178" s="70"/>
      <c r="FN178" s="70"/>
      <c r="FO178" s="70"/>
      <c r="FP178" s="70"/>
      <c r="FQ178" s="70"/>
      <c r="FR178" s="70"/>
      <c r="FS178" s="70"/>
      <c r="FT178" s="70"/>
      <c r="HE178" s="70"/>
      <c r="HF178" s="70"/>
      <c r="HG178" s="70"/>
      <c r="HH178" s="70"/>
      <c r="HI178" s="70"/>
      <c r="HJ178" s="70"/>
      <c r="HK178" s="70"/>
      <c r="HL178" s="70"/>
      <c r="HM178" s="70"/>
      <c r="HN178" s="70"/>
      <c r="HO178" s="70"/>
      <c r="HP178" s="70"/>
      <c r="HQ178" s="70"/>
      <c r="HR178" s="70"/>
      <c r="HS178" s="70"/>
      <c r="HT178" s="70"/>
      <c r="HU178" s="70"/>
      <c r="HV178" s="70"/>
      <c r="HW178" s="70"/>
      <c r="HX178" s="70"/>
    </row>
    <row r="179" spans="1:264" ht="20.100000000000001" customHeight="1">
      <c r="BX179" s="61"/>
      <c r="BY179" s="61"/>
      <c r="ER179" s="70"/>
      <c r="ES179" s="70"/>
      <c r="ET179" s="70"/>
      <c r="EU179" s="70"/>
      <c r="HY179" s="70"/>
    </row>
    <row r="180" spans="1:264" ht="18.75" customHeight="1">
      <c r="BX180" s="61"/>
      <c r="BY180" s="61"/>
      <c r="EV180" s="70"/>
      <c r="EW180" s="70"/>
      <c r="EX180" s="70"/>
      <c r="EY180" s="70"/>
      <c r="EZ180" s="70"/>
      <c r="FA180" s="70"/>
      <c r="HZ180" s="70"/>
      <c r="IA180" s="70"/>
      <c r="IB180" s="70"/>
    </row>
    <row r="181" spans="1:264" ht="19.899999999999999" customHeight="1">
      <c r="BX181" s="61"/>
      <c r="BY181" s="61"/>
      <c r="FB181" s="70"/>
      <c r="FC181" s="70"/>
    </row>
    <row r="182" spans="1:264" ht="19.899999999999999" customHeight="1">
      <c r="BX182" s="61"/>
      <c r="BY182" s="61"/>
      <c r="IC182" s="70"/>
      <c r="ID182" s="70"/>
      <c r="IE182" s="70"/>
      <c r="IF182" s="70"/>
      <c r="IG182" s="70"/>
      <c r="IH182" s="70"/>
      <c r="II182" s="70"/>
      <c r="IJ182" s="70"/>
      <c r="IK182" s="70"/>
      <c r="IL182" s="70"/>
      <c r="IM182" s="70"/>
      <c r="IN182" s="70"/>
      <c r="IO182" s="70"/>
      <c r="IP182" s="70"/>
      <c r="IQ182" s="70"/>
      <c r="IR182" s="70"/>
      <c r="IS182" s="70"/>
      <c r="IT182" s="70"/>
      <c r="IU182" s="70"/>
      <c r="IV182" s="70"/>
      <c r="IW182" s="70"/>
      <c r="IX182" s="70"/>
      <c r="IY182" s="70"/>
      <c r="IZ182" s="70"/>
      <c r="JA182" s="70"/>
      <c r="JB182" s="70"/>
      <c r="JC182" s="70"/>
      <c r="JD182" s="70"/>
    </row>
    <row r="183" spans="1:264" ht="19.899999999999999" customHeight="1">
      <c r="BX183" s="61"/>
      <c r="BY183" s="61"/>
    </row>
    <row r="184" spans="1:264" s="70" customFormat="1" ht="19.899999999999999"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60"/>
      <c r="BP184" s="60"/>
      <c r="BQ184" s="60"/>
      <c r="BR184" s="60"/>
      <c r="BS184" s="62"/>
      <c r="BT184" s="62"/>
      <c r="BU184" s="60"/>
      <c r="BV184" s="60"/>
      <c r="BW184" s="60"/>
      <c r="BX184" s="61"/>
      <c r="BY184" s="61"/>
      <c r="BZ184" s="62"/>
      <c r="CA184" s="62"/>
      <c r="CB184" s="62"/>
      <c r="CC184" s="62"/>
      <c r="CD184" s="62"/>
      <c r="CE184" s="62"/>
      <c r="CF184" s="63"/>
      <c r="CG184" s="23"/>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row>
    <row r="185" spans="1:264" ht="19.899999999999999" customHeight="1">
      <c r="BX185" s="61"/>
      <c r="BY185" s="61"/>
    </row>
    <row r="186" spans="1:264" ht="19.899999999999999" customHeight="1">
      <c r="A186" s="70"/>
      <c r="BX186" s="61"/>
      <c r="BY186" s="61"/>
    </row>
    <row r="187" spans="1:264" ht="19.899999999999999" customHeight="1">
      <c r="BX187" s="61"/>
      <c r="BY187" s="61"/>
    </row>
    <row r="188" spans="1:264" ht="19.899999999999999" customHeight="1">
      <c r="BX188" s="61"/>
      <c r="BY188" s="61"/>
    </row>
    <row r="189" spans="1:264" ht="19.899999999999999" customHeight="1">
      <c r="BX189" s="61"/>
      <c r="BY189" s="61"/>
    </row>
    <row r="190" spans="1:264" ht="19.899999999999999" customHeight="1">
      <c r="BX190" s="61"/>
      <c r="BY190" s="61"/>
    </row>
    <row r="191" spans="1:264" ht="19.899999999999999" customHeight="1">
      <c r="BX191" s="61"/>
      <c r="BY191" s="61"/>
    </row>
    <row r="192" spans="1:264" ht="19.899999999999999" customHeight="1">
      <c r="BX192" s="61"/>
      <c r="BY192" s="61"/>
    </row>
    <row r="193" spans="2:77" ht="19.899999999999999" customHeight="1">
      <c r="B193" s="70"/>
      <c r="C193" s="70"/>
      <c r="BX193" s="61"/>
      <c r="BY193" s="61"/>
    </row>
    <row r="194" spans="2:77" ht="19.899999999999999" customHeight="1">
      <c r="BX194" s="61"/>
      <c r="BY194" s="61"/>
    </row>
    <row r="195" spans="2:77" ht="19.899999999999999" customHeight="1">
      <c r="BX195" s="61"/>
      <c r="BY195" s="61"/>
    </row>
    <row r="196" spans="2:77" ht="19.899999999999999" customHeight="1">
      <c r="BX196" s="61"/>
      <c r="BY196" s="61"/>
    </row>
    <row r="197" spans="2:77" ht="19.899999999999999" customHeight="1">
      <c r="BX197" s="61"/>
      <c r="BY197" s="61"/>
    </row>
    <row r="198" spans="2:77" ht="19.899999999999999" customHeight="1">
      <c r="BX198" s="61"/>
      <c r="BY198" s="61"/>
    </row>
    <row r="199" spans="2:77" ht="19.899999999999999" customHeight="1">
      <c r="BX199" s="61"/>
      <c r="BY199" s="61"/>
    </row>
    <row r="200" spans="2:77" ht="19.899999999999999" customHeight="1">
      <c r="BX200" s="61"/>
      <c r="BY200" s="61"/>
    </row>
    <row r="201" spans="2:77" ht="19.899999999999999" customHeight="1">
      <c r="BX201" s="61"/>
      <c r="BY201" s="61"/>
    </row>
    <row r="202" spans="2:77" ht="19.899999999999999" customHeight="1">
      <c r="BX202" s="61"/>
      <c r="BY202" s="61"/>
    </row>
    <row r="203" spans="2:77" ht="19.899999999999999" customHeight="1">
      <c r="BX203" s="61"/>
      <c r="BY203" s="61"/>
    </row>
    <row r="204" spans="2:77" ht="19.899999999999999" customHeight="1">
      <c r="BX204" s="61"/>
      <c r="BY204" s="61"/>
    </row>
    <row r="205" spans="2:77" ht="19.899999999999999" customHeight="1">
      <c r="BX205" s="61"/>
      <c r="BY205" s="61"/>
    </row>
    <row r="206" spans="2:77" ht="19.899999999999999" customHeight="1">
      <c r="BX206" s="61"/>
      <c r="BY206" s="61"/>
    </row>
    <row r="207" spans="2:77" ht="19.899999999999999" customHeight="1">
      <c r="BX207" s="61"/>
      <c r="BY207" s="61"/>
    </row>
    <row r="208" spans="2:77" ht="19.899999999999999" customHeight="1">
      <c r="BX208" s="61"/>
      <c r="BY208" s="61"/>
    </row>
    <row r="209" spans="76:77" ht="19.899999999999999" customHeight="1">
      <c r="BX209" s="61"/>
      <c r="BY209" s="61"/>
    </row>
    <row r="210" spans="76:77" ht="19.899999999999999" customHeight="1">
      <c r="BX210" s="61"/>
      <c r="BY210" s="61"/>
    </row>
    <row r="211" spans="76:77" ht="19.899999999999999" customHeight="1">
      <c r="BX211" s="61"/>
      <c r="BY211" s="61"/>
    </row>
    <row r="212" spans="76:77" ht="19.899999999999999" customHeight="1">
      <c r="BX212" s="61"/>
      <c r="BY212" s="61"/>
    </row>
    <row r="213" spans="76:77" ht="19.899999999999999" customHeight="1">
      <c r="BX213" s="61"/>
      <c r="BY213" s="61"/>
    </row>
    <row r="214" spans="76:77" ht="19.899999999999999" customHeight="1">
      <c r="BX214" s="61"/>
      <c r="BY214" s="61"/>
    </row>
    <row r="215" spans="76:77" ht="19.899999999999999" customHeight="1">
      <c r="BX215" s="61"/>
      <c r="BY215" s="61"/>
    </row>
    <row r="216" spans="76:77" ht="19.899999999999999" customHeight="1">
      <c r="BX216" s="61"/>
      <c r="BY216" s="61"/>
    </row>
    <row r="217" spans="76:77" ht="19.899999999999999" customHeight="1">
      <c r="BX217" s="61"/>
      <c r="BY217" s="61"/>
    </row>
    <row r="218" spans="76:77" ht="19.899999999999999" customHeight="1">
      <c r="BX218" s="61"/>
      <c r="BY218" s="61"/>
    </row>
    <row r="219" spans="76:77" ht="19.899999999999999" customHeight="1">
      <c r="BX219" s="61"/>
      <c r="BY219" s="61"/>
    </row>
    <row r="220" spans="76:77" ht="19.899999999999999" customHeight="1">
      <c r="BX220" s="61"/>
      <c r="BY220" s="61"/>
    </row>
    <row r="221" spans="76:77" ht="19.899999999999999" customHeight="1">
      <c r="BX221" s="61"/>
      <c r="BY221" s="61"/>
    </row>
    <row r="222" spans="76:77" ht="19.899999999999999" customHeight="1">
      <c r="BX222" s="61"/>
      <c r="BY222" s="61"/>
    </row>
    <row r="223" spans="76:77" ht="19.899999999999999" customHeight="1">
      <c r="BX223" s="61"/>
      <c r="BY223" s="61"/>
    </row>
    <row r="224" spans="76:77" ht="19.899999999999999" customHeight="1">
      <c r="BX224" s="61"/>
      <c r="BY224" s="61"/>
    </row>
    <row r="225" spans="76:77" ht="19.899999999999999" customHeight="1">
      <c r="BX225" s="61"/>
      <c r="BY225" s="61"/>
    </row>
    <row r="226" spans="76:77" ht="19.899999999999999" customHeight="1">
      <c r="BX226" s="61"/>
      <c r="BY226" s="61"/>
    </row>
    <row r="227" spans="76:77" ht="19.899999999999999" customHeight="1">
      <c r="BX227" s="61"/>
      <c r="BY227" s="61"/>
    </row>
    <row r="228" spans="76:77" ht="19.899999999999999" customHeight="1">
      <c r="BX228" s="61"/>
      <c r="BY228" s="61"/>
    </row>
    <row r="229" spans="76:77" ht="19.899999999999999" customHeight="1">
      <c r="BX229" s="61"/>
      <c r="BY229" s="61"/>
    </row>
    <row r="230" spans="76:77" ht="19.899999999999999" customHeight="1">
      <c r="BX230" s="61"/>
      <c r="BY230" s="61"/>
    </row>
    <row r="231" spans="76:77" ht="19.899999999999999" customHeight="1">
      <c r="BX231" s="61"/>
      <c r="BY231" s="61"/>
    </row>
    <row r="232" spans="76:77" ht="19.899999999999999" customHeight="1">
      <c r="BX232" s="61"/>
      <c r="BY232" s="61"/>
    </row>
    <row r="233" spans="76:77" ht="19.899999999999999" customHeight="1">
      <c r="BX233" s="61"/>
      <c r="BY233" s="61"/>
    </row>
    <row r="234" spans="76:77" ht="19.899999999999999" customHeight="1">
      <c r="BX234" s="61"/>
      <c r="BY234" s="61"/>
    </row>
    <row r="235" spans="76:77" ht="19.899999999999999" customHeight="1">
      <c r="BX235" s="61"/>
      <c r="BY235" s="61"/>
    </row>
    <row r="236" spans="76:77" ht="19.899999999999999" customHeight="1">
      <c r="BX236" s="61"/>
      <c r="BY236" s="61"/>
    </row>
    <row r="237" spans="76:77" ht="19.899999999999999" customHeight="1">
      <c r="BX237" s="61"/>
      <c r="BY237" s="61"/>
    </row>
    <row r="238" spans="76:77" ht="19.899999999999999" customHeight="1">
      <c r="BX238" s="61"/>
      <c r="BY238" s="61"/>
    </row>
    <row r="239" spans="76:77" ht="19.899999999999999" customHeight="1">
      <c r="BX239" s="61"/>
      <c r="BY239" s="61"/>
    </row>
    <row r="240" spans="76:77" ht="19.899999999999999" customHeight="1">
      <c r="BX240" s="61"/>
      <c r="BY240" s="61"/>
    </row>
    <row r="241" spans="76:77" ht="19.899999999999999" customHeight="1">
      <c r="BX241" s="61"/>
      <c r="BY241" s="61"/>
    </row>
    <row r="242" spans="76:77" ht="19.899999999999999" customHeight="1">
      <c r="BX242" s="61"/>
      <c r="BY242" s="61"/>
    </row>
    <row r="243" spans="76:77" ht="19.899999999999999" customHeight="1">
      <c r="BX243" s="61"/>
      <c r="BY243" s="61"/>
    </row>
    <row r="244" spans="76:77" ht="19.899999999999999" customHeight="1">
      <c r="BX244" s="61"/>
      <c r="BY244" s="61"/>
    </row>
    <row r="245" spans="76:77" ht="19.899999999999999" customHeight="1">
      <c r="BX245" s="61"/>
      <c r="BY245" s="61"/>
    </row>
    <row r="246" spans="76:77" ht="19.899999999999999" customHeight="1">
      <c r="BX246" s="61"/>
      <c r="BY246" s="61"/>
    </row>
    <row r="247" spans="76:77" ht="19.899999999999999" customHeight="1">
      <c r="BX247" s="61"/>
      <c r="BY247" s="61"/>
    </row>
    <row r="248" spans="76:77" ht="19.899999999999999" customHeight="1">
      <c r="BX248" s="61"/>
      <c r="BY248" s="61"/>
    </row>
    <row r="249" spans="76:77" ht="19.899999999999999" customHeight="1">
      <c r="BX249" s="61"/>
      <c r="BY249" s="61"/>
    </row>
    <row r="250" spans="76:77" ht="19.899999999999999" customHeight="1">
      <c r="BX250" s="61"/>
      <c r="BY250" s="61"/>
    </row>
    <row r="251" spans="76:77" ht="19.899999999999999" customHeight="1">
      <c r="BX251" s="61"/>
      <c r="BY251" s="61"/>
    </row>
    <row r="252" spans="76:77" ht="19.899999999999999" customHeight="1">
      <c r="BX252" s="61"/>
      <c r="BY252" s="61"/>
    </row>
    <row r="253" spans="76:77" ht="19.899999999999999" customHeight="1">
      <c r="BX253" s="61"/>
      <c r="BY253" s="61"/>
    </row>
    <row r="254" spans="76:77" ht="19.899999999999999" customHeight="1">
      <c r="BX254" s="61"/>
      <c r="BY254" s="61"/>
    </row>
    <row r="255" spans="76:77" ht="19.899999999999999" customHeight="1">
      <c r="BX255" s="61"/>
      <c r="BY255" s="61"/>
    </row>
    <row r="256" spans="76:77" ht="19.899999999999999" customHeight="1">
      <c r="BX256" s="61"/>
      <c r="BY256" s="61"/>
    </row>
    <row r="257" spans="76:77" ht="19.899999999999999" customHeight="1">
      <c r="BX257" s="61"/>
      <c r="BY257" s="61"/>
    </row>
    <row r="258" spans="76:77" ht="19.899999999999999" customHeight="1">
      <c r="BX258" s="61"/>
      <c r="BY258" s="61"/>
    </row>
    <row r="259" spans="76:77" ht="19.899999999999999" customHeight="1">
      <c r="BX259" s="61"/>
      <c r="BY259" s="61"/>
    </row>
    <row r="260" spans="76:77" ht="19.899999999999999" customHeight="1">
      <c r="BX260" s="61"/>
      <c r="BY260" s="61"/>
    </row>
    <row r="261" spans="76:77" ht="19.899999999999999" customHeight="1">
      <c r="BX261" s="61"/>
      <c r="BY261" s="61"/>
    </row>
    <row r="262" spans="76:77" ht="19.899999999999999" customHeight="1">
      <c r="BX262" s="61"/>
      <c r="BY262" s="61"/>
    </row>
    <row r="263" spans="76:77" ht="19.899999999999999" customHeight="1">
      <c r="BX263" s="61"/>
      <c r="BY263" s="61"/>
    </row>
    <row r="264" spans="76:77" ht="19.899999999999999" customHeight="1">
      <c r="BX264" s="61"/>
      <c r="BY264" s="61"/>
    </row>
    <row r="265" spans="76:77" ht="19.899999999999999" customHeight="1">
      <c r="BX265" s="61"/>
      <c r="BY265" s="61"/>
    </row>
    <row r="266" spans="76:77" ht="19.899999999999999" customHeight="1">
      <c r="BX266" s="61"/>
      <c r="BY266" s="61"/>
    </row>
    <row r="267" spans="76:77" ht="19.899999999999999" customHeight="1">
      <c r="BX267" s="61"/>
      <c r="BY267" s="61"/>
    </row>
    <row r="268" spans="76:77" ht="19.899999999999999" customHeight="1">
      <c r="BX268" s="61"/>
      <c r="BY268" s="61"/>
    </row>
    <row r="269" spans="76:77" ht="19.899999999999999" customHeight="1">
      <c r="BX269" s="61"/>
      <c r="BY269" s="61"/>
    </row>
    <row r="270" spans="76:77" ht="19.899999999999999" customHeight="1">
      <c r="BX270" s="61"/>
      <c r="BY270" s="61"/>
    </row>
    <row r="271" spans="76:77" ht="19.899999999999999" customHeight="1">
      <c r="BX271" s="61"/>
      <c r="BY271" s="61"/>
    </row>
    <row r="272" spans="76:77" ht="19.899999999999999" customHeight="1">
      <c r="BX272" s="61"/>
      <c r="BY272" s="61"/>
    </row>
    <row r="273" spans="76:77" ht="19.899999999999999" customHeight="1">
      <c r="BX273" s="61"/>
      <c r="BY273" s="61"/>
    </row>
    <row r="274" spans="76:77" ht="19.899999999999999" customHeight="1">
      <c r="BX274" s="61"/>
      <c r="BY274" s="61"/>
    </row>
    <row r="275" spans="76:77" ht="19.899999999999999" customHeight="1">
      <c r="BX275" s="61"/>
      <c r="BY275" s="61"/>
    </row>
    <row r="276" spans="76:77" ht="19.899999999999999" customHeight="1">
      <c r="BX276" s="61"/>
      <c r="BY276" s="61"/>
    </row>
    <row r="277" spans="76:77" ht="19.899999999999999" customHeight="1">
      <c r="BX277" s="61"/>
      <c r="BY277" s="61"/>
    </row>
    <row r="278" spans="76:77" ht="19.899999999999999" customHeight="1">
      <c r="BX278" s="61"/>
      <c r="BY278" s="61"/>
    </row>
    <row r="279" spans="76:77" ht="19.899999999999999" customHeight="1">
      <c r="BX279" s="61"/>
      <c r="BY279" s="61"/>
    </row>
    <row r="280" spans="76:77" ht="19.899999999999999" customHeight="1">
      <c r="BX280" s="61"/>
      <c r="BY280" s="61"/>
    </row>
    <row r="281" spans="76:77" ht="19.899999999999999" customHeight="1">
      <c r="BX281" s="61"/>
      <c r="BY281" s="61"/>
    </row>
    <row r="282" spans="76:77" ht="19.899999999999999" customHeight="1">
      <c r="BX282" s="61"/>
      <c r="BY282" s="61"/>
    </row>
    <row r="283" spans="76:77" ht="19.899999999999999" customHeight="1">
      <c r="BX283" s="61"/>
      <c r="BY283" s="61"/>
    </row>
    <row r="284" spans="76:77" ht="19.899999999999999" customHeight="1">
      <c r="BX284" s="61"/>
      <c r="BY284" s="61"/>
    </row>
    <row r="285" spans="76:77" ht="19.899999999999999" customHeight="1">
      <c r="BX285" s="61"/>
      <c r="BY285" s="61"/>
    </row>
    <row r="286" spans="76:77" ht="19.899999999999999" customHeight="1">
      <c r="BX286" s="61"/>
      <c r="BY286" s="61"/>
    </row>
    <row r="287" spans="76:77" ht="19.899999999999999" customHeight="1">
      <c r="BX287" s="61"/>
      <c r="BY287" s="61"/>
    </row>
    <row r="288" spans="76:77" ht="19.899999999999999" customHeight="1">
      <c r="BX288" s="61"/>
      <c r="BY288" s="61"/>
    </row>
    <row r="289" spans="76:77" ht="19.899999999999999" customHeight="1">
      <c r="BX289" s="61"/>
      <c r="BY289" s="61"/>
    </row>
    <row r="290" spans="76:77" ht="19.899999999999999" customHeight="1">
      <c r="BX290" s="61"/>
      <c r="BY290" s="61"/>
    </row>
    <row r="291" spans="76:77" ht="19.899999999999999" customHeight="1">
      <c r="BX291" s="61"/>
      <c r="BY291" s="61"/>
    </row>
    <row r="292" spans="76:77" ht="19.899999999999999" customHeight="1">
      <c r="BX292" s="61"/>
      <c r="BY292" s="61"/>
    </row>
    <row r="293" spans="76:77" ht="19.899999999999999" customHeight="1">
      <c r="BX293" s="61"/>
      <c r="BY293" s="61"/>
    </row>
    <row r="294" spans="76:77" ht="19.899999999999999" customHeight="1">
      <c r="BX294" s="61"/>
      <c r="BY294" s="61"/>
    </row>
    <row r="295" spans="76:77" ht="19.899999999999999" customHeight="1">
      <c r="BX295" s="61"/>
      <c r="BY295" s="61"/>
    </row>
    <row r="296" spans="76:77" ht="19.899999999999999" customHeight="1">
      <c r="BX296" s="61"/>
      <c r="BY296" s="61"/>
    </row>
    <row r="297" spans="76:77" ht="19.899999999999999" customHeight="1">
      <c r="BX297" s="61"/>
      <c r="BY297" s="61"/>
    </row>
    <row r="298" spans="76:77" ht="19.899999999999999" customHeight="1">
      <c r="BX298" s="61"/>
      <c r="BY298" s="61"/>
    </row>
    <row r="299" spans="76:77" ht="19.899999999999999" customHeight="1">
      <c r="BX299" s="61"/>
      <c r="BY299" s="61"/>
    </row>
    <row r="300" spans="76:77" ht="19.899999999999999" customHeight="1">
      <c r="BX300" s="61"/>
      <c r="BY300" s="61"/>
    </row>
    <row r="301" spans="76:77" ht="19.899999999999999" customHeight="1">
      <c r="BX301" s="61"/>
      <c r="BY301" s="61"/>
    </row>
    <row r="302" spans="76:77" ht="19.899999999999999" customHeight="1">
      <c r="BX302" s="61"/>
      <c r="BY302" s="61"/>
    </row>
    <row r="303" spans="76:77" ht="19.899999999999999" customHeight="1">
      <c r="BX303" s="61"/>
      <c r="BY303" s="61"/>
    </row>
    <row r="304" spans="76:77" ht="19.899999999999999" customHeight="1">
      <c r="BX304" s="61"/>
      <c r="BY304" s="61"/>
    </row>
    <row r="305" spans="76:77" ht="19.899999999999999" customHeight="1">
      <c r="BX305" s="61"/>
      <c r="BY305" s="61"/>
    </row>
    <row r="306" spans="76:77" ht="19.899999999999999" customHeight="1">
      <c r="BX306" s="61"/>
      <c r="BY306" s="61"/>
    </row>
    <row r="307" spans="76:77" ht="19.899999999999999" customHeight="1">
      <c r="BX307" s="61"/>
      <c r="BY307" s="61"/>
    </row>
    <row r="308" spans="76:77" ht="19.899999999999999" customHeight="1">
      <c r="BX308" s="61"/>
      <c r="BY308" s="61"/>
    </row>
    <row r="309" spans="76:77" ht="19.899999999999999" customHeight="1">
      <c r="BX309" s="61"/>
      <c r="BY309" s="61"/>
    </row>
    <row r="310" spans="76:77" ht="19.899999999999999" customHeight="1">
      <c r="BX310" s="61"/>
      <c r="BY310" s="61"/>
    </row>
    <row r="311" spans="76:77" ht="19.899999999999999" customHeight="1">
      <c r="BX311" s="61"/>
      <c r="BY311" s="61"/>
    </row>
    <row r="312" spans="76:77" ht="19.899999999999999" customHeight="1">
      <c r="BX312" s="61"/>
      <c r="BY312" s="61"/>
    </row>
    <row r="313" spans="76:77" ht="19.899999999999999" customHeight="1">
      <c r="BX313" s="61"/>
      <c r="BY313" s="61"/>
    </row>
    <row r="314" spans="76:77" ht="19.899999999999999" customHeight="1">
      <c r="BX314" s="61"/>
      <c r="BY314" s="61"/>
    </row>
    <row r="315" spans="76:77" ht="19.899999999999999" customHeight="1">
      <c r="BX315" s="61"/>
      <c r="BY315" s="61"/>
    </row>
    <row r="316" spans="76:77" ht="19.899999999999999" customHeight="1">
      <c r="BX316" s="61"/>
      <c r="BY316" s="61"/>
    </row>
    <row r="317" spans="76:77" ht="19.899999999999999" customHeight="1">
      <c r="BX317" s="61"/>
      <c r="BY317" s="61"/>
    </row>
    <row r="318" spans="76:77" ht="19.899999999999999" customHeight="1">
      <c r="BX318" s="61"/>
      <c r="BY318" s="61"/>
    </row>
    <row r="319" spans="76:77" ht="19.899999999999999" customHeight="1">
      <c r="BX319" s="61"/>
      <c r="BY319" s="61"/>
    </row>
    <row r="320" spans="76:77" ht="19.899999999999999" customHeight="1">
      <c r="BX320" s="61"/>
      <c r="BY320" s="61"/>
    </row>
    <row r="321" spans="76:77" ht="19.899999999999999" customHeight="1">
      <c r="BX321" s="61"/>
      <c r="BY321" s="61"/>
    </row>
    <row r="322" spans="76:77" ht="19.899999999999999" customHeight="1">
      <c r="BX322" s="61"/>
      <c r="BY322" s="61"/>
    </row>
    <row r="323" spans="76:77" ht="19.899999999999999" customHeight="1">
      <c r="BX323" s="61"/>
      <c r="BY323" s="61"/>
    </row>
    <row r="324" spans="76:77" ht="19.899999999999999" customHeight="1">
      <c r="BX324" s="61"/>
      <c r="BY324" s="61"/>
    </row>
    <row r="325" spans="76:77" ht="19.899999999999999" customHeight="1">
      <c r="BX325" s="61"/>
      <c r="BY325" s="61"/>
    </row>
    <row r="326" spans="76:77" ht="19.899999999999999" customHeight="1">
      <c r="BX326" s="61"/>
      <c r="BY326" s="61"/>
    </row>
    <row r="327" spans="76:77" ht="19.899999999999999" customHeight="1">
      <c r="BX327" s="61"/>
      <c r="BY327" s="61"/>
    </row>
    <row r="328" spans="76:77" ht="19.899999999999999" customHeight="1">
      <c r="BX328" s="61"/>
      <c r="BY328" s="61"/>
    </row>
    <row r="329" spans="76:77" ht="19.899999999999999" customHeight="1">
      <c r="BX329" s="61"/>
      <c r="BY329" s="61"/>
    </row>
    <row r="330" spans="76:77" ht="19.899999999999999" customHeight="1">
      <c r="BX330" s="61"/>
      <c r="BY330" s="61"/>
    </row>
    <row r="331" spans="76:77" ht="19.899999999999999" customHeight="1">
      <c r="BX331" s="61"/>
      <c r="BY331" s="61"/>
    </row>
    <row r="332" spans="76:77" ht="19.899999999999999" customHeight="1">
      <c r="BX332" s="61"/>
      <c r="BY332" s="61"/>
    </row>
    <row r="333" spans="76:77" ht="19.899999999999999" customHeight="1">
      <c r="BX333" s="61"/>
      <c r="BY333" s="61"/>
    </row>
    <row r="334" spans="76:77" ht="19.899999999999999" customHeight="1">
      <c r="BX334" s="61"/>
      <c r="BY334" s="61"/>
    </row>
    <row r="335" spans="76:77" ht="19.899999999999999" customHeight="1">
      <c r="BX335" s="61"/>
      <c r="BY335" s="61"/>
    </row>
    <row r="336" spans="76:77" ht="19.899999999999999" customHeight="1">
      <c r="BX336" s="61"/>
      <c r="BY336" s="61"/>
    </row>
    <row r="337" spans="76:77" ht="19.899999999999999" customHeight="1">
      <c r="BX337" s="61"/>
      <c r="BY337" s="61"/>
    </row>
    <row r="338" spans="76:77" ht="19.899999999999999" customHeight="1">
      <c r="BX338" s="61"/>
      <c r="BY338" s="61"/>
    </row>
    <row r="339" spans="76:77" ht="19.899999999999999" customHeight="1">
      <c r="BX339" s="61"/>
      <c r="BY339" s="61"/>
    </row>
    <row r="340" spans="76:77" ht="19.899999999999999" customHeight="1">
      <c r="BX340" s="61"/>
      <c r="BY340" s="61"/>
    </row>
    <row r="341" spans="76:77" ht="19.899999999999999" customHeight="1">
      <c r="BX341" s="61"/>
      <c r="BY341" s="61"/>
    </row>
    <row r="342" spans="76:77" ht="19.899999999999999" customHeight="1">
      <c r="BX342" s="61"/>
      <c r="BY342" s="61"/>
    </row>
    <row r="343" spans="76:77" ht="19.899999999999999" customHeight="1">
      <c r="BX343" s="61"/>
      <c r="BY343" s="61"/>
    </row>
    <row r="344" spans="76:77" ht="19.899999999999999" customHeight="1">
      <c r="BX344" s="61"/>
      <c r="BY344" s="61"/>
    </row>
    <row r="345" spans="76:77" ht="19.899999999999999" customHeight="1">
      <c r="BX345" s="61"/>
      <c r="BY345" s="61"/>
    </row>
    <row r="346" spans="76:77" ht="19.899999999999999" customHeight="1">
      <c r="BX346" s="61"/>
      <c r="BY346" s="61"/>
    </row>
    <row r="347" spans="76:77" ht="19.899999999999999" customHeight="1">
      <c r="BX347" s="61"/>
      <c r="BY347" s="61"/>
    </row>
    <row r="348" spans="76:77" ht="19.899999999999999" customHeight="1">
      <c r="BX348" s="61"/>
      <c r="BY348" s="61"/>
    </row>
    <row r="349" spans="76:77" ht="19.899999999999999" customHeight="1">
      <c r="BX349" s="61"/>
      <c r="BY349" s="61"/>
    </row>
    <row r="350" spans="76:77" ht="19.899999999999999" customHeight="1">
      <c r="BX350" s="61"/>
      <c r="BY350" s="61"/>
    </row>
    <row r="351" spans="76:77" ht="19.899999999999999" customHeight="1">
      <c r="BX351" s="61"/>
      <c r="BY351" s="61"/>
    </row>
    <row r="352" spans="76:77" ht="19.899999999999999" customHeight="1">
      <c r="BX352" s="61"/>
      <c r="BY352" s="61"/>
    </row>
    <row r="353" spans="76:77" ht="19.899999999999999" customHeight="1">
      <c r="BX353" s="61"/>
      <c r="BY353" s="61"/>
    </row>
    <row r="354" spans="76:77" ht="19.899999999999999" customHeight="1">
      <c r="BX354" s="61"/>
      <c r="BY354" s="61"/>
    </row>
    <row r="355" spans="76:77" ht="19.899999999999999" customHeight="1">
      <c r="BX355" s="61"/>
      <c r="BY355" s="61"/>
    </row>
    <row r="356" spans="76:77" ht="19.899999999999999" customHeight="1">
      <c r="BX356" s="61"/>
      <c r="BY356" s="61"/>
    </row>
    <row r="357" spans="76:77" ht="19.899999999999999" customHeight="1">
      <c r="BX357" s="61"/>
      <c r="BY357" s="61"/>
    </row>
    <row r="358" spans="76:77" ht="19.899999999999999" customHeight="1">
      <c r="BX358" s="61"/>
      <c r="BY358" s="61"/>
    </row>
    <row r="359" spans="76:77" ht="19.899999999999999" customHeight="1">
      <c r="BX359" s="61"/>
      <c r="BY359" s="61"/>
    </row>
    <row r="360" spans="76:77" ht="19.899999999999999" customHeight="1">
      <c r="BX360" s="61"/>
      <c r="BY360" s="61"/>
    </row>
    <row r="361" spans="76:77" ht="19.899999999999999" customHeight="1">
      <c r="BX361" s="61"/>
      <c r="BY361" s="61"/>
    </row>
    <row r="362" spans="76:77" ht="19.899999999999999" customHeight="1">
      <c r="BX362" s="61"/>
      <c r="BY362" s="61"/>
    </row>
    <row r="363" spans="76:77" ht="19.899999999999999" customHeight="1">
      <c r="BX363" s="61"/>
      <c r="BY363" s="61"/>
    </row>
    <row r="364" spans="76:77" ht="19.899999999999999" customHeight="1">
      <c r="BX364" s="61"/>
      <c r="BY364" s="61"/>
    </row>
    <row r="365" spans="76:77" ht="19.899999999999999" customHeight="1">
      <c r="BX365" s="61"/>
      <c r="BY365" s="61"/>
    </row>
    <row r="366" spans="76:77" ht="19.899999999999999" customHeight="1">
      <c r="BX366" s="61"/>
      <c r="BY366" s="61"/>
    </row>
    <row r="367" spans="76:77" ht="19.899999999999999" customHeight="1">
      <c r="BX367" s="61"/>
      <c r="BY367" s="61"/>
    </row>
    <row r="368" spans="76:77" ht="19.899999999999999" customHeight="1">
      <c r="BX368" s="61"/>
      <c r="BY368" s="61"/>
    </row>
    <row r="369" spans="76:77" ht="19.899999999999999" customHeight="1">
      <c r="BX369" s="61"/>
      <c r="BY369" s="61"/>
    </row>
    <row r="370" spans="76:77" ht="19.899999999999999" customHeight="1">
      <c r="BX370" s="61"/>
      <c r="BY370" s="61"/>
    </row>
    <row r="371" spans="76:77" ht="19.899999999999999" customHeight="1">
      <c r="BX371" s="61"/>
      <c r="BY371" s="61"/>
    </row>
    <row r="372" spans="76:77" ht="19.899999999999999" customHeight="1">
      <c r="BX372" s="61"/>
      <c r="BY372" s="61"/>
    </row>
    <row r="373" spans="76:77" ht="19.899999999999999" customHeight="1">
      <c r="BX373" s="61"/>
      <c r="BY373" s="61"/>
    </row>
    <row r="374" spans="76:77" ht="19.899999999999999" customHeight="1">
      <c r="BX374" s="61"/>
      <c r="BY374" s="61"/>
    </row>
    <row r="375" spans="76:77" ht="19.899999999999999" customHeight="1">
      <c r="BX375" s="61"/>
      <c r="BY375" s="61"/>
    </row>
    <row r="376" spans="76:77" ht="19.899999999999999" customHeight="1">
      <c r="BX376" s="61"/>
      <c r="BY376" s="61"/>
    </row>
    <row r="377" spans="76:77" ht="19.899999999999999" customHeight="1">
      <c r="BX377" s="61"/>
      <c r="BY377" s="61"/>
    </row>
    <row r="378" spans="76:77" ht="19.899999999999999" customHeight="1">
      <c r="BX378" s="61"/>
      <c r="BY378" s="61"/>
    </row>
    <row r="379" spans="76:77" ht="19.899999999999999" customHeight="1">
      <c r="BX379" s="61"/>
      <c r="BY379" s="61"/>
    </row>
    <row r="380" spans="76:77" ht="19.899999999999999" customHeight="1">
      <c r="BX380" s="61"/>
      <c r="BY380" s="61"/>
    </row>
    <row r="381" spans="76:77" ht="19.899999999999999" customHeight="1">
      <c r="BX381" s="61"/>
      <c r="BY381" s="61"/>
    </row>
    <row r="382" spans="76:77" ht="19.899999999999999" customHeight="1">
      <c r="BX382" s="61"/>
      <c r="BY382" s="61"/>
    </row>
    <row r="383" spans="76:77" ht="19.899999999999999" customHeight="1">
      <c r="BX383" s="61"/>
      <c r="BY383" s="61"/>
    </row>
    <row r="384" spans="76:77" ht="19.899999999999999" customHeight="1">
      <c r="BX384" s="61"/>
      <c r="BY384" s="61"/>
    </row>
    <row r="385" spans="76:77" ht="19.899999999999999" customHeight="1">
      <c r="BX385" s="61"/>
      <c r="BY385" s="61"/>
    </row>
    <row r="386" spans="76:77" ht="19.899999999999999" customHeight="1">
      <c r="BX386" s="61"/>
      <c r="BY386" s="61"/>
    </row>
    <row r="387" spans="76:77" ht="19.899999999999999" customHeight="1">
      <c r="BX387" s="61"/>
      <c r="BY387" s="61"/>
    </row>
    <row r="388" spans="76:77" ht="19.899999999999999" customHeight="1">
      <c r="BX388" s="61"/>
      <c r="BY388" s="61"/>
    </row>
    <row r="389" spans="76:77" ht="19.899999999999999" customHeight="1">
      <c r="BX389" s="61"/>
      <c r="BY389" s="61"/>
    </row>
    <row r="390" spans="76:77" ht="19.899999999999999" customHeight="1">
      <c r="BX390" s="61"/>
      <c r="BY390" s="61"/>
    </row>
    <row r="391" spans="76:77" ht="19.899999999999999" customHeight="1">
      <c r="BX391" s="61"/>
      <c r="BY391" s="61"/>
    </row>
    <row r="392" spans="76:77" ht="19.899999999999999" customHeight="1">
      <c r="BX392" s="61"/>
      <c r="BY392" s="61"/>
    </row>
    <row r="393" spans="76:77" ht="19.899999999999999" customHeight="1">
      <c r="BX393" s="61"/>
      <c r="BY393" s="61"/>
    </row>
    <row r="394" spans="76:77" ht="19.899999999999999" customHeight="1">
      <c r="BX394" s="61"/>
      <c r="BY394" s="61"/>
    </row>
    <row r="395" spans="76:77" ht="19.899999999999999" customHeight="1">
      <c r="BX395" s="61"/>
      <c r="BY395" s="61"/>
    </row>
    <row r="396" spans="76:77" ht="19.899999999999999" customHeight="1">
      <c r="BX396" s="61"/>
      <c r="BY396" s="61"/>
    </row>
    <row r="397" spans="76:77" ht="19.899999999999999" customHeight="1">
      <c r="BX397" s="61"/>
      <c r="BY397" s="61"/>
    </row>
    <row r="398" spans="76:77" ht="19.899999999999999" customHeight="1">
      <c r="BX398" s="61"/>
      <c r="BY398" s="61"/>
    </row>
    <row r="399" spans="76:77" ht="19.899999999999999" customHeight="1">
      <c r="BX399" s="61"/>
      <c r="BY399" s="61"/>
    </row>
    <row r="400" spans="76:77" ht="19.899999999999999" customHeight="1">
      <c r="BX400" s="61"/>
      <c r="BY400" s="61"/>
    </row>
    <row r="401" spans="76:77" ht="19.899999999999999" customHeight="1">
      <c r="BX401" s="61"/>
      <c r="BY401" s="61"/>
    </row>
    <row r="402" spans="76:77" ht="19.899999999999999" customHeight="1">
      <c r="BX402" s="61"/>
      <c r="BY402" s="61"/>
    </row>
    <row r="403" spans="76:77" ht="19.899999999999999" customHeight="1">
      <c r="BX403" s="61"/>
      <c r="BY403" s="61"/>
    </row>
    <row r="404" spans="76:77" ht="19.899999999999999" customHeight="1">
      <c r="BX404" s="61"/>
      <c r="BY404" s="61"/>
    </row>
    <row r="405" spans="76:77" ht="19.899999999999999" customHeight="1">
      <c r="BX405" s="61"/>
      <c r="BY405" s="61"/>
    </row>
    <row r="406" spans="76:77" ht="19.899999999999999" customHeight="1">
      <c r="BX406" s="61"/>
      <c r="BY406" s="61"/>
    </row>
    <row r="407" spans="76:77" ht="19.899999999999999" customHeight="1">
      <c r="BX407" s="61"/>
      <c r="BY407" s="61"/>
    </row>
    <row r="408" spans="76:77" ht="19.899999999999999" customHeight="1">
      <c r="BX408" s="61"/>
      <c r="BY408" s="61"/>
    </row>
    <row r="409" spans="76:77" ht="19.899999999999999" customHeight="1">
      <c r="BX409" s="61"/>
      <c r="BY409" s="61"/>
    </row>
    <row r="410" spans="76:77" ht="19.899999999999999" customHeight="1">
      <c r="BX410" s="61"/>
      <c r="BY410" s="61"/>
    </row>
    <row r="411" spans="76:77" ht="19.899999999999999" customHeight="1">
      <c r="BX411" s="61"/>
      <c r="BY411" s="61"/>
    </row>
    <row r="412" spans="76:77" ht="19.899999999999999" customHeight="1">
      <c r="BX412" s="61"/>
      <c r="BY412" s="61"/>
    </row>
    <row r="413" spans="76:77" ht="19.899999999999999" customHeight="1">
      <c r="BX413" s="61"/>
      <c r="BY413" s="61"/>
    </row>
    <row r="414" spans="76:77" ht="19.899999999999999" customHeight="1">
      <c r="BX414" s="61"/>
      <c r="BY414" s="61"/>
    </row>
    <row r="415" spans="76:77" ht="19.899999999999999" customHeight="1">
      <c r="BX415" s="61"/>
      <c r="BY415" s="61"/>
    </row>
    <row r="416" spans="76:77" ht="19.899999999999999" customHeight="1">
      <c r="BX416" s="61"/>
      <c r="BY416" s="61"/>
    </row>
    <row r="417" spans="76:77" ht="19.899999999999999" customHeight="1">
      <c r="BX417" s="61"/>
      <c r="BY417" s="61"/>
    </row>
    <row r="418" spans="76:77" ht="19.899999999999999" customHeight="1">
      <c r="BX418" s="61"/>
      <c r="BY418" s="61"/>
    </row>
    <row r="419" spans="76:77" ht="19.899999999999999" customHeight="1">
      <c r="BX419" s="61"/>
      <c r="BY419" s="61"/>
    </row>
    <row r="420" spans="76:77" ht="19.899999999999999" customHeight="1">
      <c r="BX420" s="61"/>
      <c r="BY420" s="61"/>
    </row>
    <row r="421" spans="76:77" ht="19.899999999999999" customHeight="1">
      <c r="BX421" s="61"/>
      <c r="BY421" s="61"/>
    </row>
    <row r="422" spans="76:77" ht="19.899999999999999" customHeight="1">
      <c r="BX422" s="61"/>
      <c r="BY422" s="61"/>
    </row>
    <row r="423" spans="76:77" ht="19.899999999999999" customHeight="1">
      <c r="BX423" s="61"/>
      <c r="BY423" s="61"/>
    </row>
    <row r="424" spans="76:77" ht="19.899999999999999" customHeight="1">
      <c r="BX424" s="61"/>
      <c r="BY424" s="61"/>
    </row>
    <row r="425" spans="76:77" ht="19.899999999999999" customHeight="1">
      <c r="BX425" s="61"/>
      <c r="BY425" s="61"/>
    </row>
    <row r="426" spans="76:77" ht="19.899999999999999" customHeight="1">
      <c r="BX426" s="61"/>
      <c r="BY426" s="61"/>
    </row>
    <row r="427" spans="76:77" ht="19.899999999999999" customHeight="1">
      <c r="BX427" s="61"/>
      <c r="BY427" s="61"/>
    </row>
    <row r="428" spans="76:77" ht="19.899999999999999" customHeight="1">
      <c r="BX428" s="61"/>
      <c r="BY428" s="61"/>
    </row>
    <row r="429" spans="76:77" ht="19.899999999999999" customHeight="1">
      <c r="BX429" s="61"/>
      <c r="BY429" s="61"/>
    </row>
    <row r="430" spans="76:77" ht="19.899999999999999" customHeight="1">
      <c r="BX430" s="61"/>
      <c r="BY430" s="61"/>
    </row>
    <row r="431" spans="76:77" ht="19.899999999999999" customHeight="1">
      <c r="BX431" s="61"/>
      <c r="BY431" s="61"/>
    </row>
    <row r="432" spans="76:77" ht="19.899999999999999" customHeight="1">
      <c r="BX432" s="61"/>
      <c r="BY432" s="61"/>
    </row>
    <row r="433" spans="76:77" ht="19.899999999999999" customHeight="1">
      <c r="BX433" s="61"/>
      <c r="BY433" s="61"/>
    </row>
    <row r="434" spans="76:77" ht="19.899999999999999" customHeight="1">
      <c r="BX434" s="61"/>
      <c r="BY434" s="61"/>
    </row>
    <row r="435" spans="76:77" ht="19.899999999999999" customHeight="1">
      <c r="BX435" s="61"/>
      <c r="BY435" s="61"/>
    </row>
    <row r="436" spans="76:77" ht="19.899999999999999" customHeight="1">
      <c r="BX436" s="61"/>
      <c r="BY436" s="61"/>
    </row>
    <row r="437" spans="76:77" ht="19.899999999999999" customHeight="1">
      <c r="BX437" s="61"/>
      <c r="BY437" s="61"/>
    </row>
    <row r="438" spans="76:77" ht="19.899999999999999" customHeight="1">
      <c r="BX438" s="61"/>
      <c r="BY438" s="61"/>
    </row>
    <row r="439" spans="76:77" ht="19.899999999999999" customHeight="1">
      <c r="BX439" s="61"/>
      <c r="BY439" s="61"/>
    </row>
    <row r="440" spans="76:77" ht="19.899999999999999" customHeight="1">
      <c r="BX440" s="61"/>
      <c r="BY440" s="61"/>
    </row>
    <row r="441" spans="76:77" ht="19.899999999999999" customHeight="1">
      <c r="BX441" s="61"/>
      <c r="BY441" s="61"/>
    </row>
    <row r="442" spans="76:77" ht="19.899999999999999" customHeight="1">
      <c r="BX442" s="61"/>
      <c r="BY442" s="61"/>
    </row>
    <row r="443" spans="76:77" ht="19.899999999999999" customHeight="1">
      <c r="BX443" s="61"/>
      <c r="BY443" s="61"/>
    </row>
    <row r="444" spans="76:77" ht="19.899999999999999" customHeight="1">
      <c r="BX444" s="61"/>
      <c r="BY444" s="61"/>
    </row>
    <row r="445" spans="76:77" ht="19.899999999999999" customHeight="1">
      <c r="BX445" s="61"/>
      <c r="BY445" s="61"/>
    </row>
    <row r="446" spans="76:77" ht="19.899999999999999" customHeight="1">
      <c r="BX446" s="61"/>
      <c r="BY446" s="61"/>
    </row>
    <row r="447" spans="76:77" ht="19.899999999999999" customHeight="1">
      <c r="BX447" s="61"/>
      <c r="BY447" s="61"/>
    </row>
    <row r="448" spans="76:77" ht="19.899999999999999" customHeight="1">
      <c r="BX448" s="61"/>
      <c r="BY448" s="61"/>
    </row>
    <row r="449" spans="76:77" ht="19.899999999999999" customHeight="1">
      <c r="BX449" s="61"/>
      <c r="BY449" s="61"/>
    </row>
    <row r="450" spans="76:77" ht="19.899999999999999" customHeight="1">
      <c r="BX450" s="61"/>
      <c r="BY450" s="61"/>
    </row>
    <row r="451" spans="76:77" ht="19.899999999999999" customHeight="1">
      <c r="BX451" s="61"/>
      <c r="BY451" s="61"/>
    </row>
    <row r="452" spans="76:77" ht="19.899999999999999" customHeight="1">
      <c r="BX452" s="61"/>
      <c r="BY452" s="61"/>
    </row>
    <row r="453" spans="76:77" ht="19.899999999999999" customHeight="1">
      <c r="BX453" s="61"/>
      <c r="BY453" s="61"/>
    </row>
    <row r="454" spans="76:77" ht="19.899999999999999" customHeight="1">
      <c r="BX454" s="61"/>
      <c r="BY454" s="61"/>
    </row>
    <row r="455" spans="76:77" ht="19.899999999999999" customHeight="1">
      <c r="BX455" s="61"/>
      <c r="BY455" s="61"/>
    </row>
    <row r="456" spans="76:77" ht="19.899999999999999" customHeight="1">
      <c r="BX456" s="61"/>
      <c r="BY456" s="61"/>
    </row>
    <row r="457" spans="76:77" ht="19.899999999999999" customHeight="1">
      <c r="BX457" s="61"/>
      <c r="BY457" s="61"/>
    </row>
    <row r="458" spans="76:77" ht="19.899999999999999" customHeight="1">
      <c r="BX458" s="61"/>
      <c r="BY458" s="61"/>
    </row>
    <row r="459" spans="76:77" ht="19.899999999999999" customHeight="1">
      <c r="BX459" s="61"/>
      <c r="BY459" s="61"/>
    </row>
    <row r="460" spans="76:77" ht="19.899999999999999" customHeight="1">
      <c r="BX460" s="61"/>
      <c r="BY460" s="61"/>
    </row>
    <row r="461" spans="76:77" ht="19.899999999999999" customHeight="1">
      <c r="BX461" s="61"/>
      <c r="BY461" s="61"/>
    </row>
    <row r="462" spans="76:77" ht="19.899999999999999" customHeight="1">
      <c r="BX462" s="61"/>
      <c r="BY462" s="61"/>
    </row>
    <row r="463" spans="76:77" ht="19.899999999999999" customHeight="1">
      <c r="BX463" s="61"/>
      <c r="BY463" s="61"/>
    </row>
    <row r="464" spans="76:77" ht="19.899999999999999" customHeight="1">
      <c r="BX464" s="61"/>
      <c r="BY464" s="61"/>
    </row>
    <row r="465" spans="76:77" ht="19.899999999999999" customHeight="1">
      <c r="BX465" s="61"/>
      <c r="BY465" s="61"/>
    </row>
    <row r="466" spans="76:77" ht="19.899999999999999" customHeight="1">
      <c r="BX466" s="61"/>
      <c r="BY466" s="61"/>
    </row>
    <row r="467" spans="76:77" ht="19.899999999999999" customHeight="1">
      <c r="BX467" s="61"/>
      <c r="BY467" s="61"/>
    </row>
    <row r="468" spans="76:77" ht="19.899999999999999" customHeight="1">
      <c r="BX468" s="61"/>
      <c r="BY468" s="61"/>
    </row>
    <row r="469" spans="76:77" ht="19.899999999999999" customHeight="1">
      <c r="BX469" s="61"/>
      <c r="BY469" s="61"/>
    </row>
    <row r="470" spans="76:77" ht="19.899999999999999" customHeight="1">
      <c r="BX470" s="61"/>
      <c r="BY470" s="61"/>
    </row>
    <row r="471" spans="76:77" ht="19.899999999999999" customHeight="1">
      <c r="BX471" s="61"/>
      <c r="BY471" s="61"/>
    </row>
    <row r="472" spans="76:77" ht="19.899999999999999" customHeight="1">
      <c r="BX472" s="61"/>
      <c r="BY472" s="61"/>
    </row>
    <row r="473" spans="76:77" ht="19.899999999999999" customHeight="1">
      <c r="BX473" s="61"/>
      <c r="BY473" s="61"/>
    </row>
    <row r="474" spans="76:77" ht="19.899999999999999" customHeight="1">
      <c r="BX474" s="61"/>
      <c r="BY474" s="61"/>
    </row>
    <row r="475" spans="76:77" ht="19.899999999999999" customHeight="1">
      <c r="BX475" s="61"/>
      <c r="BY475" s="61"/>
    </row>
    <row r="476" spans="76:77" ht="19.899999999999999" customHeight="1">
      <c r="BX476" s="61"/>
      <c r="BY476" s="61"/>
    </row>
    <row r="477" spans="76:77" ht="19.899999999999999" customHeight="1">
      <c r="BX477" s="61"/>
      <c r="BY477" s="61"/>
    </row>
    <row r="478" spans="76:77" ht="19.899999999999999" customHeight="1">
      <c r="BX478" s="61"/>
      <c r="BY478" s="61"/>
    </row>
    <row r="479" spans="76:77" ht="19.899999999999999" customHeight="1">
      <c r="BX479" s="61"/>
      <c r="BY479" s="61"/>
    </row>
    <row r="480" spans="76:77" ht="19.899999999999999" customHeight="1">
      <c r="BX480" s="61"/>
      <c r="BY480" s="61"/>
    </row>
    <row r="481" spans="76:77" ht="19.899999999999999" customHeight="1">
      <c r="BX481" s="61"/>
      <c r="BY481" s="61"/>
    </row>
    <row r="482" spans="76:77" ht="19.899999999999999" customHeight="1">
      <c r="BX482" s="61"/>
      <c r="BY482" s="61"/>
    </row>
    <row r="483" spans="76:77" ht="19.899999999999999" customHeight="1">
      <c r="BX483" s="61"/>
      <c r="BY483" s="61"/>
    </row>
    <row r="484" spans="76:77" ht="19.899999999999999" customHeight="1">
      <c r="BX484" s="61"/>
      <c r="BY484" s="61"/>
    </row>
    <row r="485" spans="76:77" ht="19.899999999999999" customHeight="1">
      <c r="BX485" s="61"/>
      <c r="BY485" s="61"/>
    </row>
    <row r="486" spans="76:77" ht="19.899999999999999" customHeight="1">
      <c r="BX486" s="61"/>
      <c r="BY486" s="61"/>
    </row>
    <row r="487" spans="76:77" ht="19.899999999999999" customHeight="1">
      <c r="BX487" s="61"/>
      <c r="BY487" s="61"/>
    </row>
    <row r="488" spans="76:77" ht="19.899999999999999" customHeight="1">
      <c r="BX488" s="61"/>
      <c r="BY488" s="61"/>
    </row>
    <row r="489" spans="76:77" ht="19.899999999999999" customHeight="1">
      <c r="BX489" s="61"/>
      <c r="BY489" s="61"/>
    </row>
    <row r="490" spans="76:77" ht="19.899999999999999" customHeight="1">
      <c r="BX490" s="61"/>
      <c r="BY490" s="61"/>
    </row>
    <row r="491" spans="76:77" ht="19.899999999999999" customHeight="1">
      <c r="BX491" s="61"/>
      <c r="BY491" s="61"/>
    </row>
    <row r="492" spans="76:77" ht="19.899999999999999" customHeight="1">
      <c r="BX492" s="61"/>
      <c r="BY492" s="61"/>
    </row>
    <row r="493" spans="76:77" ht="19.899999999999999" customHeight="1">
      <c r="BX493" s="61"/>
      <c r="BY493" s="61"/>
    </row>
    <row r="494" spans="76:77" ht="19.899999999999999" customHeight="1">
      <c r="BX494" s="61"/>
      <c r="BY494" s="61"/>
    </row>
    <row r="495" spans="76:77" ht="19.899999999999999" customHeight="1">
      <c r="BX495" s="61"/>
      <c r="BY495" s="61"/>
    </row>
    <row r="496" spans="76:77" ht="19.899999999999999" customHeight="1">
      <c r="BX496" s="61"/>
      <c r="BY496" s="61"/>
    </row>
    <row r="497" spans="76:77" ht="19.899999999999999" customHeight="1">
      <c r="BX497" s="61"/>
      <c r="BY497" s="61"/>
    </row>
    <row r="498" spans="76:77" ht="19.899999999999999" customHeight="1">
      <c r="BX498" s="61"/>
      <c r="BY498" s="61"/>
    </row>
    <row r="499" spans="76:77" ht="19.899999999999999" customHeight="1">
      <c r="BX499" s="61"/>
      <c r="BY499" s="61"/>
    </row>
    <row r="500" spans="76:77" ht="19.899999999999999" customHeight="1">
      <c r="BX500" s="61"/>
      <c r="BY500" s="61"/>
    </row>
    <row r="501" spans="76:77" ht="19.899999999999999" customHeight="1">
      <c r="BX501" s="61"/>
      <c r="BY501" s="61"/>
    </row>
    <row r="502" spans="76:77" ht="19.899999999999999" customHeight="1">
      <c r="BX502" s="61"/>
      <c r="BY502" s="61"/>
    </row>
    <row r="503" spans="76:77" ht="19.899999999999999" customHeight="1">
      <c r="BX503" s="61"/>
      <c r="BY503" s="61"/>
    </row>
    <row r="504" spans="76:77" ht="19.899999999999999" customHeight="1">
      <c r="BX504" s="61"/>
      <c r="BY504" s="61"/>
    </row>
    <row r="505" spans="76:77" ht="19.899999999999999" customHeight="1">
      <c r="BX505" s="61"/>
      <c r="BY505" s="61"/>
    </row>
    <row r="506" spans="76:77" ht="19.899999999999999" customHeight="1">
      <c r="BX506" s="61"/>
      <c r="BY506" s="61"/>
    </row>
    <row r="507" spans="76:77" ht="19.899999999999999" customHeight="1">
      <c r="BX507" s="61"/>
      <c r="BY507" s="61"/>
    </row>
    <row r="508" spans="76:77" ht="19.899999999999999" customHeight="1">
      <c r="BX508" s="61"/>
      <c r="BY508" s="61"/>
    </row>
    <row r="509" spans="76:77" ht="19.899999999999999" customHeight="1">
      <c r="BX509" s="61"/>
      <c r="BY509" s="61"/>
    </row>
    <row r="510" spans="76:77" ht="19.899999999999999" customHeight="1">
      <c r="BX510" s="61"/>
      <c r="BY510" s="61"/>
    </row>
    <row r="511" spans="76:77" ht="19.899999999999999" customHeight="1">
      <c r="BX511" s="61"/>
      <c r="BY511" s="61"/>
    </row>
    <row r="512" spans="76:77" ht="19.899999999999999" customHeight="1">
      <c r="BX512" s="61"/>
      <c r="BY512" s="61"/>
    </row>
    <row r="513" spans="76:77" ht="19.899999999999999" customHeight="1">
      <c r="BX513" s="61"/>
      <c r="BY513" s="61"/>
    </row>
    <row r="514" spans="76:77" ht="19.899999999999999" customHeight="1">
      <c r="BX514" s="61"/>
      <c r="BY514" s="61"/>
    </row>
    <row r="515" spans="76:77" ht="19.899999999999999" customHeight="1">
      <c r="BX515" s="61"/>
      <c r="BY515" s="61"/>
    </row>
    <row r="516" spans="76:77" ht="19.899999999999999" customHeight="1">
      <c r="BX516" s="61"/>
      <c r="BY516" s="61"/>
    </row>
    <row r="517" spans="76:77" ht="19.899999999999999" customHeight="1">
      <c r="BX517" s="61"/>
      <c r="BY517" s="61"/>
    </row>
    <row r="518" spans="76:77" ht="19.899999999999999" customHeight="1">
      <c r="BX518" s="61"/>
      <c r="BY518" s="61"/>
    </row>
    <row r="519" spans="76:77" ht="19.899999999999999" customHeight="1">
      <c r="BX519" s="61"/>
      <c r="BY519" s="61"/>
    </row>
    <row r="520" spans="76:77" ht="19.899999999999999" customHeight="1">
      <c r="BX520" s="61"/>
      <c r="BY520" s="61"/>
    </row>
    <row r="521" spans="76:77" ht="19.899999999999999" customHeight="1">
      <c r="BX521" s="61"/>
      <c r="BY521" s="61"/>
    </row>
    <row r="522" spans="76:77" ht="19.899999999999999" customHeight="1">
      <c r="BX522" s="61"/>
      <c r="BY522" s="61"/>
    </row>
    <row r="523" spans="76:77" ht="19.899999999999999" customHeight="1">
      <c r="BX523" s="61"/>
      <c r="BY523" s="61"/>
    </row>
    <row r="524" spans="76:77" ht="19.899999999999999" customHeight="1">
      <c r="BX524" s="61"/>
      <c r="BY524" s="61"/>
    </row>
    <row r="525" spans="76:77" ht="19.899999999999999" customHeight="1">
      <c r="BX525" s="61"/>
      <c r="BY525" s="61"/>
    </row>
    <row r="526" spans="76:77" ht="19.899999999999999" customHeight="1">
      <c r="BX526" s="61"/>
      <c r="BY526" s="61"/>
    </row>
    <row r="527" spans="76:77" ht="19.899999999999999" customHeight="1">
      <c r="BX527" s="61"/>
      <c r="BY527" s="61"/>
    </row>
    <row r="528" spans="76:77" ht="19.899999999999999" customHeight="1">
      <c r="BX528" s="61"/>
      <c r="BY528" s="61"/>
    </row>
    <row r="529" spans="76:77" ht="19.899999999999999" customHeight="1">
      <c r="BX529" s="61"/>
      <c r="BY529" s="61"/>
    </row>
    <row r="530" spans="76:77" ht="19.899999999999999" customHeight="1">
      <c r="BX530" s="61"/>
      <c r="BY530" s="61"/>
    </row>
    <row r="531" spans="76:77" ht="19.899999999999999" customHeight="1">
      <c r="BX531" s="61"/>
      <c r="BY531" s="61"/>
    </row>
    <row r="532" spans="76:77" ht="19.899999999999999" customHeight="1">
      <c r="BX532" s="61"/>
      <c r="BY532" s="61"/>
    </row>
    <row r="533" spans="76:77" ht="19.899999999999999" customHeight="1">
      <c r="BX533" s="61"/>
      <c r="BY533" s="61"/>
    </row>
    <row r="534" spans="76:77" ht="19.899999999999999" customHeight="1">
      <c r="BX534" s="61"/>
      <c r="BY534" s="61"/>
    </row>
    <row r="535" spans="76:77" ht="19.899999999999999" customHeight="1">
      <c r="BX535" s="61"/>
      <c r="BY535" s="61"/>
    </row>
    <row r="536" spans="76:77" ht="19.899999999999999" customHeight="1">
      <c r="BX536" s="61"/>
      <c r="BY536" s="61"/>
    </row>
    <row r="537" spans="76:77" ht="19.899999999999999" customHeight="1">
      <c r="BX537" s="61"/>
      <c r="BY537" s="61"/>
    </row>
    <row r="538" spans="76:77" ht="19.899999999999999" customHeight="1">
      <c r="BX538" s="61"/>
      <c r="BY538" s="61"/>
    </row>
    <row r="539" spans="76:77" ht="19.899999999999999" customHeight="1">
      <c r="BX539" s="61"/>
      <c r="BY539" s="61"/>
    </row>
    <row r="540" spans="76:77" ht="19.899999999999999" customHeight="1">
      <c r="BX540" s="61"/>
      <c r="BY540" s="61"/>
    </row>
    <row r="541" spans="76:77" ht="19.899999999999999" customHeight="1">
      <c r="BX541" s="61"/>
      <c r="BY541" s="61"/>
    </row>
    <row r="542" spans="76:77" ht="19.899999999999999" customHeight="1">
      <c r="BX542" s="61"/>
      <c r="BY542" s="61"/>
    </row>
    <row r="543" spans="76:77" ht="19.899999999999999" customHeight="1">
      <c r="BX543" s="61"/>
      <c r="BY543" s="61"/>
    </row>
    <row r="544" spans="76:77" ht="19.899999999999999" customHeight="1">
      <c r="BX544" s="61"/>
      <c r="BY544" s="61"/>
    </row>
    <row r="545" spans="76:77" ht="19.899999999999999" customHeight="1">
      <c r="BX545" s="61"/>
      <c r="BY545" s="61"/>
    </row>
    <row r="546" spans="76:77" ht="19.899999999999999" customHeight="1">
      <c r="BX546" s="61"/>
      <c r="BY546" s="61"/>
    </row>
    <row r="547" spans="76:77" ht="19.899999999999999" customHeight="1">
      <c r="BX547" s="61"/>
      <c r="BY547" s="61"/>
    </row>
    <row r="548" spans="76:77" ht="19.899999999999999" customHeight="1">
      <c r="BX548" s="61"/>
      <c r="BY548" s="61"/>
    </row>
    <row r="549" spans="76:77" ht="19.899999999999999" customHeight="1">
      <c r="BX549" s="61"/>
      <c r="BY549" s="61"/>
    </row>
    <row r="550" spans="76:77" ht="19.899999999999999" customHeight="1">
      <c r="BX550" s="61"/>
      <c r="BY550" s="61"/>
    </row>
    <row r="551" spans="76:77" ht="19.899999999999999" customHeight="1">
      <c r="BX551" s="61"/>
      <c r="BY551" s="61"/>
    </row>
    <row r="552" spans="76:77" ht="19.899999999999999" customHeight="1">
      <c r="BX552" s="61"/>
      <c r="BY552" s="61"/>
    </row>
    <row r="553" spans="76:77" ht="19.899999999999999" customHeight="1">
      <c r="BX553" s="61"/>
      <c r="BY553" s="61"/>
    </row>
    <row r="554" spans="76:77" ht="19.899999999999999" customHeight="1">
      <c r="BX554" s="61"/>
      <c r="BY554" s="61"/>
    </row>
    <row r="555" spans="76:77" ht="19.899999999999999" customHeight="1">
      <c r="BX555" s="61"/>
      <c r="BY555" s="61"/>
    </row>
    <row r="556" spans="76:77" ht="19.899999999999999" customHeight="1">
      <c r="BX556" s="61"/>
      <c r="BY556" s="61"/>
    </row>
    <row r="557" spans="76:77" ht="19.899999999999999" customHeight="1">
      <c r="BX557" s="61"/>
      <c r="BY557" s="61"/>
    </row>
    <row r="558" spans="76:77" ht="19.899999999999999" customHeight="1">
      <c r="BX558" s="61"/>
      <c r="BY558" s="61"/>
    </row>
    <row r="559" spans="76:77" ht="19.899999999999999" customHeight="1">
      <c r="BX559" s="61"/>
      <c r="BY559" s="61"/>
    </row>
    <row r="560" spans="76:77" ht="19.899999999999999" customHeight="1">
      <c r="BX560" s="61"/>
      <c r="BY560" s="61"/>
    </row>
    <row r="561" spans="76:77" ht="19.899999999999999" customHeight="1">
      <c r="BX561" s="61"/>
      <c r="BY561" s="61"/>
    </row>
    <row r="562" spans="76:77" ht="19.899999999999999" customHeight="1">
      <c r="BX562" s="61"/>
      <c r="BY562" s="61"/>
    </row>
    <row r="563" spans="76:77" ht="19.899999999999999" customHeight="1">
      <c r="BX563" s="61"/>
      <c r="BY563" s="61"/>
    </row>
    <row r="564" spans="76:77" ht="19.899999999999999" customHeight="1">
      <c r="BX564" s="61"/>
      <c r="BY564" s="61"/>
    </row>
    <row r="565" spans="76:77" ht="19.899999999999999" customHeight="1">
      <c r="BX565" s="61"/>
      <c r="BY565" s="61"/>
    </row>
    <row r="566" spans="76:77" ht="19.899999999999999" customHeight="1">
      <c r="BX566" s="61"/>
      <c r="BY566" s="61"/>
    </row>
    <row r="567" spans="76:77" ht="19.899999999999999" customHeight="1">
      <c r="BX567" s="61"/>
      <c r="BY567" s="61"/>
    </row>
    <row r="568" spans="76:77" ht="19.899999999999999" customHeight="1">
      <c r="BX568" s="61"/>
      <c r="BY568" s="61"/>
    </row>
    <row r="569" spans="76:77" ht="19.899999999999999" customHeight="1">
      <c r="BX569" s="61"/>
      <c r="BY569" s="61"/>
    </row>
    <row r="570" spans="76:77" ht="19.899999999999999" customHeight="1">
      <c r="BX570" s="61"/>
      <c r="BY570" s="61"/>
    </row>
    <row r="571" spans="76:77" ht="19.899999999999999" customHeight="1">
      <c r="BX571" s="61"/>
      <c r="BY571" s="61"/>
    </row>
    <row r="572" spans="76:77" ht="19.899999999999999" customHeight="1">
      <c r="BX572" s="61"/>
      <c r="BY572" s="61"/>
    </row>
    <row r="573" spans="76:77" ht="19.899999999999999" customHeight="1">
      <c r="BX573" s="61"/>
      <c r="BY573" s="61"/>
    </row>
    <row r="574" spans="76:77" ht="19.899999999999999" customHeight="1">
      <c r="BX574" s="61"/>
      <c r="BY574" s="61"/>
    </row>
    <row r="575" spans="76:77" ht="19.899999999999999" customHeight="1">
      <c r="BX575" s="61"/>
      <c r="BY575" s="61"/>
    </row>
    <row r="576" spans="76:77" ht="19.899999999999999" customHeight="1">
      <c r="BX576" s="61"/>
      <c r="BY576" s="61"/>
    </row>
    <row r="577" spans="76:77" ht="19.899999999999999" customHeight="1">
      <c r="BX577" s="61"/>
      <c r="BY577" s="61"/>
    </row>
    <row r="578" spans="76:77" ht="19.899999999999999" customHeight="1">
      <c r="BX578" s="61"/>
      <c r="BY578" s="61"/>
    </row>
    <row r="579" spans="76:77" ht="19.899999999999999" customHeight="1">
      <c r="BX579" s="61"/>
      <c r="BY579" s="61"/>
    </row>
    <row r="580" spans="76:77" ht="19.899999999999999" customHeight="1">
      <c r="BX580" s="61"/>
      <c r="BY580" s="61"/>
    </row>
    <row r="581" spans="76:77" ht="19.899999999999999" customHeight="1">
      <c r="BX581" s="61"/>
      <c r="BY581" s="61"/>
    </row>
    <row r="582" spans="76:77" ht="19.899999999999999" customHeight="1">
      <c r="BX582" s="61"/>
      <c r="BY582" s="61"/>
    </row>
    <row r="583" spans="76:77" ht="19.899999999999999" customHeight="1">
      <c r="BX583" s="61"/>
      <c r="BY583" s="61"/>
    </row>
    <row r="584" spans="76:77" ht="19.899999999999999" customHeight="1">
      <c r="BX584" s="61"/>
      <c r="BY584" s="61"/>
    </row>
    <row r="585" spans="76:77" ht="19.899999999999999" customHeight="1">
      <c r="BX585" s="61"/>
      <c r="BY585" s="61"/>
    </row>
    <row r="586" spans="76:77" ht="19.899999999999999" customHeight="1">
      <c r="BX586" s="61"/>
      <c r="BY586" s="61"/>
    </row>
    <row r="587" spans="76:77" ht="19.899999999999999" customHeight="1">
      <c r="BX587" s="61"/>
      <c r="BY587" s="61"/>
    </row>
    <row r="588" spans="76:77" ht="19.899999999999999" customHeight="1">
      <c r="BX588" s="61"/>
      <c r="BY588" s="61"/>
    </row>
    <row r="589" spans="76:77" ht="19.899999999999999" customHeight="1">
      <c r="BX589" s="61"/>
      <c r="BY589" s="61"/>
    </row>
    <row r="590" spans="76:77" ht="19.899999999999999" customHeight="1">
      <c r="BX590" s="61"/>
      <c r="BY590" s="61"/>
    </row>
    <row r="591" spans="76:77" ht="19.899999999999999" customHeight="1">
      <c r="BX591" s="61"/>
      <c r="BY591" s="61"/>
    </row>
    <row r="592" spans="76:77" ht="19.899999999999999" customHeight="1">
      <c r="BX592" s="61"/>
      <c r="BY592" s="61"/>
    </row>
    <row r="593" spans="76:77" ht="19.899999999999999" customHeight="1">
      <c r="BX593" s="61"/>
      <c r="BY593" s="61"/>
    </row>
    <row r="594" spans="76:77" ht="19.899999999999999" customHeight="1">
      <c r="BX594" s="61"/>
      <c r="BY594" s="61"/>
    </row>
    <row r="595" spans="76:77" ht="19.899999999999999" customHeight="1">
      <c r="BX595" s="61"/>
      <c r="BY595" s="61"/>
    </row>
    <row r="596" spans="76:77" ht="19.899999999999999" customHeight="1">
      <c r="BX596" s="61"/>
      <c r="BY596" s="61"/>
    </row>
    <row r="597" spans="76:77" ht="19.899999999999999" customHeight="1">
      <c r="BX597" s="61"/>
      <c r="BY597" s="61"/>
    </row>
    <row r="598" spans="76:77" ht="19.899999999999999" customHeight="1">
      <c r="BX598" s="61"/>
      <c r="BY598" s="61"/>
    </row>
    <row r="599" spans="76:77" ht="19.899999999999999" customHeight="1">
      <c r="BX599" s="61"/>
      <c r="BY599" s="61"/>
    </row>
    <row r="600" spans="76:77" ht="19.899999999999999" customHeight="1">
      <c r="BX600" s="61"/>
      <c r="BY600" s="61"/>
    </row>
    <row r="601" spans="76:77" ht="19.899999999999999" customHeight="1">
      <c r="BX601" s="61"/>
      <c r="BY601" s="61"/>
    </row>
    <row r="602" spans="76:77" ht="19.899999999999999" customHeight="1">
      <c r="BX602" s="61"/>
      <c r="BY602" s="61"/>
    </row>
    <row r="603" spans="76:77" ht="19.899999999999999" customHeight="1">
      <c r="BX603" s="61"/>
      <c r="BY603" s="61"/>
    </row>
    <row r="604" spans="76:77" ht="19.899999999999999" customHeight="1">
      <c r="BX604" s="61"/>
      <c r="BY604" s="61"/>
    </row>
    <row r="605" spans="76:77" ht="19.899999999999999" customHeight="1">
      <c r="BX605" s="61"/>
      <c r="BY605" s="61"/>
    </row>
    <row r="606" spans="76:77" ht="19.899999999999999" customHeight="1">
      <c r="BX606" s="61"/>
      <c r="BY606" s="61"/>
    </row>
    <row r="607" spans="76:77" ht="19.899999999999999" customHeight="1">
      <c r="BX607" s="61"/>
      <c r="BY607" s="61"/>
    </row>
    <row r="608" spans="76:77" ht="19.899999999999999" customHeight="1">
      <c r="BX608" s="61"/>
      <c r="BY608" s="61"/>
    </row>
    <row r="609" spans="76:77" ht="19.899999999999999" customHeight="1">
      <c r="BX609" s="61"/>
      <c r="BY609" s="61"/>
    </row>
    <row r="610" spans="76:77" ht="19.899999999999999" customHeight="1">
      <c r="BX610" s="61"/>
      <c r="BY610" s="61"/>
    </row>
    <row r="611" spans="76:77" ht="19.899999999999999" customHeight="1">
      <c r="BX611" s="61"/>
      <c r="BY611" s="61"/>
    </row>
    <row r="612" spans="76:77" ht="19.899999999999999" customHeight="1">
      <c r="BX612" s="61"/>
      <c r="BY612" s="61"/>
    </row>
    <row r="613" spans="76:77" ht="19.899999999999999" customHeight="1">
      <c r="BX613" s="61"/>
      <c r="BY613" s="61"/>
    </row>
    <row r="614" spans="76:77" ht="19.899999999999999" customHeight="1">
      <c r="BX614" s="61"/>
      <c r="BY614" s="61"/>
    </row>
    <row r="615" spans="76:77" ht="19.899999999999999" customHeight="1">
      <c r="BX615" s="61"/>
      <c r="BY615" s="61"/>
    </row>
    <row r="616" spans="76:77" ht="19.899999999999999" customHeight="1">
      <c r="BX616" s="61"/>
      <c r="BY616" s="61"/>
    </row>
    <row r="617" spans="76:77" ht="19.899999999999999" customHeight="1">
      <c r="BX617" s="61"/>
      <c r="BY617" s="61"/>
    </row>
    <row r="618" spans="76:77" ht="19.899999999999999" customHeight="1">
      <c r="BX618" s="61"/>
      <c r="BY618" s="61"/>
    </row>
    <row r="619" spans="76:77" ht="19.899999999999999" customHeight="1">
      <c r="BX619" s="61"/>
      <c r="BY619" s="61"/>
    </row>
    <row r="620" spans="76:77" ht="19.899999999999999" customHeight="1">
      <c r="BX620" s="61"/>
      <c r="BY620" s="61"/>
    </row>
    <row r="621" spans="76:77" ht="19.899999999999999" customHeight="1">
      <c r="BX621" s="61"/>
      <c r="BY621" s="61"/>
    </row>
    <row r="622" spans="76:77" ht="19.899999999999999" customHeight="1">
      <c r="BX622" s="61"/>
      <c r="BY622" s="61"/>
    </row>
    <row r="623" spans="76:77" ht="19.899999999999999" customHeight="1">
      <c r="BX623" s="61"/>
      <c r="BY623" s="61"/>
    </row>
    <row r="624" spans="76:77" ht="19.899999999999999" customHeight="1">
      <c r="BX624" s="61"/>
      <c r="BY624" s="61"/>
    </row>
    <row r="625" spans="76:77" ht="19.899999999999999" customHeight="1">
      <c r="BX625" s="61"/>
      <c r="BY625" s="61"/>
    </row>
    <row r="626" spans="76:77" ht="19.899999999999999" customHeight="1">
      <c r="BX626" s="61"/>
      <c r="BY626" s="61"/>
    </row>
    <row r="627" spans="76:77" ht="19.899999999999999" customHeight="1">
      <c r="BX627" s="61"/>
      <c r="BY627" s="61"/>
    </row>
    <row r="628" spans="76:77" ht="19.899999999999999" customHeight="1">
      <c r="BX628" s="61"/>
      <c r="BY628" s="61"/>
    </row>
    <row r="629" spans="76:77" ht="19.899999999999999" customHeight="1">
      <c r="BX629" s="61"/>
      <c r="BY629" s="61"/>
    </row>
    <row r="630" spans="76:77" ht="19.899999999999999" customHeight="1">
      <c r="BX630" s="61"/>
      <c r="BY630" s="61"/>
    </row>
    <row r="631" spans="76:77" ht="19.899999999999999" customHeight="1">
      <c r="BX631" s="61"/>
      <c r="BY631" s="61"/>
    </row>
    <row r="632" spans="76:77" ht="19.899999999999999" customHeight="1">
      <c r="BX632" s="61"/>
      <c r="BY632" s="61"/>
    </row>
    <row r="633" spans="76:77" ht="19.899999999999999" customHeight="1">
      <c r="BX633" s="61"/>
      <c r="BY633" s="61"/>
    </row>
    <row r="634" spans="76:77" ht="19.899999999999999" customHeight="1">
      <c r="BX634" s="61"/>
      <c r="BY634" s="61"/>
    </row>
    <row r="635" spans="76:77" ht="19.899999999999999" customHeight="1">
      <c r="BX635" s="61"/>
      <c r="BY635" s="61"/>
    </row>
    <row r="636" spans="76:77" ht="19.899999999999999" customHeight="1">
      <c r="BX636" s="61"/>
      <c r="BY636" s="61"/>
    </row>
    <row r="637" spans="76:77" ht="19.899999999999999" customHeight="1">
      <c r="BX637" s="61"/>
      <c r="BY637" s="61"/>
    </row>
    <row r="638" spans="76:77" ht="19.899999999999999" customHeight="1">
      <c r="BX638" s="61"/>
      <c r="BY638" s="61"/>
    </row>
    <row r="639" spans="76:77" ht="19.899999999999999" customHeight="1">
      <c r="BX639" s="61"/>
      <c r="BY639" s="61"/>
    </row>
    <row r="640" spans="76:77" ht="19.899999999999999" customHeight="1">
      <c r="BX640" s="61"/>
      <c r="BY640" s="61"/>
    </row>
    <row r="641" spans="76:77" ht="19.899999999999999" customHeight="1">
      <c r="BX641" s="61"/>
      <c r="BY641" s="61"/>
    </row>
    <row r="642" spans="76:77" ht="19.899999999999999" customHeight="1">
      <c r="BX642" s="61"/>
      <c r="BY642" s="61"/>
    </row>
    <row r="643" spans="76:77" ht="19.899999999999999" customHeight="1">
      <c r="BX643" s="61"/>
      <c r="BY643" s="61"/>
    </row>
    <row r="644" spans="76:77" ht="19.899999999999999" customHeight="1">
      <c r="BX644" s="61"/>
      <c r="BY644" s="61"/>
    </row>
    <row r="645" spans="76:77" ht="19.899999999999999" customHeight="1">
      <c r="BX645" s="61"/>
      <c r="BY645" s="61"/>
    </row>
    <row r="646" spans="76:77" ht="19.899999999999999" customHeight="1">
      <c r="BX646" s="61"/>
      <c r="BY646" s="61"/>
    </row>
    <row r="647" spans="76:77" ht="19.899999999999999" customHeight="1">
      <c r="BX647" s="61"/>
      <c r="BY647" s="61"/>
    </row>
    <row r="648" spans="76:77" ht="19.899999999999999" customHeight="1">
      <c r="BX648" s="61"/>
      <c r="BY648" s="61"/>
    </row>
    <row r="649" spans="76:77" ht="19.899999999999999" customHeight="1">
      <c r="BX649" s="61"/>
      <c r="BY649" s="61"/>
    </row>
    <row r="650" spans="76:77" ht="19.899999999999999" customHeight="1">
      <c r="BX650" s="61"/>
      <c r="BY650" s="61"/>
    </row>
    <row r="651" spans="76:77" ht="19.899999999999999" customHeight="1">
      <c r="BX651" s="61"/>
      <c r="BY651" s="61"/>
    </row>
    <row r="652" spans="76:77" ht="19.899999999999999" customHeight="1">
      <c r="BX652" s="61"/>
      <c r="BY652" s="61"/>
    </row>
    <row r="653" spans="76:77" ht="19.899999999999999" customHeight="1">
      <c r="BX653" s="61"/>
      <c r="BY653" s="61"/>
    </row>
    <row r="654" spans="76:77" ht="19.899999999999999" customHeight="1">
      <c r="BX654" s="61"/>
      <c r="BY654" s="61"/>
    </row>
    <row r="655" spans="76:77" ht="19.899999999999999" customHeight="1">
      <c r="BX655" s="61"/>
      <c r="BY655" s="61"/>
    </row>
    <row r="656" spans="76:77" ht="19.899999999999999" customHeight="1">
      <c r="BX656" s="61"/>
      <c r="BY656" s="61"/>
    </row>
    <row r="657" spans="76:77" ht="19.899999999999999" customHeight="1">
      <c r="BX657" s="61"/>
      <c r="BY657" s="61"/>
    </row>
    <row r="658" spans="76:77" ht="19.899999999999999" customHeight="1">
      <c r="BX658" s="61"/>
      <c r="BY658" s="61"/>
    </row>
    <row r="659" spans="76:77" ht="19.899999999999999" customHeight="1">
      <c r="BX659" s="61"/>
      <c r="BY659" s="61"/>
    </row>
    <row r="660" spans="76:77" ht="19.899999999999999" customHeight="1">
      <c r="BX660" s="61"/>
      <c r="BY660" s="61"/>
    </row>
    <row r="661" spans="76:77" ht="19.899999999999999" customHeight="1">
      <c r="BX661" s="61"/>
      <c r="BY661" s="61"/>
    </row>
    <row r="662" spans="76:77" ht="19.899999999999999" customHeight="1">
      <c r="BX662" s="61"/>
      <c r="BY662" s="61"/>
    </row>
    <row r="663" spans="76:77" ht="19.899999999999999" customHeight="1">
      <c r="BX663" s="61"/>
      <c r="BY663" s="61"/>
    </row>
    <row r="664" spans="76:77" ht="19.899999999999999" customHeight="1">
      <c r="BX664" s="61"/>
      <c r="BY664" s="61"/>
    </row>
    <row r="665" spans="76:77" ht="19.899999999999999" customHeight="1">
      <c r="BX665" s="61"/>
      <c r="BY665" s="61"/>
    </row>
    <row r="666" spans="76:77" ht="19.899999999999999" customHeight="1">
      <c r="BX666" s="61"/>
      <c r="BY666" s="61"/>
    </row>
    <row r="667" spans="76:77" ht="19.899999999999999" customHeight="1">
      <c r="BX667" s="61"/>
      <c r="BY667" s="61"/>
    </row>
    <row r="668" spans="76:77" ht="19.899999999999999" customHeight="1">
      <c r="BX668" s="61"/>
      <c r="BY668" s="61"/>
    </row>
    <row r="669" spans="76:77" ht="19.899999999999999" customHeight="1">
      <c r="BX669" s="61"/>
      <c r="BY669" s="61"/>
    </row>
    <row r="670" spans="76:77" ht="19.899999999999999" customHeight="1">
      <c r="BX670" s="61"/>
      <c r="BY670" s="61"/>
    </row>
    <row r="671" spans="76:77" ht="19.899999999999999" customHeight="1">
      <c r="BX671" s="61"/>
      <c r="BY671" s="61"/>
    </row>
    <row r="672" spans="76:77" ht="19.899999999999999" customHeight="1">
      <c r="BX672" s="61"/>
      <c r="BY672" s="61"/>
    </row>
    <row r="673" spans="76:77" ht="19.899999999999999" customHeight="1">
      <c r="BX673" s="61"/>
      <c r="BY673" s="61"/>
    </row>
    <row r="674" spans="76:77" ht="19.899999999999999" customHeight="1">
      <c r="BX674" s="61"/>
      <c r="BY674" s="61"/>
    </row>
    <row r="675" spans="76:77" ht="19.899999999999999" customHeight="1">
      <c r="BX675" s="61"/>
      <c r="BY675" s="61"/>
    </row>
    <row r="676" spans="76:77" ht="19.899999999999999" customHeight="1">
      <c r="BX676" s="61"/>
      <c r="BY676" s="61"/>
    </row>
    <row r="677" spans="76:77" ht="19.899999999999999" customHeight="1">
      <c r="BX677" s="61"/>
      <c r="BY677" s="61"/>
    </row>
    <row r="678" spans="76:77" ht="19.899999999999999" customHeight="1">
      <c r="BX678" s="61"/>
      <c r="BY678" s="61"/>
    </row>
    <row r="679" spans="76:77" ht="19.899999999999999" customHeight="1">
      <c r="BX679" s="61"/>
      <c r="BY679" s="61"/>
    </row>
    <row r="680" spans="76:77" ht="19.899999999999999" customHeight="1">
      <c r="BX680" s="61"/>
      <c r="BY680" s="61"/>
    </row>
    <row r="681" spans="76:77" ht="19.899999999999999" customHeight="1">
      <c r="BX681" s="61"/>
      <c r="BY681" s="61"/>
    </row>
    <row r="682" spans="76:77" ht="19.899999999999999" customHeight="1">
      <c r="BX682" s="61"/>
      <c r="BY682" s="61"/>
    </row>
    <row r="683" spans="76:77" ht="19.899999999999999" customHeight="1">
      <c r="BX683" s="61"/>
      <c r="BY683" s="61"/>
    </row>
    <row r="684" spans="76:77" ht="19.899999999999999" customHeight="1">
      <c r="BX684" s="61"/>
      <c r="BY684" s="61"/>
    </row>
    <row r="685" spans="76:77" ht="19.899999999999999" customHeight="1">
      <c r="BX685" s="61"/>
      <c r="BY685" s="61"/>
    </row>
    <row r="686" spans="76:77" ht="19.899999999999999" customHeight="1">
      <c r="BX686" s="61"/>
      <c r="BY686" s="61"/>
    </row>
    <row r="687" spans="76:77" ht="19.899999999999999" customHeight="1">
      <c r="BX687" s="61"/>
      <c r="BY687" s="61"/>
    </row>
    <row r="688" spans="76:77" ht="19.899999999999999" customHeight="1">
      <c r="BX688" s="61"/>
      <c r="BY688" s="61"/>
    </row>
    <row r="689" spans="76:77" ht="19.899999999999999" customHeight="1">
      <c r="BX689" s="61"/>
      <c r="BY689" s="61"/>
    </row>
    <row r="690" spans="76:77" ht="19.899999999999999" customHeight="1">
      <c r="BX690" s="61"/>
      <c r="BY690" s="61"/>
    </row>
    <row r="691" spans="76:77" ht="19.899999999999999" customHeight="1">
      <c r="BX691" s="61"/>
      <c r="BY691" s="61"/>
    </row>
    <row r="692" spans="76:77" ht="19.899999999999999" customHeight="1">
      <c r="BX692" s="61"/>
      <c r="BY692" s="61"/>
    </row>
    <row r="693" spans="76:77" ht="19.899999999999999" customHeight="1">
      <c r="BX693" s="61"/>
      <c r="BY693" s="61"/>
    </row>
    <row r="694" spans="76:77" ht="19.899999999999999" customHeight="1">
      <c r="BX694" s="61"/>
      <c r="BY694" s="61"/>
    </row>
    <row r="695" spans="76:77" ht="19.899999999999999" customHeight="1">
      <c r="BX695" s="61"/>
      <c r="BY695" s="61"/>
    </row>
    <row r="696" spans="76:77" ht="19.899999999999999" customHeight="1">
      <c r="BX696" s="61"/>
      <c r="BY696" s="61"/>
    </row>
    <row r="697" spans="76:77" ht="19.899999999999999" customHeight="1">
      <c r="BX697" s="61"/>
      <c r="BY697" s="61"/>
    </row>
    <row r="698" spans="76:77" ht="19.899999999999999" customHeight="1">
      <c r="BX698" s="61"/>
      <c r="BY698" s="61"/>
    </row>
    <row r="699" spans="76:77" ht="19.899999999999999" customHeight="1">
      <c r="BX699" s="61"/>
      <c r="BY699" s="61"/>
    </row>
    <row r="700" spans="76:77" ht="19.899999999999999" customHeight="1">
      <c r="BX700" s="61"/>
      <c r="BY700" s="61"/>
    </row>
    <row r="701" spans="76:77" ht="19.899999999999999" customHeight="1">
      <c r="BX701" s="61"/>
      <c r="BY701" s="61"/>
    </row>
    <row r="702" spans="76:77" ht="19.899999999999999" customHeight="1">
      <c r="BX702" s="61"/>
      <c r="BY702" s="61"/>
    </row>
    <row r="703" spans="76:77" ht="19.899999999999999" customHeight="1">
      <c r="BX703" s="61"/>
      <c r="BY703" s="61"/>
    </row>
    <row r="704" spans="76:77" ht="19.899999999999999" customHeight="1">
      <c r="BX704" s="61"/>
      <c r="BY704" s="61"/>
    </row>
    <row r="705" spans="76:77" ht="19.899999999999999" customHeight="1">
      <c r="BX705" s="61"/>
      <c r="BY705" s="61"/>
    </row>
    <row r="706" spans="76:77" ht="19.899999999999999" customHeight="1">
      <c r="BX706" s="61"/>
      <c r="BY706" s="61"/>
    </row>
    <row r="707" spans="76:77" ht="19.899999999999999" customHeight="1">
      <c r="BX707" s="61"/>
      <c r="BY707" s="61"/>
    </row>
    <row r="708" spans="76:77" ht="19.899999999999999" customHeight="1">
      <c r="BX708" s="61"/>
      <c r="BY708" s="61"/>
    </row>
    <row r="709" spans="76:77" ht="19.899999999999999" customHeight="1">
      <c r="BX709" s="61"/>
      <c r="BY709" s="61"/>
    </row>
    <row r="710" spans="76:77" ht="19.899999999999999" customHeight="1">
      <c r="BX710" s="61"/>
      <c r="BY710" s="61"/>
    </row>
    <row r="711" spans="76:77" ht="19.899999999999999" customHeight="1">
      <c r="BX711" s="61"/>
      <c r="BY711" s="61"/>
    </row>
    <row r="712" spans="76:77" ht="19.899999999999999" customHeight="1">
      <c r="BX712" s="61"/>
      <c r="BY712" s="61"/>
    </row>
    <row r="713" spans="76:77" ht="19.899999999999999" customHeight="1">
      <c r="BX713" s="61"/>
      <c r="BY713" s="61"/>
    </row>
    <row r="714" spans="76:77" ht="19.899999999999999" customHeight="1">
      <c r="BX714" s="61"/>
      <c r="BY714" s="61"/>
    </row>
    <row r="715" spans="76:77" ht="19.899999999999999" customHeight="1">
      <c r="BX715" s="61"/>
      <c r="BY715" s="61"/>
    </row>
    <row r="716" spans="76:77" ht="19.899999999999999" customHeight="1">
      <c r="BX716" s="61"/>
      <c r="BY716" s="61"/>
    </row>
    <row r="717" spans="76:77" ht="19.899999999999999" customHeight="1">
      <c r="BX717" s="61"/>
      <c r="BY717" s="61"/>
    </row>
    <row r="718" spans="76:77" ht="19.899999999999999" customHeight="1">
      <c r="BX718" s="61"/>
      <c r="BY718" s="61"/>
    </row>
    <row r="719" spans="76:77" ht="19.899999999999999" customHeight="1">
      <c r="BX719" s="61"/>
      <c r="BY719" s="61"/>
    </row>
    <row r="720" spans="76:77" ht="19.899999999999999" customHeight="1">
      <c r="BX720" s="61"/>
      <c r="BY720" s="61"/>
    </row>
    <row r="721" spans="76:77" ht="19.899999999999999" customHeight="1">
      <c r="BX721" s="61"/>
      <c r="BY721" s="61"/>
    </row>
    <row r="722" spans="76:77" ht="19.899999999999999" customHeight="1">
      <c r="BX722" s="61"/>
      <c r="BY722" s="61"/>
    </row>
    <row r="723" spans="76:77" ht="19.899999999999999" customHeight="1">
      <c r="BX723" s="61"/>
      <c r="BY723" s="61"/>
    </row>
    <row r="724" spans="76:77" ht="19.899999999999999" customHeight="1">
      <c r="BX724" s="61"/>
      <c r="BY724" s="61"/>
    </row>
    <row r="725" spans="76:77" ht="19.899999999999999" customHeight="1">
      <c r="BX725" s="61"/>
      <c r="BY725" s="61"/>
    </row>
    <row r="726" spans="76:77" ht="19.899999999999999" customHeight="1">
      <c r="BX726" s="61"/>
      <c r="BY726" s="61"/>
    </row>
    <row r="727" spans="76:77" ht="19.899999999999999" customHeight="1">
      <c r="BX727" s="61"/>
      <c r="BY727" s="61"/>
    </row>
    <row r="728" spans="76:77" ht="19.899999999999999" customHeight="1">
      <c r="BX728" s="61"/>
      <c r="BY728" s="61"/>
    </row>
    <row r="729" spans="76:77" ht="19.899999999999999" customHeight="1">
      <c r="BX729" s="61"/>
      <c r="BY729" s="61"/>
    </row>
    <row r="730" spans="76:77" ht="19.899999999999999" customHeight="1">
      <c r="BX730" s="61"/>
      <c r="BY730" s="61"/>
    </row>
    <row r="731" spans="76:77" ht="19.899999999999999" customHeight="1">
      <c r="BX731" s="61"/>
      <c r="BY731" s="61"/>
    </row>
    <row r="732" spans="76:77" ht="19.899999999999999" customHeight="1">
      <c r="BX732" s="61"/>
      <c r="BY732" s="61"/>
    </row>
    <row r="733" spans="76:77" ht="19.899999999999999" customHeight="1">
      <c r="BX733" s="61"/>
      <c r="BY733" s="61"/>
    </row>
    <row r="734" spans="76:77" ht="19.899999999999999" customHeight="1">
      <c r="BX734" s="61"/>
      <c r="BY734" s="61"/>
    </row>
    <row r="735" spans="76:77" ht="19.899999999999999" customHeight="1">
      <c r="BX735" s="61"/>
      <c r="BY735" s="61"/>
    </row>
    <row r="736" spans="76:77" ht="19.899999999999999" customHeight="1">
      <c r="BX736" s="61"/>
      <c r="BY736" s="61"/>
    </row>
    <row r="737" spans="76:77" ht="19.899999999999999" customHeight="1">
      <c r="BX737" s="61"/>
      <c r="BY737" s="61"/>
    </row>
    <row r="738" spans="76:77" ht="19.899999999999999" customHeight="1">
      <c r="BX738" s="61"/>
      <c r="BY738" s="61"/>
    </row>
    <row r="739" spans="76:77" ht="19.899999999999999" customHeight="1">
      <c r="BX739" s="61"/>
      <c r="BY739" s="61"/>
    </row>
    <row r="740" spans="76:77" ht="19.899999999999999" customHeight="1">
      <c r="BX740" s="61"/>
      <c r="BY740" s="61"/>
    </row>
    <row r="741" spans="76:77" ht="19.899999999999999" customHeight="1">
      <c r="BX741" s="61"/>
      <c r="BY741" s="61"/>
    </row>
    <row r="742" spans="76:77" ht="19.899999999999999" customHeight="1">
      <c r="BX742" s="61"/>
      <c r="BY742" s="61"/>
    </row>
    <row r="743" spans="76:77" ht="19.899999999999999" customHeight="1">
      <c r="BX743" s="61"/>
      <c r="BY743" s="61"/>
    </row>
    <row r="744" spans="76:77" ht="19.899999999999999" customHeight="1">
      <c r="BX744" s="61"/>
      <c r="BY744" s="61"/>
    </row>
    <row r="745" spans="76:77" ht="19.899999999999999" customHeight="1">
      <c r="BX745" s="61"/>
      <c r="BY745" s="61"/>
    </row>
    <row r="746" spans="76:77" ht="19.899999999999999" customHeight="1">
      <c r="BX746" s="61"/>
      <c r="BY746" s="61"/>
    </row>
    <row r="747" spans="76:77" ht="19.899999999999999" customHeight="1">
      <c r="BX747" s="61"/>
      <c r="BY747" s="61"/>
    </row>
    <row r="748" spans="76:77" ht="19.899999999999999" customHeight="1">
      <c r="BX748" s="61"/>
      <c r="BY748" s="61"/>
    </row>
    <row r="749" spans="76:77" ht="19.899999999999999" customHeight="1">
      <c r="BX749" s="61"/>
      <c r="BY749" s="61"/>
    </row>
    <row r="750" spans="76:77" ht="19.899999999999999" customHeight="1">
      <c r="BX750" s="61"/>
      <c r="BY750" s="61"/>
    </row>
    <row r="751" spans="76:77" ht="19.899999999999999" customHeight="1">
      <c r="BX751" s="61"/>
      <c r="BY751" s="61"/>
    </row>
    <row r="752" spans="76:77" ht="19.899999999999999" customHeight="1">
      <c r="BX752" s="61"/>
      <c r="BY752" s="61"/>
    </row>
    <row r="753" spans="76:77" ht="19.899999999999999" customHeight="1">
      <c r="BX753" s="61"/>
      <c r="BY753" s="61"/>
    </row>
    <row r="754" spans="76:77" ht="19.899999999999999" customHeight="1">
      <c r="BX754" s="61"/>
      <c r="BY754" s="61"/>
    </row>
    <row r="755" spans="76:77" ht="19.899999999999999" customHeight="1">
      <c r="BX755" s="61"/>
      <c r="BY755" s="61"/>
    </row>
    <row r="756" spans="76:77" ht="19.899999999999999" customHeight="1">
      <c r="BX756" s="61"/>
      <c r="BY756" s="61"/>
    </row>
    <row r="757" spans="76:77" ht="19.899999999999999" customHeight="1">
      <c r="BX757" s="61"/>
      <c r="BY757" s="61"/>
    </row>
    <row r="758" spans="76:77" ht="19.899999999999999" customHeight="1">
      <c r="BX758" s="61"/>
      <c r="BY758" s="61"/>
    </row>
    <row r="759" spans="76:77" ht="19.899999999999999" customHeight="1">
      <c r="BX759" s="61"/>
      <c r="BY759" s="61"/>
    </row>
    <row r="760" spans="76:77" ht="19.899999999999999" customHeight="1">
      <c r="BX760" s="61"/>
      <c r="BY760" s="61"/>
    </row>
    <row r="761" spans="76:77" ht="19.899999999999999" customHeight="1">
      <c r="BX761" s="61"/>
      <c r="BY761" s="61"/>
    </row>
    <row r="762" spans="76:77" ht="19.899999999999999" customHeight="1">
      <c r="BX762" s="61"/>
      <c r="BY762" s="61"/>
    </row>
    <row r="763" spans="76:77" ht="19.899999999999999" customHeight="1">
      <c r="BX763" s="61"/>
      <c r="BY763" s="61"/>
    </row>
    <row r="764" spans="76:77" ht="19.899999999999999" customHeight="1">
      <c r="BX764" s="61"/>
      <c r="BY764" s="61"/>
    </row>
    <row r="765" spans="76:77" ht="19.899999999999999" customHeight="1">
      <c r="BX765" s="61"/>
      <c r="BY765" s="61"/>
    </row>
    <row r="766" spans="76:77" ht="19.899999999999999" customHeight="1">
      <c r="BX766" s="61"/>
      <c r="BY766" s="61"/>
    </row>
    <row r="767" spans="76:77" ht="19.899999999999999" customHeight="1">
      <c r="BX767" s="61"/>
      <c r="BY767" s="61"/>
    </row>
    <row r="768" spans="76:77" ht="19.899999999999999" customHeight="1">
      <c r="BX768" s="61"/>
      <c r="BY768" s="61"/>
    </row>
    <row r="769" spans="76:77" ht="19.899999999999999" customHeight="1">
      <c r="BX769" s="61"/>
      <c r="BY769" s="61"/>
    </row>
    <row r="770" spans="76:77" ht="19.899999999999999" customHeight="1">
      <c r="BX770" s="61"/>
      <c r="BY770" s="61"/>
    </row>
    <row r="771" spans="76:77" ht="19.899999999999999" customHeight="1">
      <c r="BX771" s="61"/>
      <c r="BY771" s="61"/>
    </row>
    <row r="772" spans="76:77" ht="19.899999999999999" customHeight="1">
      <c r="BX772" s="61"/>
      <c r="BY772" s="61"/>
    </row>
    <row r="773" spans="76:77" ht="19.899999999999999" customHeight="1">
      <c r="BX773" s="61"/>
      <c r="BY773" s="61"/>
    </row>
    <row r="774" spans="76:77" ht="19.899999999999999" customHeight="1">
      <c r="BX774" s="61"/>
      <c r="BY774" s="61"/>
    </row>
    <row r="775" spans="76:77" ht="19.899999999999999" customHeight="1">
      <c r="BX775" s="61"/>
      <c r="BY775" s="61"/>
    </row>
    <row r="776" spans="76:77" ht="19.899999999999999" customHeight="1">
      <c r="BX776" s="61"/>
      <c r="BY776" s="61"/>
    </row>
    <row r="777" spans="76:77" ht="19.899999999999999" customHeight="1">
      <c r="BX777" s="61"/>
      <c r="BY777" s="61"/>
    </row>
    <row r="778" spans="76:77" ht="19.899999999999999" customHeight="1">
      <c r="BX778" s="61"/>
      <c r="BY778" s="61"/>
    </row>
    <row r="779" spans="76:77" ht="19.899999999999999" customHeight="1">
      <c r="BX779" s="61"/>
      <c r="BY779" s="61"/>
    </row>
    <row r="780" spans="76:77" ht="19.899999999999999" customHeight="1">
      <c r="BX780" s="61"/>
      <c r="BY780" s="61"/>
    </row>
    <row r="781" spans="76:77" ht="19.899999999999999" customHeight="1">
      <c r="BX781" s="61"/>
      <c r="BY781" s="61"/>
    </row>
    <row r="782" spans="76:77" ht="19.899999999999999" customHeight="1">
      <c r="BX782" s="61"/>
      <c r="BY782" s="61"/>
    </row>
    <row r="783" spans="76:77" ht="19.899999999999999" customHeight="1">
      <c r="BX783" s="61"/>
      <c r="BY783" s="61"/>
    </row>
    <row r="784" spans="76:77" ht="19.899999999999999" customHeight="1">
      <c r="BX784" s="61"/>
      <c r="BY784" s="61"/>
    </row>
    <row r="785" spans="76:77" ht="19.899999999999999" customHeight="1">
      <c r="BX785" s="61"/>
      <c r="BY785" s="61"/>
    </row>
    <row r="786" spans="76:77" ht="19.899999999999999" customHeight="1">
      <c r="BX786" s="61"/>
      <c r="BY786" s="61"/>
    </row>
    <row r="787" spans="76:77" ht="19.899999999999999" customHeight="1">
      <c r="BX787" s="61"/>
      <c r="BY787" s="61"/>
    </row>
    <row r="788" spans="76:77" ht="19.899999999999999" customHeight="1">
      <c r="BX788" s="61"/>
      <c r="BY788" s="61"/>
    </row>
    <row r="789" spans="76:77" ht="19.899999999999999" customHeight="1">
      <c r="BX789" s="61"/>
      <c r="BY789" s="61"/>
    </row>
    <row r="790" spans="76:77" ht="19.899999999999999" customHeight="1">
      <c r="BX790" s="61"/>
      <c r="BY790" s="61"/>
    </row>
    <row r="791" spans="76:77" ht="19.899999999999999" customHeight="1">
      <c r="BX791" s="61"/>
      <c r="BY791" s="61"/>
    </row>
    <row r="792" spans="76:77" ht="19.899999999999999" customHeight="1">
      <c r="BX792" s="61"/>
      <c r="BY792" s="61"/>
    </row>
    <row r="793" spans="76:77" ht="19.899999999999999" customHeight="1">
      <c r="BX793" s="61"/>
      <c r="BY793" s="61"/>
    </row>
    <row r="794" spans="76:77" ht="19.899999999999999" customHeight="1">
      <c r="BX794" s="61"/>
      <c r="BY794" s="61"/>
    </row>
    <row r="795" spans="76:77" ht="19.899999999999999" customHeight="1">
      <c r="BX795" s="61"/>
      <c r="BY795" s="61"/>
    </row>
    <row r="796" spans="76:77" ht="19.899999999999999" customHeight="1">
      <c r="BX796" s="61"/>
      <c r="BY796" s="61"/>
    </row>
    <row r="797" spans="76:77" ht="19.899999999999999" customHeight="1">
      <c r="BX797" s="61"/>
      <c r="BY797" s="61"/>
    </row>
    <row r="798" spans="76:77" ht="19.899999999999999" customHeight="1">
      <c r="BX798" s="61"/>
      <c r="BY798" s="61"/>
    </row>
    <row r="799" spans="76:77" ht="19.899999999999999" customHeight="1">
      <c r="BX799" s="61"/>
      <c r="BY799" s="61"/>
    </row>
    <row r="800" spans="76:77" ht="19.899999999999999" customHeight="1">
      <c r="BX800" s="61"/>
      <c r="BY800" s="61"/>
    </row>
    <row r="801" spans="76:77" ht="19.899999999999999" customHeight="1">
      <c r="BX801" s="61"/>
      <c r="BY801" s="61"/>
    </row>
    <row r="802" spans="76:77" ht="19.899999999999999" customHeight="1">
      <c r="BX802" s="61"/>
      <c r="BY802" s="61"/>
    </row>
    <row r="803" spans="76:77" ht="19.899999999999999" customHeight="1">
      <c r="BX803" s="61"/>
      <c r="BY803" s="61"/>
    </row>
    <row r="804" spans="76:77" ht="19.899999999999999" customHeight="1">
      <c r="BX804" s="61"/>
      <c r="BY804" s="61"/>
    </row>
    <row r="805" spans="76:77" ht="19.899999999999999" customHeight="1">
      <c r="BX805" s="61"/>
      <c r="BY805" s="61"/>
    </row>
    <row r="806" spans="76:77" ht="19.899999999999999" customHeight="1">
      <c r="BX806" s="61"/>
      <c r="BY806" s="61"/>
    </row>
    <row r="807" spans="76:77" ht="19.899999999999999" customHeight="1">
      <c r="BX807" s="61"/>
      <c r="BY807" s="61"/>
    </row>
    <row r="808" spans="76:77" ht="19.899999999999999" customHeight="1">
      <c r="BX808" s="61"/>
      <c r="BY808" s="61"/>
    </row>
    <row r="809" spans="76:77" ht="19.899999999999999" customHeight="1">
      <c r="BX809" s="61"/>
      <c r="BY809" s="61"/>
    </row>
    <row r="810" spans="76:77" ht="19.899999999999999" customHeight="1">
      <c r="BX810" s="61"/>
      <c r="BY810" s="61"/>
    </row>
    <row r="811" spans="76:77" ht="19.899999999999999" customHeight="1">
      <c r="BX811" s="61"/>
      <c r="BY811" s="61"/>
    </row>
    <row r="812" spans="76:77" ht="19.899999999999999" customHeight="1">
      <c r="BX812" s="61"/>
      <c r="BY812" s="61"/>
    </row>
    <row r="813" spans="76:77" ht="19.899999999999999" customHeight="1">
      <c r="BX813" s="61"/>
      <c r="BY813" s="61"/>
    </row>
    <row r="814" spans="76:77" ht="19.899999999999999" customHeight="1">
      <c r="BX814" s="61"/>
      <c r="BY814" s="61"/>
    </row>
    <row r="815" spans="76:77" ht="19.899999999999999" customHeight="1">
      <c r="BX815" s="61"/>
      <c r="BY815" s="61"/>
    </row>
    <row r="816" spans="76:77" ht="19.899999999999999" customHeight="1">
      <c r="BX816" s="61"/>
      <c r="BY816" s="61"/>
    </row>
    <row r="817" spans="76:77" ht="19.899999999999999" customHeight="1">
      <c r="BX817" s="61"/>
      <c r="BY817" s="61"/>
    </row>
    <row r="818" spans="76:77" ht="19.899999999999999" customHeight="1">
      <c r="BX818" s="61"/>
      <c r="BY818" s="61"/>
    </row>
    <row r="819" spans="76:77" ht="19.899999999999999" customHeight="1">
      <c r="BX819" s="61"/>
      <c r="BY819" s="61"/>
    </row>
    <row r="820" spans="76:77" ht="19.899999999999999" customHeight="1">
      <c r="BX820" s="61"/>
      <c r="BY820" s="61"/>
    </row>
    <row r="821" spans="76:77" ht="19.899999999999999" customHeight="1">
      <c r="BX821" s="61"/>
      <c r="BY821" s="61"/>
    </row>
    <row r="822" spans="76:77" ht="19.899999999999999" customHeight="1">
      <c r="BX822" s="61"/>
      <c r="BY822" s="61"/>
    </row>
    <row r="823" spans="76:77" ht="19.899999999999999" customHeight="1">
      <c r="BX823" s="61"/>
      <c r="BY823" s="61"/>
    </row>
    <row r="824" spans="76:77" ht="19.899999999999999" customHeight="1">
      <c r="BX824" s="61"/>
      <c r="BY824" s="61"/>
    </row>
    <row r="825" spans="76:77" ht="19.899999999999999" customHeight="1">
      <c r="BX825" s="61"/>
      <c r="BY825" s="61"/>
    </row>
    <row r="826" spans="76:77" ht="19.899999999999999" customHeight="1">
      <c r="BX826" s="61"/>
      <c r="BY826" s="61"/>
    </row>
    <row r="827" spans="76:77" ht="19.899999999999999" customHeight="1">
      <c r="BX827" s="61"/>
      <c r="BY827" s="61"/>
    </row>
    <row r="828" spans="76:77" ht="19.899999999999999" customHeight="1">
      <c r="BX828" s="61"/>
      <c r="BY828" s="61"/>
    </row>
    <row r="829" spans="76:77" ht="19.899999999999999" customHeight="1">
      <c r="BX829" s="61"/>
      <c r="BY829" s="61"/>
    </row>
    <row r="830" spans="76:77" ht="19.899999999999999" customHeight="1">
      <c r="BX830" s="61"/>
      <c r="BY830" s="61"/>
    </row>
    <row r="831" spans="76:77" ht="19.899999999999999" customHeight="1">
      <c r="BX831" s="61"/>
      <c r="BY831" s="61"/>
    </row>
    <row r="832" spans="76:77" ht="19.899999999999999" customHeight="1">
      <c r="BX832" s="61"/>
      <c r="BY832" s="61"/>
    </row>
    <row r="833" spans="76:77" ht="19.899999999999999" customHeight="1">
      <c r="BX833" s="61"/>
      <c r="BY833" s="61"/>
    </row>
    <row r="834" spans="76:77" ht="19.899999999999999" customHeight="1">
      <c r="BX834" s="61"/>
      <c r="BY834" s="61"/>
    </row>
    <row r="835" spans="76:77" ht="19.899999999999999" customHeight="1">
      <c r="BX835" s="61"/>
      <c r="BY835" s="61"/>
    </row>
    <row r="836" spans="76:77" ht="19.899999999999999" customHeight="1">
      <c r="BX836" s="61"/>
      <c r="BY836" s="61"/>
    </row>
    <row r="837" spans="76:77" ht="19.899999999999999" customHeight="1">
      <c r="BX837" s="61"/>
      <c r="BY837" s="61"/>
    </row>
    <row r="838" spans="76:77" ht="19.899999999999999" customHeight="1">
      <c r="BX838" s="61"/>
      <c r="BY838" s="61"/>
    </row>
    <row r="839" spans="76:77" ht="19.899999999999999" customHeight="1">
      <c r="BX839" s="61"/>
      <c r="BY839" s="61"/>
    </row>
    <row r="840" spans="76:77" ht="19.899999999999999" customHeight="1">
      <c r="BX840" s="61"/>
      <c r="BY840" s="61"/>
    </row>
    <row r="841" spans="76:77" ht="19.899999999999999" customHeight="1">
      <c r="BX841" s="61"/>
      <c r="BY841" s="61"/>
    </row>
    <row r="842" spans="76:77" ht="19.899999999999999" customHeight="1">
      <c r="BX842" s="61"/>
      <c r="BY842" s="61"/>
    </row>
    <row r="843" spans="76:77" ht="19.899999999999999" customHeight="1">
      <c r="BX843" s="61"/>
      <c r="BY843" s="61"/>
    </row>
    <row r="844" spans="76:77" ht="19.899999999999999" customHeight="1">
      <c r="BX844" s="61"/>
      <c r="BY844" s="61"/>
    </row>
    <row r="845" spans="76:77" ht="19.899999999999999" customHeight="1">
      <c r="BX845" s="61"/>
      <c r="BY845" s="61"/>
    </row>
    <row r="846" spans="76:77" ht="19.899999999999999" customHeight="1">
      <c r="BX846" s="61"/>
      <c r="BY846" s="61"/>
    </row>
    <row r="847" spans="76:77" ht="19.899999999999999" customHeight="1">
      <c r="BX847" s="61"/>
      <c r="BY847" s="61"/>
    </row>
    <row r="848" spans="76:77" ht="19.899999999999999" customHeight="1">
      <c r="BX848" s="61"/>
      <c r="BY848" s="61"/>
    </row>
    <row r="849" spans="76:77" ht="19.899999999999999" customHeight="1">
      <c r="BX849" s="61"/>
      <c r="BY849" s="61"/>
    </row>
    <row r="850" spans="76:77" ht="19.899999999999999" customHeight="1">
      <c r="BX850" s="61"/>
      <c r="BY850" s="61"/>
    </row>
    <row r="851" spans="76:77" ht="19.899999999999999" customHeight="1">
      <c r="BX851" s="61"/>
      <c r="BY851" s="61"/>
    </row>
    <row r="852" spans="76:77" ht="19.899999999999999" customHeight="1">
      <c r="BX852" s="61"/>
      <c r="BY852" s="61"/>
    </row>
    <row r="853" spans="76:77" ht="19.899999999999999" customHeight="1">
      <c r="BX853" s="61"/>
      <c r="BY853" s="61"/>
    </row>
    <row r="854" spans="76:77" ht="19.899999999999999" customHeight="1">
      <c r="BX854" s="61"/>
      <c r="BY854" s="61"/>
    </row>
    <row r="855" spans="76:77" ht="19.899999999999999" customHeight="1">
      <c r="BX855" s="61"/>
      <c r="BY855" s="61"/>
    </row>
    <row r="856" spans="76:77" ht="19.899999999999999" customHeight="1">
      <c r="BX856" s="61"/>
      <c r="BY856" s="61"/>
    </row>
    <row r="857" spans="76:77" ht="19.899999999999999" customHeight="1">
      <c r="BX857" s="61"/>
      <c r="BY857" s="61"/>
    </row>
    <row r="858" spans="76:77" ht="19.899999999999999" customHeight="1">
      <c r="BX858" s="61"/>
      <c r="BY858" s="61"/>
    </row>
    <row r="859" spans="76:77" ht="19.899999999999999" customHeight="1">
      <c r="BX859" s="61"/>
      <c r="BY859" s="61"/>
    </row>
    <row r="860" spans="76:77" ht="19.899999999999999" customHeight="1">
      <c r="BX860" s="61"/>
      <c r="BY860" s="61"/>
    </row>
    <row r="861" spans="76:77" ht="19.899999999999999" customHeight="1">
      <c r="BX861" s="61"/>
      <c r="BY861" s="61"/>
    </row>
    <row r="862" spans="76:77" ht="19.899999999999999" customHeight="1">
      <c r="BX862" s="61"/>
      <c r="BY862" s="61"/>
    </row>
    <row r="863" spans="76:77" ht="19.899999999999999" customHeight="1">
      <c r="BX863" s="61"/>
      <c r="BY863" s="61"/>
    </row>
    <row r="864" spans="76:77" ht="19.899999999999999" customHeight="1">
      <c r="BX864" s="61"/>
      <c r="BY864" s="61"/>
    </row>
    <row r="865" spans="76:77" ht="19.899999999999999" customHeight="1">
      <c r="BX865" s="61"/>
      <c r="BY865" s="61"/>
    </row>
    <row r="866" spans="76:77" ht="19.899999999999999" customHeight="1">
      <c r="BX866" s="61"/>
      <c r="BY866" s="61"/>
    </row>
    <row r="867" spans="76:77" ht="19.899999999999999" customHeight="1">
      <c r="BX867" s="61"/>
      <c r="BY867" s="61"/>
    </row>
    <row r="868" spans="76:77" ht="19.899999999999999" customHeight="1">
      <c r="BX868" s="61"/>
      <c r="BY868" s="61"/>
    </row>
    <row r="869" spans="76:77" ht="19.899999999999999" customHeight="1">
      <c r="BX869" s="61"/>
      <c r="BY869" s="61"/>
    </row>
    <row r="870" spans="76:77" ht="19.899999999999999" customHeight="1">
      <c r="BX870" s="61"/>
      <c r="BY870" s="61"/>
    </row>
    <row r="871" spans="76:77" ht="19.899999999999999" customHeight="1">
      <c r="BX871" s="61"/>
      <c r="BY871" s="61"/>
    </row>
    <row r="872" spans="76:77" ht="19.899999999999999" customHeight="1">
      <c r="BX872" s="61"/>
      <c r="BY872" s="61"/>
    </row>
    <row r="873" spans="76:77" ht="19.899999999999999" customHeight="1">
      <c r="BX873" s="61"/>
      <c r="BY873" s="61"/>
    </row>
    <row r="874" spans="76:77" ht="19.899999999999999" customHeight="1">
      <c r="BX874" s="61"/>
      <c r="BY874" s="61"/>
    </row>
    <row r="875" spans="76:77" ht="19.899999999999999" customHeight="1">
      <c r="BX875" s="61"/>
      <c r="BY875" s="61"/>
    </row>
    <row r="876" spans="76:77" ht="19.899999999999999" customHeight="1">
      <c r="BX876" s="61"/>
      <c r="BY876" s="61"/>
    </row>
    <row r="877" spans="76:77" ht="19.899999999999999" customHeight="1">
      <c r="BX877" s="61"/>
      <c r="BY877" s="61"/>
    </row>
    <row r="878" spans="76:77" ht="19.899999999999999" customHeight="1">
      <c r="BX878" s="61"/>
      <c r="BY878" s="61"/>
    </row>
    <row r="879" spans="76:77" ht="19.899999999999999" customHeight="1">
      <c r="BX879" s="61"/>
      <c r="BY879" s="61"/>
    </row>
    <row r="880" spans="76:77" ht="19.899999999999999" customHeight="1">
      <c r="BX880" s="61"/>
      <c r="BY880" s="61"/>
    </row>
    <row r="881" spans="76:77" ht="19.899999999999999" customHeight="1">
      <c r="BX881" s="61"/>
      <c r="BY881" s="61"/>
    </row>
    <row r="882" spans="76:77" ht="19.899999999999999" customHeight="1">
      <c r="BX882" s="61"/>
      <c r="BY882" s="61"/>
    </row>
    <row r="883" spans="76:77" ht="19.899999999999999" customHeight="1">
      <c r="BX883" s="61"/>
      <c r="BY883" s="61"/>
    </row>
    <row r="884" spans="76:77" ht="19.899999999999999" customHeight="1">
      <c r="BX884" s="61"/>
      <c r="BY884" s="61"/>
    </row>
    <row r="885" spans="76:77" ht="19.899999999999999" customHeight="1">
      <c r="BX885" s="61"/>
      <c r="BY885" s="61"/>
    </row>
    <row r="886" spans="76:77" ht="19.899999999999999" customHeight="1">
      <c r="BX886" s="61"/>
      <c r="BY886" s="61"/>
    </row>
    <row r="887" spans="76:77" ht="19.899999999999999" customHeight="1">
      <c r="BX887" s="61"/>
      <c r="BY887" s="61"/>
    </row>
    <row r="888" spans="76:77" ht="19.899999999999999" customHeight="1">
      <c r="BX888" s="61"/>
      <c r="BY888" s="61"/>
    </row>
    <row r="889" spans="76:77" ht="19.899999999999999" customHeight="1">
      <c r="BX889" s="61"/>
      <c r="BY889" s="61"/>
    </row>
    <row r="890" spans="76:77" ht="19.899999999999999" customHeight="1">
      <c r="BX890" s="61"/>
      <c r="BY890" s="61"/>
    </row>
    <row r="891" spans="76:77" ht="19.899999999999999" customHeight="1">
      <c r="BX891" s="61"/>
      <c r="BY891" s="61"/>
    </row>
    <row r="892" spans="76:77" ht="19.899999999999999" customHeight="1">
      <c r="BX892" s="61"/>
      <c r="BY892" s="61"/>
    </row>
    <row r="893" spans="76:77" ht="19.899999999999999" customHeight="1">
      <c r="BX893" s="61"/>
      <c r="BY893" s="61"/>
    </row>
    <row r="894" spans="76:77" ht="19.899999999999999" customHeight="1">
      <c r="BX894" s="61"/>
      <c r="BY894" s="61"/>
    </row>
    <row r="895" spans="76:77" ht="19.899999999999999" customHeight="1">
      <c r="BX895" s="61"/>
      <c r="BY895" s="61"/>
    </row>
    <row r="896" spans="76:77" ht="19.899999999999999" customHeight="1">
      <c r="BX896" s="61"/>
      <c r="BY896" s="61"/>
    </row>
    <row r="897" spans="76:77" ht="19.899999999999999" customHeight="1">
      <c r="BX897" s="61"/>
      <c r="BY897" s="61"/>
    </row>
    <row r="898" spans="76:77" ht="19.899999999999999" customHeight="1">
      <c r="BX898" s="61"/>
      <c r="BY898" s="61"/>
    </row>
    <row r="899" spans="76:77" ht="19.899999999999999" customHeight="1">
      <c r="BX899" s="61"/>
      <c r="BY899" s="61"/>
    </row>
    <row r="900" spans="76:77" ht="19.899999999999999" customHeight="1">
      <c r="BX900" s="61"/>
      <c r="BY900" s="61"/>
    </row>
    <row r="901" spans="76:77" ht="19.899999999999999" customHeight="1">
      <c r="BX901" s="61"/>
      <c r="BY901" s="61"/>
    </row>
    <row r="902" spans="76:77" ht="19.899999999999999" customHeight="1">
      <c r="BX902" s="61"/>
      <c r="BY902" s="61"/>
    </row>
    <row r="903" spans="76:77" ht="19.899999999999999" customHeight="1">
      <c r="BX903" s="61"/>
      <c r="BY903" s="61"/>
    </row>
    <row r="904" spans="76:77" ht="19.899999999999999" customHeight="1">
      <c r="BX904" s="61"/>
      <c r="BY904" s="61"/>
    </row>
    <row r="905" spans="76:77" ht="19.899999999999999" customHeight="1">
      <c r="BX905" s="61"/>
      <c r="BY905" s="61"/>
    </row>
    <row r="906" spans="76:77" ht="19.899999999999999" customHeight="1">
      <c r="BX906" s="61"/>
      <c r="BY906" s="61"/>
    </row>
    <row r="907" spans="76:77" ht="19.899999999999999" customHeight="1">
      <c r="BX907" s="61"/>
      <c r="BY907" s="61"/>
    </row>
    <row r="908" spans="76:77" ht="19.899999999999999" customHeight="1">
      <c r="BX908" s="61"/>
      <c r="BY908" s="61"/>
    </row>
    <row r="909" spans="76:77" ht="19.899999999999999" customHeight="1">
      <c r="BX909" s="61"/>
      <c r="BY909" s="61"/>
    </row>
    <row r="910" spans="76:77" ht="19.899999999999999" customHeight="1">
      <c r="BX910" s="61"/>
      <c r="BY910" s="61"/>
    </row>
    <row r="911" spans="76:77" ht="19.899999999999999" customHeight="1">
      <c r="BX911" s="61"/>
      <c r="BY911" s="61"/>
    </row>
    <row r="912" spans="76:77" ht="19.899999999999999" customHeight="1">
      <c r="BX912" s="61"/>
      <c r="BY912" s="61"/>
    </row>
    <row r="913" spans="76:77" ht="19.899999999999999" customHeight="1">
      <c r="BX913" s="61"/>
      <c r="BY913" s="61"/>
    </row>
    <row r="914" spans="76:77" ht="19.899999999999999" customHeight="1">
      <c r="BX914" s="61"/>
      <c r="BY914" s="61"/>
    </row>
    <row r="915" spans="76:77" ht="19.899999999999999" customHeight="1">
      <c r="BX915" s="61"/>
      <c r="BY915" s="61"/>
    </row>
    <row r="916" spans="76:77" ht="19.899999999999999" customHeight="1">
      <c r="BX916" s="61"/>
      <c r="BY916" s="61"/>
    </row>
    <row r="917" spans="76:77" ht="19.899999999999999" customHeight="1">
      <c r="BX917" s="61"/>
      <c r="BY917" s="61"/>
    </row>
    <row r="918" spans="76:77" ht="19.899999999999999" customHeight="1">
      <c r="BX918" s="61"/>
      <c r="BY918" s="61"/>
    </row>
    <row r="919" spans="76:77" ht="19.899999999999999" customHeight="1">
      <c r="BX919" s="61"/>
      <c r="BY919" s="61"/>
    </row>
    <row r="920" spans="76:77" ht="19.899999999999999" customHeight="1">
      <c r="BX920" s="61"/>
      <c r="BY920" s="61"/>
    </row>
    <row r="921" spans="76:77" ht="19.899999999999999" customHeight="1">
      <c r="BX921" s="61"/>
      <c r="BY921" s="61"/>
    </row>
    <row r="922" spans="76:77" ht="19.899999999999999" customHeight="1">
      <c r="BX922" s="61"/>
      <c r="BY922" s="61"/>
    </row>
    <row r="923" spans="76:77" ht="19.899999999999999" customHeight="1">
      <c r="BX923" s="61"/>
      <c r="BY923" s="61"/>
    </row>
    <row r="924" spans="76:77" ht="19.899999999999999" customHeight="1">
      <c r="BX924" s="61"/>
      <c r="BY924" s="61"/>
    </row>
    <row r="925" spans="76:77" ht="19.899999999999999" customHeight="1">
      <c r="BX925" s="61"/>
      <c r="BY925" s="61"/>
    </row>
    <row r="926" spans="76:77" ht="19.899999999999999" customHeight="1">
      <c r="BX926" s="61"/>
      <c r="BY926" s="61"/>
    </row>
    <row r="927" spans="76:77" ht="19.899999999999999" customHeight="1">
      <c r="BX927" s="61"/>
      <c r="BY927" s="61"/>
    </row>
    <row r="928" spans="76:77" ht="19.899999999999999" customHeight="1">
      <c r="BX928" s="61"/>
      <c r="BY928" s="61"/>
    </row>
    <row r="929" spans="76:77" ht="19.899999999999999" customHeight="1">
      <c r="BX929" s="61"/>
      <c r="BY929" s="61"/>
    </row>
    <row r="930" spans="76:77" ht="19.899999999999999" customHeight="1">
      <c r="BX930" s="61"/>
      <c r="BY930" s="61"/>
    </row>
    <row r="931" spans="76:77" ht="19.899999999999999" customHeight="1">
      <c r="BX931" s="61"/>
      <c r="BY931" s="61"/>
    </row>
    <row r="932" spans="76:77" ht="19.899999999999999" customHeight="1">
      <c r="BX932" s="61"/>
      <c r="BY932" s="61"/>
    </row>
    <row r="933" spans="76:77" ht="19.899999999999999" customHeight="1">
      <c r="BX933" s="61"/>
      <c r="BY933" s="61"/>
    </row>
    <row r="934" spans="76:77" ht="19.899999999999999" customHeight="1">
      <c r="BX934" s="61"/>
      <c r="BY934" s="61"/>
    </row>
    <row r="935" spans="76:77" ht="19.899999999999999" customHeight="1">
      <c r="BX935" s="61"/>
      <c r="BY935" s="61"/>
    </row>
    <row r="936" spans="76:77" ht="19.899999999999999" customHeight="1">
      <c r="BX936" s="61"/>
      <c r="BY936" s="61"/>
    </row>
    <row r="937" spans="76:77" ht="19.899999999999999" customHeight="1">
      <c r="BX937" s="61"/>
      <c r="BY937" s="61"/>
    </row>
    <row r="938" spans="76:77" ht="19.899999999999999" customHeight="1">
      <c r="BX938" s="61"/>
      <c r="BY938" s="61"/>
    </row>
    <row r="939" spans="76:77" ht="19.899999999999999" customHeight="1">
      <c r="BX939" s="61"/>
      <c r="BY939" s="61"/>
    </row>
    <row r="940" spans="76:77" ht="19.899999999999999" customHeight="1">
      <c r="BX940" s="61"/>
      <c r="BY940" s="61"/>
    </row>
    <row r="941" spans="76:77" ht="19.899999999999999" customHeight="1">
      <c r="BX941" s="61"/>
      <c r="BY941" s="61"/>
    </row>
    <row r="942" spans="76:77" ht="19.899999999999999" customHeight="1">
      <c r="BX942" s="61"/>
      <c r="BY942" s="61"/>
    </row>
    <row r="943" spans="76:77" ht="19.899999999999999" customHeight="1">
      <c r="BX943" s="61"/>
      <c r="BY943" s="61"/>
    </row>
    <row r="944" spans="76:77" ht="19.899999999999999" customHeight="1">
      <c r="BX944" s="61"/>
      <c r="BY944" s="61"/>
    </row>
    <row r="945" spans="76:77" ht="19.899999999999999" customHeight="1">
      <c r="BX945" s="61"/>
      <c r="BY945" s="61"/>
    </row>
    <row r="946" spans="76:77" ht="19.899999999999999" customHeight="1">
      <c r="BX946" s="61"/>
      <c r="BY946" s="61"/>
    </row>
    <row r="947" spans="76:77" ht="19.899999999999999" customHeight="1">
      <c r="BX947" s="61"/>
      <c r="BY947" s="61"/>
    </row>
    <row r="948" spans="76:77" ht="19.899999999999999" customHeight="1">
      <c r="BX948" s="61"/>
      <c r="BY948" s="61"/>
    </row>
    <row r="949" spans="76:77" ht="19.899999999999999" customHeight="1">
      <c r="BX949" s="61"/>
      <c r="BY949" s="61"/>
    </row>
    <row r="950" spans="76:77" ht="19.899999999999999" customHeight="1">
      <c r="BX950" s="61"/>
      <c r="BY950" s="61"/>
    </row>
    <row r="951" spans="76:77" ht="19.899999999999999" customHeight="1">
      <c r="BX951" s="61"/>
      <c r="BY951" s="61"/>
    </row>
    <row r="952" spans="76:77" ht="19.899999999999999" customHeight="1">
      <c r="BX952" s="61"/>
      <c r="BY952" s="61"/>
    </row>
    <row r="953" spans="76:77" ht="19.899999999999999" customHeight="1">
      <c r="BX953" s="61"/>
      <c r="BY953" s="61"/>
    </row>
    <row r="954" spans="76:77" ht="19.899999999999999" customHeight="1">
      <c r="BX954" s="61"/>
      <c r="BY954" s="61"/>
    </row>
    <row r="955" spans="76:77" ht="19.899999999999999" customHeight="1">
      <c r="BX955" s="61"/>
      <c r="BY955" s="61"/>
    </row>
    <row r="956" spans="76:77" ht="19.899999999999999" customHeight="1">
      <c r="BX956" s="61"/>
      <c r="BY956" s="61"/>
    </row>
    <row r="957" spans="76:77" ht="19.899999999999999" customHeight="1">
      <c r="BX957" s="61"/>
      <c r="BY957" s="61"/>
    </row>
    <row r="958" spans="76:77" ht="19.899999999999999" customHeight="1">
      <c r="BX958" s="61"/>
      <c r="BY958" s="61"/>
    </row>
    <row r="959" spans="76:77" ht="19.899999999999999" customHeight="1">
      <c r="BX959" s="61"/>
      <c r="BY959" s="61"/>
    </row>
    <row r="960" spans="76:77" ht="19.899999999999999" customHeight="1">
      <c r="BX960" s="61"/>
      <c r="BY960" s="61"/>
    </row>
    <row r="961" spans="76:77" ht="19.899999999999999" customHeight="1">
      <c r="BX961" s="61"/>
      <c r="BY961" s="61"/>
    </row>
    <row r="962" spans="76:77" ht="19.899999999999999" customHeight="1">
      <c r="BX962" s="61"/>
      <c r="BY962" s="61"/>
    </row>
    <row r="963" spans="76:77" ht="19.899999999999999" customHeight="1">
      <c r="BX963" s="61"/>
      <c r="BY963" s="61"/>
    </row>
    <row r="964" spans="76:77" ht="19.899999999999999" customHeight="1">
      <c r="BX964" s="61"/>
      <c r="BY964" s="61"/>
    </row>
    <row r="965" spans="76:77" ht="19.899999999999999" customHeight="1">
      <c r="BX965" s="61"/>
      <c r="BY965" s="61"/>
    </row>
    <row r="966" spans="76:77" ht="19.899999999999999" customHeight="1">
      <c r="BX966" s="61"/>
      <c r="BY966" s="61"/>
    </row>
    <row r="967" spans="76:77" ht="19.899999999999999" customHeight="1">
      <c r="BX967" s="61"/>
      <c r="BY967" s="61"/>
    </row>
    <row r="968" spans="76:77" ht="19.899999999999999" customHeight="1">
      <c r="BX968" s="61"/>
      <c r="BY968" s="61"/>
    </row>
    <row r="969" spans="76:77" ht="19.899999999999999" customHeight="1">
      <c r="BX969" s="61"/>
      <c r="BY969" s="61"/>
    </row>
    <row r="970" spans="76:77" ht="19.899999999999999" customHeight="1">
      <c r="BX970" s="61"/>
      <c r="BY970" s="61"/>
    </row>
    <row r="971" spans="76:77" ht="19.899999999999999" customHeight="1">
      <c r="BX971" s="61"/>
      <c r="BY971" s="61"/>
    </row>
    <row r="972" spans="76:77" ht="19.899999999999999" customHeight="1">
      <c r="BX972" s="61"/>
      <c r="BY972" s="61"/>
    </row>
    <row r="973" spans="76:77" ht="19.899999999999999" customHeight="1">
      <c r="BX973" s="61"/>
      <c r="BY973" s="61"/>
    </row>
    <row r="974" spans="76:77" ht="19.899999999999999" customHeight="1">
      <c r="BX974" s="61"/>
      <c r="BY974" s="61"/>
    </row>
    <row r="975" spans="76:77" ht="19.899999999999999" customHeight="1">
      <c r="BX975" s="61"/>
      <c r="BY975" s="61"/>
    </row>
    <row r="976" spans="76:77" ht="19.899999999999999" customHeight="1">
      <c r="BX976" s="61"/>
      <c r="BY976" s="61"/>
    </row>
    <row r="977" spans="76:77" ht="19.899999999999999" customHeight="1">
      <c r="BX977" s="61"/>
      <c r="BY977" s="61"/>
    </row>
    <row r="978" spans="76:77" ht="19.899999999999999" customHeight="1">
      <c r="BX978" s="61"/>
      <c r="BY978" s="61"/>
    </row>
    <row r="979" spans="76:77" ht="19.899999999999999" customHeight="1">
      <c r="BX979" s="61"/>
      <c r="BY979" s="61"/>
    </row>
    <row r="980" spans="76:77" ht="19.899999999999999" customHeight="1">
      <c r="BX980" s="61"/>
      <c r="BY980" s="61"/>
    </row>
    <row r="981" spans="76:77" ht="19.899999999999999" customHeight="1">
      <c r="BX981" s="61"/>
      <c r="BY981" s="61"/>
    </row>
    <row r="982" spans="76:77" ht="19.899999999999999" customHeight="1">
      <c r="BX982" s="61"/>
      <c r="BY982" s="61"/>
    </row>
    <row r="983" spans="76:77" ht="19.899999999999999" customHeight="1">
      <c r="BX983" s="61"/>
      <c r="BY983" s="61"/>
    </row>
    <row r="984" spans="76:77" ht="19.899999999999999" customHeight="1">
      <c r="BX984" s="61"/>
      <c r="BY984" s="61"/>
    </row>
    <row r="985" spans="76:77" ht="19.899999999999999" customHeight="1">
      <c r="BX985" s="61"/>
      <c r="BY985" s="61"/>
    </row>
    <row r="986" spans="76:77" ht="19.899999999999999" customHeight="1">
      <c r="BX986" s="61"/>
      <c r="BY986" s="61"/>
    </row>
    <row r="987" spans="76:77" ht="19.899999999999999" customHeight="1">
      <c r="BX987" s="61"/>
      <c r="BY987" s="61"/>
    </row>
    <row r="988" spans="76:77" ht="19.899999999999999" customHeight="1">
      <c r="BX988" s="61"/>
      <c r="BY988" s="61"/>
    </row>
    <row r="989" spans="76:77" ht="19.899999999999999" customHeight="1">
      <c r="BX989" s="61"/>
      <c r="BY989" s="61"/>
    </row>
    <row r="990" spans="76:77" ht="19.899999999999999" customHeight="1">
      <c r="BX990" s="61"/>
      <c r="BY990" s="61"/>
    </row>
    <row r="991" spans="76:77" ht="19.899999999999999" customHeight="1">
      <c r="BX991" s="61"/>
      <c r="BY991" s="61"/>
    </row>
    <row r="992" spans="76:77" ht="19.899999999999999" customHeight="1">
      <c r="BX992" s="61"/>
      <c r="BY992" s="61"/>
    </row>
    <row r="993" spans="76:77" ht="19.899999999999999" customHeight="1">
      <c r="BX993" s="61"/>
      <c r="BY993" s="61"/>
    </row>
    <row r="994" spans="76:77" ht="19.899999999999999" customHeight="1">
      <c r="BX994" s="61"/>
      <c r="BY994" s="61"/>
    </row>
    <row r="995" spans="76:77" ht="19.899999999999999" customHeight="1">
      <c r="BX995" s="61"/>
      <c r="BY995" s="61"/>
    </row>
    <row r="996" spans="76:77" ht="19.899999999999999" customHeight="1">
      <c r="BX996" s="61"/>
      <c r="BY996" s="61"/>
    </row>
    <row r="997" spans="76:77" ht="19.899999999999999" customHeight="1">
      <c r="BX997" s="61"/>
      <c r="BY997" s="61"/>
    </row>
    <row r="998" spans="76:77" ht="19.899999999999999" customHeight="1">
      <c r="BX998" s="61"/>
      <c r="BY998" s="61"/>
    </row>
    <row r="999" spans="76:77" ht="19.899999999999999" customHeight="1">
      <c r="BX999" s="61"/>
      <c r="BY999" s="61"/>
    </row>
    <row r="1000" spans="76:77" ht="19.899999999999999" customHeight="1">
      <c r="BX1000" s="61"/>
      <c r="BY1000" s="61"/>
    </row>
    <row r="1001" spans="76:77" ht="19.899999999999999" customHeight="1">
      <c r="BX1001" s="61"/>
      <c r="BY1001" s="61"/>
    </row>
    <row r="1002" spans="76:77" ht="19.899999999999999" customHeight="1">
      <c r="BX1002" s="61"/>
      <c r="BY1002" s="61"/>
    </row>
    <row r="1003" spans="76:77" ht="19.899999999999999" customHeight="1">
      <c r="BX1003" s="61"/>
      <c r="BY1003" s="61"/>
    </row>
    <row r="1004" spans="76:77" ht="19.899999999999999" customHeight="1">
      <c r="BX1004" s="61"/>
      <c r="BY1004" s="61"/>
    </row>
    <row r="1005" spans="76:77" ht="19.899999999999999" customHeight="1">
      <c r="BX1005" s="61"/>
      <c r="BY1005" s="61"/>
    </row>
    <row r="1006" spans="76:77" ht="19.899999999999999" customHeight="1">
      <c r="BX1006" s="61"/>
      <c r="BY1006" s="61"/>
    </row>
    <row r="1007" spans="76:77" ht="19.899999999999999" customHeight="1">
      <c r="BX1007" s="61"/>
      <c r="BY1007" s="61"/>
    </row>
    <row r="1008" spans="76:77" ht="19.899999999999999" customHeight="1">
      <c r="BX1008" s="61"/>
      <c r="BY1008" s="61"/>
    </row>
    <row r="1009" spans="76:77" ht="19.899999999999999" customHeight="1">
      <c r="BX1009" s="61"/>
      <c r="BY1009" s="61"/>
    </row>
    <row r="1010" spans="76:77" ht="19.899999999999999" customHeight="1">
      <c r="BX1010" s="61"/>
      <c r="BY1010" s="61"/>
    </row>
    <row r="1011" spans="76:77" ht="19.899999999999999" customHeight="1">
      <c r="BX1011" s="61"/>
      <c r="BY1011" s="61"/>
    </row>
    <row r="1012" spans="76:77" ht="19.899999999999999" customHeight="1">
      <c r="BX1012" s="61"/>
      <c r="BY1012" s="61"/>
    </row>
    <row r="1013" spans="76:77" ht="19.899999999999999" customHeight="1">
      <c r="BX1013" s="61"/>
      <c r="BY1013" s="61"/>
    </row>
    <row r="1014" spans="76:77" ht="19.899999999999999" customHeight="1">
      <c r="BX1014" s="61"/>
      <c r="BY1014" s="61"/>
    </row>
    <row r="1015" spans="76:77" ht="19.899999999999999" customHeight="1">
      <c r="BX1015" s="61"/>
      <c r="BY1015" s="61"/>
    </row>
    <row r="1016" spans="76:77" ht="19.899999999999999" customHeight="1">
      <c r="BX1016" s="61"/>
      <c r="BY1016" s="61"/>
    </row>
    <row r="1017" spans="76:77" ht="19.899999999999999" customHeight="1">
      <c r="BX1017" s="61"/>
      <c r="BY1017" s="61"/>
    </row>
    <row r="1018" spans="76:77" ht="19.899999999999999" customHeight="1">
      <c r="BX1018" s="61"/>
      <c r="BY1018" s="61"/>
    </row>
    <row r="1019" spans="76:77" ht="19.899999999999999" customHeight="1">
      <c r="BX1019" s="61"/>
      <c r="BY1019" s="61"/>
    </row>
    <row r="1020" spans="76:77" ht="19.899999999999999" customHeight="1">
      <c r="BX1020" s="61"/>
      <c r="BY1020" s="61"/>
    </row>
    <row r="1021" spans="76:77" ht="19.899999999999999" customHeight="1">
      <c r="BX1021" s="61"/>
      <c r="BY1021" s="61"/>
    </row>
    <row r="1022" spans="76:77" ht="19.899999999999999" customHeight="1">
      <c r="BX1022" s="61"/>
      <c r="BY1022" s="61"/>
    </row>
    <row r="1023" spans="76:77" ht="19.899999999999999" customHeight="1">
      <c r="BX1023" s="61"/>
      <c r="BY1023" s="61"/>
    </row>
    <row r="1024" spans="76:77" ht="19.899999999999999" customHeight="1">
      <c r="BX1024" s="61"/>
      <c r="BY1024" s="61"/>
    </row>
    <row r="1025" spans="76:77" ht="19.899999999999999" customHeight="1">
      <c r="BX1025" s="61"/>
      <c r="BY1025" s="61"/>
    </row>
    <row r="1026" spans="76:77" ht="19.899999999999999" customHeight="1">
      <c r="BX1026" s="61"/>
      <c r="BY1026" s="61"/>
    </row>
    <row r="1027" spans="76:77" ht="19.899999999999999" customHeight="1">
      <c r="BX1027" s="61"/>
      <c r="BY1027" s="61"/>
    </row>
    <row r="1028" spans="76:77" ht="19.899999999999999" customHeight="1">
      <c r="BX1028" s="61"/>
      <c r="BY1028" s="61"/>
    </row>
    <row r="1029" spans="76:77" ht="19.899999999999999" customHeight="1">
      <c r="BX1029" s="61"/>
      <c r="BY1029" s="61"/>
    </row>
    <row r="1030" spans="76:77" ht="19.899999999999999" customHeight="1">
      <c r="BX1030" s="61"/>
      <c r="BY1030" s="61"/>
    </row>
    <row r="1031" spans="76:77" ht="19.899999999999999" customHeight="1">
      <c r="BX1031" s="61"/>
      <c r="BY1031" s="61"/>
    </row>
    <row r="1032" spans="76:77" ht="19.899999999999999" customHeight="1">
      <c r="BX1032" s="61"/>
      <c r="BY1032" s="61"/>
    </row>
    <row r="1033" spans="76:77" ht="19.899999999999999" customHeight="1">
      <c r="BX1033" s="61"/>
      <c r="BY1033" s="61"/>
    </row>
    <row r="1034" spans="76:77" ht="19.899999999999999" customHeight="1">
      <c r="BX1034" s="61"/>
      <c r="BY1034" s="61"/>
    </row>
    <row r="1035" spans="76:77" ht="19.899999999999999" customHeight="1">
      <c r="BX1035" s="61"/>
      <c r="BY1035" s="61"/>
    </row>
    <row r="1036" spans="76:77" ht="19.899999999999999" customHeight="1">
      <c r="BX1036" s="61"/>
      <c r="BY1036" s="61"/>
    </row>
    <row r="1037" spans="76:77" ht="19.899999999999999" customHeight="1">
      <c r="BX1037" s="61"/>
      <c r="BY1037" s="61"/>
    </row>
    <row r="1038" spans="76:77" ht="19.899999999999999" customHeight="1">
      <c r="BX1038" s="61"/>
      <c r="BY1038" s="61"/>
    </row>
    <row r="1039" spans="76:77" ht="19.899999999999999" customHeight="1">
      <c r="BX1039" s="61"/>
      <c r="BY1039" s="61"/>
    </row>
    <row r="1040" spans="76:77" ht="19.899999999999999" customHeight="1">
      <c r="BX1040" s="61"/>
      <c r="BY1040" s="61"/>
    </row>
    <row r="1041" spans="76:77" ht="19.899999999999999" customHeight="1">
      <c r="BX1041" s="61"/>
      <c r="BY1041" s="61"/>
    </row>
    <row r="1042" spans="76:77" ht="19.899999999999999" customHeight="1">
      <c r="BX1042" s="61"/>
      <c r="BY1042" s="61"/>
    </row>
    <row r="1043" spans="76:77" ht="19.899999999999999" customHeight="1">
      <c r="BX1043" s="61"/>
      <c r="BY1043" s="61"/>
    </row>
    <row r="1044" spans="76:77" ht="19.899999999999999" customHeight="1">
      <c r="BX1044" s="61"/>
      <c r="BY1044" s="61"/>
    </row>
    <row r="1045" spans="76:77" ht="19.899999999999999" customHeight="1">
      <c r="BX1045" s="61"/>
      <c r="BY1045" s="61"/>
    </row>
    <row r="1046" spans="76:77" ht="19.899999999999999" customHeight="1">
      <c r="BX1046" s="61"/>
      <c r="BY1046" s="61"/>
    </row>
    <row r="1047" spans="76:77" ht="19.899999999999999" customHeight="1">
      <c r="BX1047" s="61"/>
      <c r="BY1047" s="61"/>
    </row>
    <row r="1048" spans="76:77" ht="19.899999999999999" customHeight="1">
      <c r="BX1048" s="61"/>
      <c r="BY1048" s="61"/>
    </row>
    <row r="1049" spans="76:77" ht="19.899999999999999" customHeight="1">
      <c r="BX1049" s="61"/>
      <c r="BY1049" s="61"/>
    </row>
    <row r="1050" spans="76:77" ht="19.899999999999999" customHeight="1">
      <c r="BX1050" s="61"/>
      <c r="BY1050" s="61"/>
    </row>
    <row r="1051" spans="76:77" ht="19.899999999999999" customHeight="1">
      <c r="BX1051" s="61"/>
      <c r="BY1051" s="61"/>
    </row>
    <row r="1052" spans="76:77" ht="19.899999999999999" customHeight="1">
      <c r="BX1052" s="61"/>
      <c r="BY1052" s="61"/>
    </row>
    <row r="1053" spans="76:77" ht="19.899999999999999" customHeight="1">
      <c r="BX1053" s="61"/>
      <c r="BY1053" s="61"/>
    </row>
    <row r="1054" spans="76:77" ht="19.899999999999999" customHeight="1">
      <c r="BX1054" s="61"/>
      <c r="BY1054" s="61"/>
    </row>
    <row r="1055" spans="76:77" ht="19.899999999999999" customHeight="1">
      <c r="BX1055" s="61"/>
      <c r="BY1055" s="61"/>
    </row>
    <row r="1056" spans="76:77" ht="19.899999999999999" customHeight="1">
      <c r="BX1056" s="61"/>
      <c r="BY1056" s="61"/>
    </row>
    <row r="1057" spans="76:77" ht="19.899999999999999" customHeight="1">
      <c r="BX1057" s="61"/>
      <c r="BY1057" s="61"/>
    </row>
    <row r="1058" spans="76:77" ht="19.899999999999999" customHeight="1">
      <c r="BX1058" s="61"/>
      <c r="BY1058" s="61"/>
    </row>
    <row r="1059" spans="76:77" ht="19.899999999999999" customHeight="1">
      <c r="BX1059" s="61"/>
      <c r="BY1059" s="61"/>
    </row>
    <row r="1060" spans="76:77" ht="19.899999999999999" customHeight="1">
      <c r="BX1060" s="61"/>
      <c r="BY1060" s="61"/>
    </row>
    <row r="1061" spans="76:77" ht="19.899999999999999" customHeight="1">
      <c r="BX1061" s="61"/>
      <c r="BY1061" s="61"/>
    </row>
    <row r="1062" spans="76:77" ht="19.899999999999999" customHeight="1">
      <c r="BX1062" s="61"/>
      <c r="BY1062" s="61"/>
    </row>
    <row r="1063" spans="76:77" ht="19.899999999999999" customHeight="1">
      <c r="BX1063" s="61"/>
      <c r="BY1063" s="61"/>
    </row>
    <row r="1064" spans="76:77" ht="19.899999999999999" customHeight="1">
      <c r="BX1064" s="61"/>
      <c r="BY1064" s="61"/>
    </row>
    <row r="1065" spans="76:77" ht="19.899999999999999" customHeight="1">
      <c r="BX1065" s="61"/>
      <c r="BY1065" s="61"/>
    </row>
    <row r="1066" spans="76:77" ht="19.899999999999999" customHeight="1">
      <c r="BX1066" s="61"/>
      <c r="BY1066" s="61"/>
    </row>
    <row r="1067" spans="76:77" ht="19.899999999999999" customHeight="1">
      <c r="BX1067" s="61"/>
      <c r="BY1067" s="61"/>
    </row>
    <row r="1068" spans="76:77" ht="19.899999999999999" customHeight="1">
      <c r="BX1068" s="61"/>
      <c r="BY1068" s="61"/>
    </row>
    <row r="1069" spans="76:77" ht="19.899999999999999" customHeight="1">
      <c r="BX1069" s="61"/>
      <c r="BY1069" s="61"/>
    </row>
    <row r="1070" spans="76:77" ht="19.899999999999999" customHeight="1">
      <c r="BX1070" s="61"/>
      <c r="BY1070" s="61"/>
    </row>
    <row r="1071" spans="76:77" ht="19.899999999999999" customHeight="1">
      <c r="BX1071" s="61"/>
      <c r="BY1071" s="61"/>
    </row>
    <row r="1072" spans="76:77" ht="19.899999999999999" customHeight="1">
      <c r="BX1072" s="61"/>
      <c r="BY1072" s="61"/>
    </row>
    <row r="1073" spans="76:77" ht="19.899999999999999" customHeight="1">
      <c r="BX1073" s="61"/>
      <c r="BY1073" s="61"/>
    </row>
    <row r="1074" spans="76:77" ht="19.899999999999999" customHeight="1">
      <c r="BX1074" s="61"/>
      <c r="BY1074" s="61"/>
    </row>
    <row r="1075" spans="76:77" ht="19.899999999999999" customHeight="1">
      <c r="BX1075" s="61"/>
      <c r="BY1075" s="61"/>
    </row>
    <row r="1076" spans="76:77" ht="19.899999999999999" customHeight="1">
      <c r="BX1076" s="61"/>
      <c r="BY1076" s="61"/>
    </row>
    <row r="1077" spans="76:77" ht="19.899999999999999" customHeight="1">
      <c r="BX1077" s="61"/>
      <c r="BY1077" s="61"/>
    </row>
    <row r="1078" spans="76:77" ht="19.899999999999999" customHeight="1">
      <c r="BX1078" s="61"/>
      <c r="BY1078" s="61"/>
    </row>
    <row r="1079" spans="76:77" ht="19.899999999999999" customHeight="1">
      <c r="BX1079" s="61"/>
      <c r="BY1079" s="61"/>
    </row>
    <row r="1080" spans="76:77" ht="19.899999999999999" customHeight="1">
      <c r="BX1080" s="61"/>
      <c r="BY1080" s="61"/>
    </row>
    <row r="1081" spans="76:77" ht="19.899999999999999" customHeight="1">
      <c r="BX1081" s="61"/>
      <c r="BY1081" s="61"/>
    </row>
    <row r="1082" spans="76:77" ht="19.899999999999999" customHeight="1">
      <c r="BX1082" s="61"/>
      <c r="BY1082" s="61"/>
    </row>
    <row r="1083" spans="76:77" ht="19.899999999999999" customHeight="1">
      <c r="BX1083" s="61"/>
      <c r="BY1083" s="61"/>
    </row>
    <row r="1084" spans="76:77" ht="19.899999999999999" customHeight="1">
      <c r="BX1084" s="61"/>
      <c r="BY1084" s="61"/>
    </row>
    <row r="1085" spans="76:77" ht="19.899999999999999" customHeight="1">
      <c r="BX1085" s="61"/>
      <c r="BY1085" s="61"/>
    </row>
    <row r="1086" spans="76:77" ht="19.899999999999999" customHeight="1">
      <c r="BX1086" s="61"/>
      <c r="BY1086" s="61"/>
    </row>
    <row r="1087" spans="76:77" ht="19.899999999999999" customHeight="1">
      <c r="BX1087" s="61"/>
      <c r="BY1087" s="61"/>
    </row>
    <row r="1088" spans="76:77" ht="19.899999999999999" customHeight="1">
      <c r="BX1088" s="61"/>
      <c r="BY1088" s="61"/>
    </row>
    <row r="1089" spans="76:77" ht="19.899999999999999" customHeight="1">
      <c r="BX1089" s="61"/>
      <c r="BY1089" s="61"/>
    </row>
    <row r="1090" spans="76:77" ht="19.899999999999999" customHeight="1">
      <c r="BX1090" s="61"/>
      <c r="BY1090" s="61"/>
    </row>
    <row r="1091" spans="76:77" ht="19.899999999999999" customHeight="1">
      <c r="BX1091" s="61"/>
      <c r="BY1091" s="61"/>
    </row>
    <row r="1092" spans="76:77" ht="19.899999999999999" customHeight="1">
      <c r="BX1092" s="61"/>
      <c r="BY1092" s="61"/>
    </row>
    <row r="1093" spans="76:77" ht="19.899999999999999" customHeight="1">
      <c r="BX1093" s="61"/>
      <c r="BY1093" s="61"/>
    </row>
    <row r="1094" spans="76:77" ht="19.899999999999999" customHeight="1">
      <c r="BX1094" s="61"/>
      <c r="BY1094" s="61"/>
    </row>
    <row r="1095" spans="76:77" ht="19.899999999999999" customHeight="1">
      <c r="BX1095" s="61"/>
      <c r="BY1095" s="61"/>
    </row>
    <row r="1096" spans="76:77" ht="19.899999999999999" customHeight="1">
      <c r="BX1096" s="61"/>
      <c r="BY1096" s="61"/>
    </row>
    <row r="1097" spans="76:77" ht="19.899999999999999" customHeight="1">
      <c r="BX1097" s="61"/>
      <c r="BY1097" s="61"/>
    </row>
    <row r="1098" spans="76:77" ht="19.899999999999999" customHeight="1">
      <c r="BX1098" s="61"/>
      <c r="BY1098" s="61"/>
    </row>
    <row r="1099" spans="76:77" ht="19.899999999999999" customHeight="1">
      <c r="BX1099" s="61"/>
      <c r="BY1099" s="61"/>
    </row>
    <row r="1100" spans="76:77" ht="19.899999999999999" customHeight="1">
      <c r="BX1100" s="61"/>
      <c r="BY1100" s="61"/>
    </row>
    <row r="1101" spans="76:77" ht="19.899999999999999" customHeight="1">
      <c r="BX1101" s="61"/>
      <c r="BY1101" s="61"/>
    </row>
    <row r="1102" spans="76:77" ht="19.899999999999999" customHeight="1">
      <c r="BX1102" s="61"/>
      <c r="BY1102" s="61"/>
    </row>
    <row r="1103" spans="76:77" ht="19.899999999999999" customHeight="1">
      <c r="BX1103" s="61"/>
      <c r="BY1103" s="61"/>
    </row>
    <row r="1104" spans="76:77" ht="19.899999999999999" customHeight="1">
      <c r="BX1104" s="61"/>
      <c r="BY1104" s="61"/>
    </row>
    <row r="1105" spans="76:77" ht="19.899999999999999" customHeight="1">
      <c r="BX1105" s="61"/>
      <c r="BY1105" s="61"/>
    </row>
    <row r="1106" spans="76:77" ht="19.899999999999999" customHeight="1">
      <c r="BX1106" s="61"/>
      <c r="BY1106" s="61"/>
    </row>
    <row r="1107" spans="76:77" ht="19.899999999999999" customHeight="1">
      <c r="BX1107" s="61"/>
      <c r="BY1107" s="61"/>
    </row>
    <row r="1108" spans="76:77" ht="19.899999999999999" customHeight="1">
      <c r="BX1108" s="61"/>
      <c r="BY1108" s="61"/>
    </row>
    <row r="1109" spans="76:77" ht="19.899999999999999" customHeight="1">
      <c r="BX1109" s="61"/>
      <c r="BY1109" s="61"/>
    </row>
    <row r="1110" spans="76:77" ht="19.899999999999999" customHeight="1">
      <c r="BX1110" s="61"/>
      <c r="BY1110" s="61"/>
    </row>
    <row r="1111" spans="76:77" ht="19.899999999999999" customHeight="1">
      <c r="BX1111" s="61"/>
      <c r="BY1111" s="61"/>
    </row>
    <row r="1112" spans="76:77" ht="19.899999999999999" customHeight="1">
      <c r="BX1112" s="61"/>
      <c r="BY1112" s="61"/>
    </row>
    <row r="1113" spans="76:77" ht="19.899999999999999" customHeight="1">
      <c r="BX1113" s="61"/>
      <c r="BY1113" s="61"/>
    </row>
    <row r="1114" spans="76:77" ht="19.899999999999999" customHeight="1">
      <c r="BX1114" s="61"/>
      <c r="BY1114" s="61"/>
    </row>
    <row r="1115" spans="76:77" ht="19.899999999999999" customHeight="1">
      <c r="BX1115" s="61"/>
      <c r="BY1115" s="61"/>
    </row>
    <row r="1116" spans="76:77" ht="19.899999999999999" customHeight="1">
      <c r="BX1116" s="61"/>
      <c r="BY1116" s="61"/>
    </row>
    <row r="1117" spans="76:77" ht="19.899999999999999" customHeight="1">
      <c r="BX1117" s="61"/>
      <c r="BY1117" s="61"/>
    </row>
    <row r="1118" spans="76:77" ht="19.899999999999999" customHeight="1">
      <c r="BX1118" s="61"/>
      <c r="BY1118" s="61"/>
    </row>
    <row r="1119" spans="76:77" ht="19.899999999999999" customHeight="1">
      <c r="BX1119" s="61"/>
      <c r="BY1119" s="61"/>
    </row>
    <row r="1120" spans="76:77" ht="19.899999999999999" customHeight="1">
      <c r="BX1120" s="61"/>
      <c r="BY1120" s="61"/>
    </row>
    <row r="1121" spans="76:77" ht="19.899999999999999" customHeight="1">
      <c r="BX1121" s="61"/>
      <c r="BY1121" s="61"/>
    </row>
    <row r="1122" spans="76:77" ht="19.899999999999999" customHeight="1">
      <c r="BX1122" s="61"/>
      <c r="BY1122" s="61"/>
    </row>
    <row r="1123" spans="76:77" ht="19.899999999999999" customHeight="1">
      <c r="BX1123" s="61"/>
      <c r="BY1123" s="61"/>
    </row>
    <row r="1124" spans="76:77" ht="19.899999999999999" customHeight="1">
      <c r="BX1124" s="61"/>
      <c r="BY1124" s="61"/>
    </row>
    <row r="1125" spans="76:77" ht="19.899999999999999" customHeight="1">
      <c r="BX1125" s="61"/>
      <c r="BY1125" s="61"/>
    </row>
    <row r="1126" spans="76:77" ht="19.899999999999999" customHeight="1">
      <c r="BX1126" s="61"/>
      <c r="BY1126" s="61"/>
    </row>
    <row r="1127" spans="76:77" ht="19.899999999999999" customHeight="1">
      <c r="BX1127" s="61"/>
      <c r="BY1127" s="61"/>
    </row>
    <row r="1128" spans="76:77" ht="19.899999999999999" customHeight="1">
      <c r="BX1128" s="61"/>
      <c r="BY1128" s="61"/>
    </row>
    <row r="1129" spans="76:77" ht="19.899999999999999" customHeight="1">
      <c r="BX1129" s="61"/>
      <c r="BY1129" s="61"/>
    </row>
    <row r="1130" spans="76:77" ht="19.899999999999999" customHeight="1">
      <c r="BX1130" s="61"/>
      <c r="BY1130" s="61"/>
    </row>
    <row r="1131" spans="76:77" ht="19.899999999999999" customHeight="1">
      <c r="BX1131" s="61"/>
      <c r="BY1131" s="61"/>
    </row>
    <row r="1132" spans="76:77" ht="19.899999999999999" customHeight="1">
      <c r="BX1132" s="61"/>
      <c r="BY1132" s="61"/>
    </row>
    <row r="1133" spans="76:77" ht="19.899999999999999" customHeight="1">
      <c r="BX1133" s="61"/>
      <c r="BY1133" s="61"/>
    </row>
    <row r="1134" spans="76:77" ht="19.899999999999999" customHeight="1">
      <c r="BX1134" s="61"/>
      <c r="BY1134" s="61"/>
    </row>
    <row r="1135" spans="76:77" ht="19.899999999999999" customHeight="1">
      <c r="BX1135" s="61"/>
      <c r="BY1135" s="61"/>
    </row>
    <row r="1136" spans="76:77" ht="19.899999999999999" customHeight="1">
      <c r="BX1136" s="61"/>
      <c r="BY1136" s="61"/>
    </row>
    <row r="1137" spans="76:77" ht="19.899999999999999" customHeight="1">
      <c r="BX1137" s="61"/>
      <c r="BY1137" s="61"/>
    </row>
    <row r="1138" spans="76:77" ht="19.899999999999999" customHeight="1">
      <c r="BX1138" s="61"/>
      <c r="BY1138" s="61"/>
    </row>
    <row r="1139" spans="76:77" ht="19.899999999999999" customHeight="1">
      <c r="BX1139" s="61"/>
      <c r="BY1139" s="61"/>
    </row>
    <row r="1140" spans="76:77" ht="19.899999999999999" customHeight="1">
      <c r="BX1140" s="61"/>
      <c r="BY1140" s="61"/>
    </row>
    <row r="1141" spans="76:77" ht="19.899999999999999" customHeight="1">
      <c r="BX1141" s="61"/>
      <c r="BY1141" s="61"/>
    </row>
    <row r="1142" spans="76:77" ht="19.899999999999999" customHeight="1">
      <c r="BX1142" s="61"/>
      <c r="BY1142" s="61"/>
    </row>
    <row r="1143" spans="76:77" ht="19.899999999999999" customHeight="1">
      <c r="BX1143" s="61"/>
      <c r="BY1143" s="61"/>
    </row>
    <row r="1144" spans="76:77" ht="19.899999999999999" customHeight="1">
      <c r="BX1144" s="61"/>
      <c r="BY1144" s="61"/>
    </row>
    <row r="1145" spans="76:77" ht="19.899999999999999" customHeight="1">
      <c r="BX1145" s="61"/>
      <c r="BY1145" s="61"/>
    </row>
    <row r="1146" spans="76:77" ht="19.899999999999999" customHeight="1">
      <c r="BX1146" s="61"/>
      <c r="BY1146" s="61"/>
    </row>
    <row r="1147" spans="76:77" ht="19.899999999999999" customHeight="1">
      <c r="BX1147" s="61"/>
      <c r="BY1147" s="61"/>
    </row>
    <row r="1148" spans="76:77" ht="19.899999999999999" customHeight="1">
      <c r="BX1148" s="61"/>
      <c r="BY1148" s="61"/>
    </row>
    <row r="1149" spans="76:77" ht="19.899999999999999" customHeight="1">
      <c r="BX1149" s="61"/>
      <c r="BY1149" s="61"/>
    </row>
    <row r="1150" spans="76:77" ht="19.899999999999999" customHeight="1">
      <c r="BX1150" s="61"/>
      <c r="BY1150" s="61"/>
    </row>
    <row r="1151" spans="76:77" ht="19.899999999999999" customHeight="1">
      <c r="BX1151" s="61"/>
      <c r="BY1151" s="61"/>
    </row>
    <row r="1152" spans="76:77" ht="19.899999999999999" customHeight="1">
      <c r="BX1152" s="61"/>
      <c r="BY1152" s="61"/>
    </row>
    <row r="1153" spans="76:77" ht="19.899999999999999" customHeight="1">
      <c r="BX1153" s="61"/>
      <c r="BY1153" s="61"/>
    </row>
    <row r="1154" spans="76:77" ht="19.899999999999999" customHeight="1">
      <c r="BX1154" s="61"/>
      <c r="BY1154" s="61"/>
    </row>
    <row r="1155" spans="76:77" ht="19.899999999999999" customHeight="1">
      <c r="BX1155" s="61"/>
      <c r="BY1155" s="61"/>
    </row>
    <row r="1156" spans="76:77" ht="19.899999999999999" customHeight="1">
      <c r="BX1156" s="61"/>
      <c r="BY1156" s="61"/>
    </row>
    <row r="1157" spans="76:77" ht="19.899999999999999" customHeight="1">
      <c r="BX1157" s="61"/>
      <c r="BY1157" s="61"/>
    </row>
    <row r="1158" spans="76:77" ht="19.899999999999999" customHeight="1">
      <c r="BX1158" s="61"/>
      <c r="BY1158" s="61"/>
    </row>
    <row r="1159" spans="76:77" ht="19.899999999999999" customHeight="1">
      <c r="BX1159" s="61"/>
      <c r="BY1159" s="61"/>
    </row>
    <row r="1160" spans="76:77" ht="19.899999999999999" customHeight="1">
      <c r="BX1160" s="61"/>
      <c r="BY1160" s="61"/>
    </row>
    <row r="1161" spans="76:77" ht="19.899999999999999" customHeight="1">
      <c r="BX1161" s="61"/>
      <c r="BY1161" s="61"/>
    </row>
    <row r="1162" spans="76:77" ht="19.899999999999999" customHeight="1">
      <c r="BX1162" s="61"/>
      <c r="BY1162" s="61"/>
    </row>
    <row r="1163" spans="76:77" ht="19.899999999999999" customHeight="1">
      <c r="BX1163" s="61"/>
      <c r="BY1163" s="61"/>
    </row>
    <row r="1164" spans="76:77" ht="19.899999999999999" customHeight="1">
      <c r="BX1164" s="61"/>
      <c r="BY1164" s="61"/>
    </row>
    <row r="1165" spans="76:77" ht="19.899999999999999" customHeight="1">
      <c r="BX1165" s="61"/>
      <c r="BY1165" s="61"/>
    </row>
    <row r="1166" spans="76:77" ht="19.899999999999999" customHeight="1">
      <c r="BX1166" s="61"/>
      <c r="BY1166" s="61"/>
    </row>
    <row r="1167" spans="76:77" ht="19.899999999999999" customHeight="1">
      <c r="BX1167" s="61"/>
      <c r="BY1167" s="61"/>
    </row>
    <row r="1168" spans="76:77" ht="19.899999999999999" customHeight="1">
      <c r="BX1168" s="61"/>
      <c r="BY1168" s="61"/>
    </row>
    <row r="1169" spans="76:77" ht="19.899999999999999" customHeight="1">
      <c r="BX1169" s="61"/>
      <c r="BY1169" s="61"/>
    </row>
    <row r="1170" spans="76:77" ht="19.899999999999999" customHeight="1">
      <c r="BX1170" s="61"/>
      <c r="BY1170" s="61"/>
    </row>
    <row r="1171" spans="76:77" ht="19.899999999999999" customHeight="1">
      <c r="BX1171" s="61"/>
      <c r="BY1171" s="61"/>
    </row>
    <row r="1172" spans="76:77" ht="19.899999999999999" customHeight="1">
      <c r="BX1172" s="61"/>
      <c r="BY1172" s="61"/>
    </row>
    <row r="1173" spans="76:77" ht="19.899999999999999" customHeight="1">
      <c r="BX1173" s="61"/>
      <c r="BY1173" s="61"/>
    </row>
    <row r="1174" spans="76:77" ht="19.899999999999999" customHeight="1">
      <c r="BX1174" s="61"/>
      <c r="BY1174" s="61"/>
    </row>
    <row r="1175" spans="76:77" ht="19.899999999999999" customHeight="1">
      <c r="BX1175" s="61"/>
      <c r="BY1175" s="61"/>
    </row>
    <row r="1176" spans="76:77" ht="19.899999999999999" customHeight="1">
      <c r="BX1176" s="61"/>
      <c r="BY1176" s="61"/>
    </row>
    <row r="1177" spans="76:77" ht="19.899999999999999" customHeight="1">
      <c r="BX1177" s="61"/>
      <c r="BY1177" s="61"/>
    </row>
    <row r="1178" spans="76:77" ht="19.899999999999999" customHeight="1">
      <c r="BX1178" s="61"/>
      <c r="BY1178" s="61"/>
    </row>
    <row r="1179" spans="76:77" ht="19.899999999999999" customHeight="1">
      <c r="BX1179" s="61"/>
      <c r="BY1179" s="61"/>
    </row>
    <row r="1180" spans="76:77" ht="19.899999999999999" customHeight="1">
      <c r="BX1180" s="61"/>
      <c r="BY1180" s="61"/>
    </row>
    <row r="1181" spans="76:77" ht="19.899999999999999" customHeight="1">
      <c r="BX1181" s="61"/>
      <c r="BY1181" s="61"/>
    </row>
    <row r="1182" spans="76:77" ht="19.899999999999999" customHeight="1">
      <c r="BX1182" s="61"/>
      <c r="BY1182" s="61"/>
    </row>
    <row r="1183" spans="76:77" ht="19.899999999999999" customHeight="1">
      <c r="BX1183" s="61"/>
      <c r="BY1183" s="61"/>
    </row>
    <row r="1184" spans="76:77" ht="19.899999999999999" customHeight="1">
      <c r="BX1184" s="61"/>
      <c r="BY1184" s="61"/>
    </row>
    <row r="1185" spans="76:77" ht="19.899999999999999" customHeight="1">
      <c r="BX1185" s="61"/>
      <c r="BY1185" s="61"/>
    </row>
    <row r="1186" spans="76:77" ht="19.899999999999999" customHeight="1">
      <c r="BX1186" s="61"/>
      <c r="BY1186" s="61"/>
    </row>
    <row r="1187" spans="76:77" ht="19.899999999999999" customHeight="1">
      <c r="BX1187" s="61"/>
      <c r="BY1187" s="61"/>
    </row>
    <row r="1188" spans="76:77" ht="19.899999999999999" customHeight="1">
      <c r="BX1188" s="61"/>
      <c r="BY1188" s="61"/>
    </row>
    <row r="1189" spans="76:77" ht="19.899999999999999" customHeight="1">
      <c r="BX1189" s="61"/>
      <c r="BY1189" s="61"/>
    </row>
    <row r="1190" spans="76:77" ht="19.899999999999999" customHeight="1">
      <c r="BX1190" s="61"/>
      <c r="BY1190" s="61"/>
    </row>
    <row r="1191" spans="76:77" ht="19.899999999999999" customHeight="1">
      <c r="BX1191" s="61"/>
      <c r="BY1191" s="61"/>
    </row>
    <row r="1192" spans="76:77" ht="19.899999999999999" customHeight="1">
      <c r="BX1192" s="61"/>
      <c r="BY1192" s="61"/>
    </row>
    <row r="1193" spans="76:77" ht="19.899999999999999" customHeight="1">
      <c r="BX1193" s="61"/>
      <c r="BY1193" s="61"/>
    </row>
    <row r="1194" spans="76:77" ht="19.899999999999999" customHeight="1">
      <c r="BX1194" s="61"/>
      <c r="BY1194" s="61"/>
    </row>
    <row r="1195" spans="76:77" ht="19.899999999999999" customHeight="1">
      <c r="BX1195" s="61"/>
      <c r="BY1195" s="61"/>
    </row>
    <row r="1196" spans="76:77" ht="19.899999999999999" customHeight="1">
      <c r="BX1196" s="61"/>
      <c r="BY1196" s="61"/>
    </row>
    <row r="1197" spans="76:77" ht="19.899999999999999" customHeight="1">
      <c r="BX1197" s="61"/>
      <c r="BY1197" s="61"/>
    </row>
    <row r="1198" spans="76:77" ht="19.899999999999999" customHeight="1">
      <c r="BX1198" s="61"/>
      <c r="BY1198" s="61"/>
    </row>
    <row r="1199" spans="76:77" ht="19.899999999999999" customHeight="1">
      <c r="BX1199" s="61"/>
      <c r="BY1199" s="61"/>
    </row>
    <row r="1200" spans="76:77" ht="19.899999999999999" customHeight="1">
      <c r="BX1200" s="61"/>
      <c r="BY1200" s="61"/>
    </row>
    <row r="1201" spans="76:77" ht="19.899999999999999" customHeight="1">
      <c r="BX1201" s="61"/>
      <c r="BY1201" s="61"/>
    </row>
    <row r="1202" spans="76:77" ht="19.899999999999999" customHeight="1">
      <c r="BX1202" s="61"/>
      <c r="BY1202" s="61"/>
    </row>
    <row r="1203" spans="76:77" ht="19.899999999999999" customHeight="1">
      <c r="BX1203" s="61"/>
      <c r="BY1203" s="61"/>
    </row>
    <row r="1204" spans="76:77" ht="19.899999999999999" customHeight="1">
      <c r="BX1204" s="61"/>
      <c r="BY1204" s="61"/>
    </row>
    <row r="1205" spans="76:77" ht="19.899999999999999" customHeight="1">
      <c r="BX1205" s="61"/>
      <c r="BY1205" s="61"/>
    </row>
    <row r="1206" spans="76:77" ht="19.899999999999999" customHeight="1">
      <c r="BX1206" s="61"/>
      <c r="BY1206" s="61"/>
    </row>
    <row r="1207" spans="76:77" ht="19.899999999999999" customHeight="1">
      <c r="BX1207" s="61"/>
      <c r="BY1207" s="61"/>
    </row>
    <row r="1208" spans="76:77" ht="19.899999999999999" customHeight="1">
      <c r="BX1208" s="61"/>
      <c r="BY1208" s="61"/>
    </row>
    <row r="1209" spans="76:77" ht="19.899999999999999" customHeight="1">
      <c r="BX1209" s="61"/>
      <c r="BY1209" s="61"/>
    </row>
    <row r="1210" spans="76:77" ht="19.899999999999999" customHeight="1">
      <c r="BX1210" s="61"/>
      <c r="BY1210" s="61"/>
    </row>
    <row r="1211" spans="76:77" ht="19.899999999999999" customHeight="1">
      <c r="BX1211" s="61"/>
      <c r="BY1211" s="61"/>
    </row>
    <row r="1212" spans="76:77" ht="19.899999999999999" customHeight="1">
      <c r="BX1212" s="61"/>
      <c r="BY1212" s="61"/>
    </row>
    <row r="1213" spans="76:77" ht="19.899999999999999" customHeight="1">
      <c r="BX1213" s="61"/>
      <c r="BY1213" s="61"/>
    </row>
    <row r="1214" spans="76:77" ht="19.899999999999999" customHeight="1">
      <c r="BX1214" s="61"/>
      <c r="BY1214" s="61"/>
    </row>
    <row r="1215" spans="76:77" ht="19.899999999999999" customHeight="1">
      <c r="BX1215" s="61"/>
      <c r="BY1215" s="61"/>
    </row>
    <row r="1216" spans="76:77" ht="19.899999999999999" customHeight="1">
      <c r="BX1216" s="61"/>
      <c r="BY1216" s="61"/>
    </row>
    <row r="1217" spans="76:77" ht="19.899999999999999" customHeight="1">
      <c r="BX1217" s="61"/>
      <c r="BY1217" s="61"/>
    </row>
    <row r="1218" spans="76:77" ht="19.899999999999999" customHeight="1">
      <c r="BX1218" s="61"/>
      <c r="BY1218" s="61"/>
    </row>
    <row r="1219" spans="76:77" ht="19.899999999999999" customHeight="1">
      <c r="BX1219" s="61"/>
      <c r="BY1219" s="61"/>
    </row>
    <row r="1220" spans="76:77" ht="19.899999999999999" customHeight="1">
      <c r="BX1220" s="61"/>
      <c r="BY1220" s="61"/>
    </row>
    <row r="1221" spans="76:77" ht="19.899999999999999" customHeight="1">
      <c r="BX1221" s="61"/>
      <c r="BY1221" s="61"/>
    </row>
    <row r="1222" spans="76:77" ht="19.899999999999999" customHeight="1">
      <c r="BX1222" s="61"/>
      <c r="BY1222" s="61"/>
    </row>
    <row r="1223" spans="76:77" ht="19.899999999999999" customHeight="1">
      <c r="BX1223" s="61"/>
      <c r="BY1223" s="61"/>
    </row>
    <row r="1224" spans="76:77" ht="19.899999999999999" customHeight="1">
      <c r="BX1224" s="61"/>
      <c r="BY1224" s="61"/>
    </row>
    <row r="1225" spans="76:77" ht="19.899999999999999" customHeight="1">
      <c r="BX1225" s="61"/>
      <c r="BY1225" s="61"/>
    </row>
    <row r="1226" spans="76:77" ht="19.899999999999999" customHeight="1">
      <c r="BX1226" s="61"/>
      <c r="BY1226" s="61"/>
    </row>
    <row r="1227" spans="76:77" ht="19.899999999999999" customHeight="1">
      <c r="BX1227" s="61"/>
      <c r="BY1227" s="61"/>
    </row>
    <row r="1228" spans="76:77" ht="19.899999999999999" customHeight="1">
      <c r="BX1228" s="61"/>
      <c r="BY1228" s="61"/>
    </row>
    <row r="1229" spans="76:77" ht="19.899999999999999" customHeight="1">
      <c r="BX1229" s="61"/>
      <c r="BY1229" s="61"/>
    </row>
    <row r="1230" spans="76:77" ht="19.899999999999999" customHeight="1">
      <c r="BX1230" s="61"/>
      <c r="BY1230" s="61"/>
    </row>
    <row r="1231" spans="76:77" ht="19.899999999999999" customHeight="1">
      <c r="BX1231" s="61"/>
      <c r="BY1231" s="61"/>
    </row>
    <row r="1232" spans="76:77" ht="19.899999999999999" customHeight="1">
      <c r="BX1232" s="61"/>
      <c r="BY1232" s="61"/>
    </row>
    <row r="1233" spans="76:77" ht="19.899999999999999" customHeight="1">
      <c r="BX1233" s="61"/>
      <c r="BY1233" s="61"/>
    </row>
    <row r="1234" spans="76:77" ht="19.899999999999999" customHeight="1">
      <c r="BX1234" s="61"/>
      <c r="BY1234" s="61"/>
    </row>
    <row r="1235" spans="76:77" ht="19.899999999999999" customHeight="1">
      <c r="BX1235" s="61"/>
      <c r="BY1235" s="61"/>
    </row>
    <row r="1236" spans="76:77" ht="19.899999999999999" customHeight="1">
      <c r="BX1236" s="61"/>
      <c r="BY1236" s="61"/>
    </row>
    <row r="1237" spans="76:77" ht="19.899999999999999" customHeight="1">
      <c r="BX1237" s="61"/>
      <c r="BY1237" s="61"/>
    </row>
    <row r="1238" spans="76:77" ht="19.899999999999999" customHeight="1">
      <c r="BX1238" s="61"/>
      <c r="BY1238" s="61"/>
    </row>
    <row r="1239" spans="76:77" ht="19.899999999999999" customHeight="1">
      <c r="BX1239" s="61"/>
      <c r="BY1239" s="61"/>
    </row>
    <row r="1240" spans="76:77" ht="19.899999999999999" customHeight="1">
      <c r="BX1240" s="61"/>
      <c r="BY1240" s="61"/>
    </row>
    <row r="1241" spans="76:77" ht="19.899999999999999" customHeight="1">
      <c r="BX1241" s="61"/>
      <c r="BY1241" s="61"/>
    </row>
    <row r="1242" spans="76:77" ht="19.899999999999999" customHeight="1">
      <c r="BX1242" s="61"/>
      <c r="BY1242" s="61"/>
    </row>
    <row r="1243" spans="76:77" ht="19.899999999999999" customHeight="1">
      <c r="BX1243" s="61"/>
      <c r="BY1243" s="61"/>
    </row>
    <row r="1244" spans="76:77" ht="19.899999999999999" customHeight="1">
      <c r="BX1244" s="61"/>
      <c r="BY1244" s="61"/>
    </row>
    <row r="1245" spans="76:77" ht="19.899999999999999" customHeight="1">
      <c r="BX1245" s="61"/>
      <c r="BY1245" s="61"/>
    </row>
    <row r="1246" spans="76:77" ht="19.899999999999999" customHeight="1">
      <c r="BX1246" s="61"/>
      <c r="BY1246" s="61"/>
    </row>
    <row r="1247" spans="76:77" ht="19.899999999999999" customHeight="1">
      <c r="BX1247" s="61"/>
      <c r="BY1247" s="61"/>
    </row>
    <row r="1248" spans="76:77" ht="19.899999999999999" customHeight="1">
      <c r="BX1248" s="61"/>
      <c r="BY1248" s="61"/>
    </row>
    <row r="1249" spans="76:77" ht="19.899999999999999" customHeight="1">
      <c r="BX1249" s="61"/>
      <c r="BY1249" s="61"/>
    </row>
    <row r="1250" spans="76:77" ht="19.899999999999999" customHeight="1">
      <c r="BX1250" s="61"/>
      <c r="BY1250" s="61"/>
    </row>
    <row r="1251" spans="76:77" ht="19.899999999999999" customHeight="1">
      <c r="BX1251" s="61"/>
      <c r="BY1251" s="61"/>
    </row>
    <row r="1252" spans="76:77" ht="19.899999999999999" customHeight="1">
      <c r="BX1252" s="61"/>
      <c r="BY1252" s="61"/>
    </row>
    <row r="1253" spans="76:77" ht="19.899999999999999" customHeight="1">
      <c r="BX1253" s="61"/>
      <c r="BY1253" s="61"/>
    </row>
    <row r="1254" spans="76:77" ht="19.899999999999999" customHeight="1">
      <c r="BX1254" s="61"/>
      <c r="BY1254" s="61"/>
    </row>
    <row r="1255" spans="76:77" ht="19.899999999999999" customHeight="1">
      <c r="BX1255" s="61"/>
      <c r="BY1255" s="61"/>
    </row>
    <row r="1256" spans="76:77" ht="19.899999999999999" customHeight="1">
      <c r="BX1256" s="61"/>
      <c r="BY1256" s="61"/>
    </row>
    <row r="1257" spans="76:77" ht="19.899999999999999" customHeight="1">
      <c r="BX1257" s="61"/>
      <c r="BY1257" s="61"/>
    </row>
    <row r="1258" spans="76:77" ht="19.899999999999999" customHeight="1">
      <c r="BX1258" s="61"/>
      <c r="BY1258" s="61"/>
    </row>
    <row r="1259" spans="76:77" ht="19.899999999999999" customHeight="1">
      <c r="BX1259" s="61"/>
      <c r="BY1259" s="61"/>
    </row>
    <row r="1260" spans="76:77" ht="19.899999999999999" customHeight="1">
      <c r="BX1260" s="61"/>
      <c r="BY1260" s="61"/>
    </row>
    <row r="1261" spans="76:77" ht="19.899999999999999" customHeight="1">
      <c r="BX1261" s="61"/>
      <c r="BY1261" s="61"/>
    </row>
    <row r="1262" spans="76:77" ht="19.899999999999999" customHeight="1">
      <c r="BX1262" s="61"/>
      <c r="BY1262" s="61"/>
    </row>
    <row r="1263" spans="76:77" ht="19.899999999999999" customHeight="1">
      <c r="BX1263" s="61"/>
      <c r="BY1263" s="61"/>
    </row>
    <row r="1264" spans="76:77" ht="19.899999999999999" customHeight="1">
      <c r="BX1264" s="61"/>
      <c r="BY1264" s="61"/>
    </row>
    <row r="1265" spans="76:77" ht="19.899999999999999" customHeight="1">
      <c r="BX1265" s="61"/>
      <c r="BY1265" s="61"/>
    </row>
    <row r="1266" spans="76:77" ht="19.899999999999999" customHeight="1">
      <c r="BX1266" s="61"/>
      <c r="BY1266" s="61"/>
    </row>
    <row r="1267" spans="76:77" ht="19.899999999999999" customHeight="1">
      <c r="BX1267" s="61"/>
      <c r="BY1267" s="61"/>
    </row>
    <row r="1268" spans="76:77" ht="19.899999999999999" customHeight="1">
      <c r="BX1268" s="61"/>
      <c r="BY1268" s="61"/>
    </row>
    <row r="1269" spans="76:77" ht="19.899999999999999" customHeight="1">
      <c r="BX1269" s="61"/>
      <c r="BY1269" s="61"/>
    </row>
    <row r="1270" spans="76:77" ht="19.899999999999999" customHeight="1">
      <c r="BX1270" s="61"/>
      <c r="BY1270" s="61"/>
    </row>
    <row r="1271" spans="76:77" ht="19.899999999999999" customHeight="1">
      <c r="BX1271" s="61"/>
      <c r="BY1271" s="61"/>
    </row>
    <row r="1272" spans="76:77" ht="19.899999999999999" customHeight="1">
      <c r="BX1272" s="61"/>
      <c r="BY1272" s="61"/>
    </row>
    <row r="1273" spans="76:77" ht="19.899999999999999" customHeight="1">
      <c r="BX1273" s="61"/>
      <c r="BY1273" s="61"/>
    </row>
    <row r="1274" spans="76:77" ht="19.899999999999999" customHeight="1">
      <c r="BX1274" s="61"/>
      <c r="BY1274" s="61"/>
    </row>
    <row r="1275" spans="76:77" ht="19.899999999999999" customHeight="1">
      <c r="BX1275" s="61"/>
      <c r="BY1275" s="61"/>
    </row>
    <row r="1276" spans="76:77" ht="19.899999999999999" customHeight="1">
      <c r="BX1276" s="61"/>
      <c r="BY1276" s="61"/>
    </row>
    <row r="1277" spans="76:77" ht="19.899999999999999" customHeight="1">
      <c r="BX1277" s="61"/>
      <c r="BY1277" s="61"/>
    </row>
    <row r="1278" spans="76:77" ht="19.899999999999999" customHeight="1">
      <c r="BX1278" s="61"/>
      <c r="BY1278" s="61"/>
    </row>
    <row r="1279" spans="76:77" ht="19.899999999999999" customHeight="1">
      <c r="BX1279" s="61"/>
      <c r="BY1279" s="61"/>
    </row>
    <row r="1280" spans="76:77" ht="19.899999999999999" customHeight="1">
      <c r="BX1280" s="61"/>
      <c r="BY1280" s="61"/>
    </row>
    <row r="1281" spans="76:77" ht="19.899999999999999" customHeight="1">
      <c r="BX1281" s="61"/>
      <c r="BY1281" s="61"/>
    </row>
    <row r="1282" spans="76:77" ht="19.899999999999999" customHeight="1">
      <c r="BX1282" s="61"/>
      <c r="BY1282" s="61"/>
    </row>
    <row r="1283" spans="76:77" ht="19.899999999999999" customHeight="1">
      <c r="BX1283" s="61"/>
      <c r="BY1283" s="61"/>
    </row>
    <row r="1284" spans="76:77" ht="19.899999999999999" customHeight="1">
      <c r="BX1284" s="61"/>
      <c r="BY1284" s="61"/>
    </row>
    <row r="1285" spans="76:77" ht="19.899999999999999" customHeight="1">
      <c r="BX1285" s="61"/>
      <c r="BY1285" s="61"/>
    </row>
    <row r="1286" spans="76:77" ht="19.899999999999999" customHeight="1">
      <c r="BX1286" s="61"/>
      <c r="BY1286" s="61"/>
    </row>
    <row r="1287" spans="76:77" ht="19.899999999999999" customHeight="1">
      <c r="BX1287" s="61"/>
      <c r="BY1287" s="61"/>
    </row>
    <row r="1288" spans="76:77" ht="19.899999999999999" customHeight="1">
      <c r="BX1288" s="61"/>
      <c r="BY1288" s="61"/>
    </row>
    <row r="1289" spans="76:77" ht="19.899999999999999" customHeight="1">
      <c r="BX1289" s="61"/>
      <c r="BY1289" s="61"/>
    </row>
    <row r="1290" spans="76:77" ht="19.899999999999999" customHeight="1">
      <c r="BX1290" s="61"/>
      <c r="BY1290" s="61"/>
    </row>
    <row r="1291" spans="76:77" ht="19.899999999999999" customHeight="1">
      <c r="BX1291" s="61"/>
      <c r="BY1291" s="61"/>
    </row>
    <row r="1292" spans="76:77" ht="19.899999999999999" customHeight="1">
      <c r="BX1292" s="61"/>
      <c r="BY1292" s="61"/>
    </row>
    <row r="1293" spans="76:77" ht="19.899999999999999" customHeight="1">
      <c r="BX1293" s="61"/>
      <c r="BY1293" s="61"/>
    </row>
    <row r="1294" spans="76:77" ht="19.899999999999999" customHeight="1">
      <c r="BX1294" s="61"/>
      <c r="BY1294" s="61"/>
    </row>
    <row r="1295" spans="76:77" ht="19.899999999999999" customHeight="1">
      <c r="BX1295" s="61"/>
      <c r="BY1295" s="61"/>
    </row>
    <row r="1296" spans="76:77" ht="19.899999999999999" customHeight="1">
      <c r="BX1296" s="61"/>
      <c r="BY1296" s="61"/>
    </row>
    <row r="1297" spans="76:77" ht="19.899999999999999" customHeight="1">
      <c r="BX1297" s="61"/>
      <c r="BY1297" s="61"/>
    </row>
    <row r="1298" spans="76:77" ht="19.899999999999999" customHeight="1">
      <c r="BX1298" s="61"/>
      <c r="BY1298" s="61"/>
    </row>
    <row r="1299" spans="76:77" ht="19.899999999999999" customHeight="1">
      <c r="BX1299" s="61"/>
      <c r="BY1299" s="61"/>
    </row>
    <row r="1300" spans="76:77" ht="19.899999999999999" customHeight="1">
      <c r="BX1300" s="61"/>
      <c r="BY1300" s="61"/>
    </row>
    <row r="1301" spans="76:77" ht="19.899999999999999" customHeight="1">
      <c r="BX1301" s="61"/>
      <c r="BY1301" s="61"/>
    </row>
    <row r="1302" spans="76:77" ht="19.899999999999999" customHeight="1">
      <c r="BX1302" s="61"/>
      <c r="BY1302" s="61"/>
    </row>
    <row r="1303" spans="76:77" ht="19.899999999999999" customHeight="1">
      <c r="BX1303" s="61"/>
      <c r="BY1303" s="61"/>
    </row>
    <row r="1304" spans="76:77" ht="19.899999999999999" customHeight="1">
      <c r="BX1304" s="61"/>
      <c r="BY1304" s="61"/>
    </row>
    <row r="1305" spans="76:77" ht="19.899999999999999" customHeight="1">
      <c r="BX1305" s="61"/>
      <c r="BY1305" s="61"/>
    </row>
    <row r="1306" spans="76:77" ht="19.899999999999999" customHeight="1">
      <c r="BX1306" s="61"/>
      <c r="BY1306" s="61"/>
    </row>
    <row r="1307" spans="76:77" ht="19.899999999999999" customHeight="1">
      <c r="BX1307" s="61"/>
      <c r="BY1307" s="61"/>
    </row>
    <row r="1308" spans="76:77" ht="19.899999999999999" customHeight="1">
      <c r="BX1308" s="61"/>
      <c r="BY1308" s="61"/>
    </row>
    <row r="1309" spans="76:77" ht="19.899999999999999" customHeight="1">
      <c r="BX1309" s="61"/>
      <c r="BY1309" s="61"/>
    </row>
    <row r="1310" spans="76:77" ht="19.899999999999999" customHeight="1">
      <c r="BX1310" s="61"/>
      <c r="BY1310" s="61"/>
    </row>
    <row r="1311" spans="76:77" ht="19.899999999999999" customHeight="1">
      <c r="BX1311" s="61"/>
      <c r="BY1311" s="61"/>
    </row>
    <row r="1312" spans="76:77" ht="19.899999999999999" customHeight="1">
      <c r="BX1312" s="61"/>
      <c r="BY1312" s="61"/>
    </row>
    <row r="1313" spans="76:77" ht="19.899999999999999" customHeight="1">
      <c r="BX1313" s="61"/>
      <c r="BY1313" s="61"/>
    </row>
    <row r="1314" spans="76:77" ht="19.899999999999999" customHeight="1">
      <c r="BX1314" s="61"/>
      <c r="BY1314" s="61"/>
    </row>
    <row r="1315" spans="76:77" ht="19.899999999999999" customHeight="1">
      <c r="BX1315" s="61"/>
      <c r="BY1315" s="61"/>
    </row>
    <row r="1316" spans="76:77" ht="19.899999999999999" customHeight="1">
      <c r="BX1316" s="61"/>
      <c r="BY1316" s="61"/>
    </row>
    <row r="1317" spans="76:77" ht="19.899999999999999" customHeight="1">
      <c r="BX1317" s="61"/>
      <c r="BY1317" s="61"/>
    </row>
    <row r="1318" spans="76:77" ht="19.899999999999999" customHeight="1">
      <c r="BX1318" s="61"/>
      <c r="BY1318" s="61"/>
    </row>
    <row r="1319" spans="76:77" ht="19.899999999999999" customHeight="1">
      <c r="BX1319" s="61"/>
      <c r="BY1319" s="61"/>
    </row>
    <row r="1320" spans="76:77" ht="19.899999999999999" customHeight="1">
      <c r="BX1320" s="61"/>
      <c r="BY1320" s="61"/>
    </row>
    <row r="1321" spans="76:77" ht="19.899999999999999" customHeight="1">
      <c r="BX1321" s="61"/>
      <c r="BY1321" s="61"/>
    </row>
    <row r="1322" spans="76:77" ht="19.899999999999999" customHeight="1">
      <c r="BX1322" s="61"/>
      <c r="BY1322" s="61"/>
    </row>
    <row r="1323" spans="76:77" ht="19.899999999999999" customHeight="1">
      <c r="BX1323" s="61"/>
      <c r="BY1323" s="61"/>
    </row>
    <row r="1324" spans="76:77" ht="19.899999999999999" customHeight="1">
      <c r="BX1324" s="61"/>
      <c r="BY1324" s="61"/>
    </row>
    <row r="1325" spans="76:77" ht="19.899999999999999" customHeight="1">
      <c r="BX1325" s="61"/>
      <c r="BY1325" s="61"/>
    </row>
    <row r="1326" spans="76:77" ht="19.899999999999999" customHeight="1">
      <c r="BX1326" s="61"/>
      <c r="BY1326" s="61"/>
    </row>
    <row r="1327" spans="76:77" ht="19.899999999999999" customHeight="1">
      <c r="BX1327" s="61"/>
      <c r="BY1327" s="61"/>
    </row>
    <row r="1328" spans="76:77" ht="19.899999999999999" customHeight="1">
      <c r="BX1328" s="61"/>
      <c r="BY1328" s="61"/>
    </row>
    <row r="1329" spans="76:77" ht="19.899999999999999" customHeight="1">
      <c r="BX1329" s="61"/>
      <c r="BY1329" s="61"/>
    </row>
    <row r="1330" spans="76:77" ht="19.899999999999999" customHeight="1">
      <c r="BX1330" s="61"/>
      <c r="BY1330" s="61"/>
    </row>
    <row r="1331" spans="76:77" ht="19.899999999999999" customHeight="1">
      <c r="BX1331" s="61"/>
      <c r="BY1331" s="61"/>
    </row>
    <row r="1332" spans="76:77" ht="19.899999999999999" customHeight="1">
      <c r="BX1332" s="61"/>
      <c r="BY1332" s="61"/>
    </row>
    <row r="1333" spans="76:77" ht="19.899999999999999" customHeight="1">
      <c r="BX1333" s="61"/>
      <c r="BY1333" s="61"/>
    </row>
    <row r="1334" spans="76:77" ht="19.899999999999999" customHeight="1">
      <c r="BX1334" s="61"/>
      <c r="BY1334" s="61"/>
    </row>
    <row r="1335" spans="76:77" ht="19.899999999999999" customHeight="1">
      <c r="BX1335" s="61"/>
      <c r="BY1335" s="61"/>
    </row>
    <row r="1336" spans="76:77" ht="19.899999999999999" customHeight="1">
      <c r="BX1336" s="61"/>
      <c r="BY1336" s="61"/>
    </row>
    <row r="1337" spans="76:77" ht="19.899999999999999" customHeight="1">
      <c r="BX1337" s="61"/>
      <c r="BY1337" s="61"/>
    </row>
    <row r="1338" spans="76:77" ht="19.899999999999999" customHeight="1">
      <c r="BX1338" s="61"/>
      <c r="BY1338" s="61"/>
    </row>
    <row r="1339" spans="76:77" ht="19.899999999999999" customHeight="1">
      <c r="BX1339" s="61"/>
      <c r="BY1339" s="61"/>
    </row>
    <row r="1340" spans="76:77" ht="19.899999999999999" customHeight="1">
      <c r="BX1340" s="61"/>
      <c r="BY1340" s="61"/>
    </row>
    <row r="1341" spans="76:77" ht="19.899999999999999" customHeight="1">
      <c r="BX1341" s="61"/>
      <c r="BY1341" s="61"/>
    </row>
    <row r="1342" spans="76:77" ht="19.899999999999999" customHeight="1">
      <c r="BX1342" s="61"/>
      <c r="BY1342" s="61"/>
    </row>
    <row r="1343" spans="76:77" ht="19.899999999999999" customHeight="1">
      <c r="BX1343" s="61"/>
      <c r="BY1343" s="61"/>
    </row>
    <row r="1344" spans="76:77" ht="19.899999999999999" customHeight="1">
      <c r="BX1344" s="61"/>
      <c r="BY1344" s="61"/>
    </row>
    <row r="1345" spans="76:77" ht="19.899999999999999" customHeight="1">
      <c r="BX1345" s="61"/>
      <c r="BY1345" s="61"/>
    </row>
    <row r="1346" spans="76:77" ht="19.899999999999999" customHeight="1">
      <c r="BX1346" s="61"/>
      <c r="BY1346" s="61"/>
    </row>
    <row r="1347" spans="76:77" ht="19.899999999999999" customHeight="1">
      <c r="BX1347" s="61"/>
      <c r="BY1347" s="61"/>
    </row>
    <row r="1348" spans="76:77" ht="19.899999999999999" customHeight="1">
      <c r="BX1348" s="61"/>
      <c r="BY1348" s="61"/>
    </row>
    <row r="1349" spans="76:77" ht="19.899999999999999" customHeight="1">
      <c r="BX1349" s="61"/>
      <c r="BY1349" s="61"/>
    </row>
    <row r="1350" spans="76:77" ht="19.899999999999999" customHeight="1">
      <c r="BX1350" s="61"/>
      <c r="BY1350" s="61"/>
    </row>
    <row r="1351" spans="76:77" ht="19.899999999999999" customHeight="1">
      <c r="BX1351" s="61"/>
      <c r="BY1351" s="61"/>
    </row>
    <row r="1352" spans="76:77" ht="19.899999999999999" customHeight="1">
      <c r="BX1352" s="61"/>
      <c r="BY1352" s="61"/>
    </row>
    <row r="1353" spans="76:77" ht="19.899999999999999" customHeight="1">
      <c r="BX1353" s="61"/>
      <c r="BY1353" s="61"/>
    </row>
    <row r="1354" spans="76:77" ht="19.899999999999999" customHeight="1">
      <c r="BX1354" s="61"/>
      <c r="BY1354" s="61"/>
    </row>
    <row r="1355" spans="76:77" ht="19.899999999999999" customHeight="1">
      <c r="BX1355" s="61"/>
      <c r="BY1355" s="61"/>
    </row>
    <row r="1356" spans="76:77" ht="19.899999999999999" customHeight="1">
      <c r="BX1356" s="61"/>
      <c r="BY1356" s="61"/>
    </row>
    <row r="1357" spans="76:77" ht="19.899999999999999" customHeight="1">
      <c r="BX1357" s="61"/>
      <c r="BY1357" s="61"/>
    </row>
    <row r="1358" spans="76:77" ht="19.899999999999999" customHeight="1">
      <c r="BX1358" s="61"/>
      <c r="BY1358" s="61"/>
    </row>
    <row r="1359" spans="76:77" ht="19.899999999999999" customHeight="1">
      <c r="BX1359" s="61"/>
      <c r="BY1359" s="61"/>
    </row>
    <row r="1360" spans="76:77" ht="19.899999999999999" customHeight="1">
      <c r="BX1360" s="61"/>
      <c r="BY1360" s="61"/>
    </row>
    <row r="1361" spans="76:77" ht="19.899999999999999" customHeight="1">
      <c r="BX1361" s="61"/>
      <c r="BY1361" s="61"/>
    </row>
    <row r="1362" spans="76:77" ht="19.899999999999999" customHeight="1">
      <c r="BX1362" s="61"/>
      <c r="BY1362" s="61"/>
    </row>
    <row r="1363" spans="76:77" ht="19.899999999999999" customHeight="1">
      <c r="BX1363" s="61"/>
      <c r="BY1363" s="61"/>
    </row>
    <row r="1364" spans="76:77" ht="19.899999999999999" customHeight="1">
      <c r="BX1364" s="61"/>
      <c r="BY1364" s="61"/>
    </row>
    <row r="1365" spans="76:77" ht="19.899999999999999" customHeight="1">
      <c r="BX1365" s="61"/>
      <c r="BY1365" s="61"/>
    </row>
    <row r="1366" spans="76:77" ht="19.899999999999999" customHeight="1">
      <c r="BX1366" s="61"/>
      <c r="BY1366" s="61"/>
    </row>
    <row r="1367" spans="76:77" ht="19.899999999999999" customHeight="1">
      <c r="BX1367" s="61"/>
      <c r="BY1367" s="61"/>
    </row>
    <row r="1368" spans="76:77" ht="19.899999999999999" customHeight="1">
      <c r="BX1368" s="61"/>
      <c r="BY1368" s="61"/>
    </row>
    <row r="1369" spans="76:77" ht="19.899999999999999" customHeight="1">
      <c r="BX1369" s="61"/>
      <c r="BY1369" s="61"/>
    </row>
    <row r="1370" spans="76:77" ht="19.899999999999999" customHeight="1">
      <c r="BX1370" s="61"/>
      <c r="BY1370" s="61"/>
    </row>
    <row r="1371" spans="76:77" ht="19.899999999999999" customHeight="1">
      <c r="BX1371" s="61"/>
      <c r="BY1371" s="61"/>
    </row>
    <row r="1372" spans="76:77" ht="19.899999999999999" customHeight="1">
      <c r="BX1372" s="61"/>
      <c r="BY1372" s="61"/>
    </row>
    <row r="1373" spans="76:77" ht="19.899999999999999" customHeight="1">
      <c r="BX1373" s="61"/>
      <c r="BY1373" s="61"/>
    </row>
    <row r="1374" spans="76:77" ht="19.899999999999999" customHeight="1">
      <c r="BX1374" s="61"/>
      <c r="BY1374" s="61"/>
    </row>
    <row r="1375" spans="76:77" ht="19.899999999999999" customHeight="1">
      <c r="BX1375" s="61"/>
      <c r="BY1375" s="61"/>
    </row>
    <row r="1376" spans="76:77" ht="19.899999999999999" customHeight="1">
      <c r="BX1376" s="61"/>
      <c r="BY1376" s="61"/>
    </row>
    <row r="1377" spans="76:77" ht="19.899999999999999" customHeight="1">
      <c r="BX1377" s="61"/>
      <c r="BY1377" s="61"/>
    </row>
    <row r="1378" spans="76:77" ht="19.899999999999999" customHeight="1">
      <c r="BX1378" s="61"/>
      <c r="BY1378" s="61"/>
    </row>
    <row r="1379" spans="76:77" ht="19.899999999999999" customHeight="1">
      <c r="BX1379" s="61"/>
      <c r="BY1379" s="61"/>
    </row>
    <row r="1380" spans="76:77" ht="19.899999999999999" customHeight="1">
      <c r="BX1380" s="61"/>
      <c r="BY1380" s="61"/>
    </row>
    <row r="1381" spans="76:77" ht="19.899999999999999" customHeight="1">
      <c r="BX1381" s="61"/>
      <c r="BY1381" s="61"/>
    </row>
    <row r="1382" spans="76:77" ht="19.899999999999999" customHeight="1">
      <c r="BX1382" s="61"/>
      <c r="BY1382" s="61"/>
    </row>
    <row r="1383" spans="76:77" ht="19.899999999999999" customHeight="1">
      <c r="BX1383" s="61"/>
      <c r="BY1383" s="61"/>
    </row>
    <row r="1384" spans="76:77" ht="19.899999999999999" customHeight="1">
      <c r="BX1384" s="61"/>
      <c r="BY1384" s="61"/>
    </row>
    <row r="1385" spans="76:77" ht="19.899999999999999" customHeight="1">
      <c r="BX1385" s="61"/>
      <c r="BY1385" s="61"/>
    </row>
    <row r="1386" spans="76:77" ht="19.899999999999999" customHeight="1">
      <c r="BX1386" s="61"/>
      <c r="BY1386" s="61"/>
    </row>
    <row r="1387" spans="76:77" ht="19.899999999999999" customHeight="1">
      <c r="BX1387" s="61"/>
      <c r="BY1387" s="61"/>
    </row>
    <row r="1388" spans="76:77" ht="19.899999999999999" customHeight="1">
      <c r="BX1388" s="61"/>
      <c r="BY1388" s="61"/>
    </row>
    <row r="1389" spans="76:77" ht="19.899999999999999" customHeight="1">
      <c r="BX1389" s="61"/>
      <c r="BY1389" s="61"/>
    </row>
    <row r="1390" spans="76:77" ht="19.899999999999999" customHeight="1">
      <c r="BX1390" s="61"/>
      <c r="BY1390" s="61"/>
    </row>
    <row r="1391" spans="76:77" ht="19.899999999999999" customHeight="1">
      <c r="BX1391" s="61"/>
      <c r="BY1391" s="61"/>
    </row>
    <row r="1392" spans="76:77" ht="19.899999999999999" customHeight="1">
      <c r="BX1392" s="61"/>
      <c r="BY1392" s="61"/>
    </row>
    <row r="1393" spans="76:77" ht="19.899999999999999" customHeight="1">
      <c r="BX1393" s="61"/>
      <c r="BY1393" s="61"/>
    </row>
    <row r="1394" spans="76:77" ht="19.899999999999999" customHeight="1">
      <c r="BX1394" s="61"/>
      <c r="BY1394" s="61"/>
    </row>
    <row r="1395" spans="76:77" ht="19.899999999999999" customHeight="1">
      <c r="BX1395" s="61"/>
      <c r="BY1395" s="61"/>
    </row>
    <row r="1396" spans="76:77" ht="19.899999999999999" customHeight="1">
      <c r="BX1396" s="61"/>
      <c r="BY1396" s="61"/>
    </row>
    <row r="1397" spans="76:77" ht="19.899999999999999" customHeight="1">
      <c r="BX1397" s="61"/>
      <c r="BY1397" s="61"/>
    </row>
    <row r="1398" spans="76:77" ht="19.899999999999999" customHeight="1">
      <c r="BX1398" s="61"/>
      <c r="BY1398" s="61"/>
    </row>
    <row r="1399" spans="76:77" ht="19.899999999999999" customHeight="1">
      <c r="BX1399" s="61"/>
      <c r="BY1399" s="61"/>
    </row>
    <row r="1400" spans="76:77" ht="19.899999999999999" customHeight="1">
      <c r="BX1400" s="61"/>
      <c r="BY1400" s="61"/>
    </row>
    <row r="1401" spans="76:77" ht="19.899999999999999" customHeight="1">
      <c r="BX1401" s="61"/>
      <c r="BY1401" s="61"/>
    </row>
    <row r="1402" spans="76:77" ht="19.899999999999999" customHeight="1">
      <c r="BX1402" s="61"/>
      <c r="BY1402" s="61"/>
    </row>
    <row r="1403" spans="76:77" ht="19.899999999999999" customHeight="1">
      <c r="BX1403" s="61"/>
      <c r="BY1403" s="61"/>
    </row>
    <row r="1404" spans="76:77" ht="19.899999999999999" customHeight="1">
      <c r="BX1404" s="61"/>
      <c r="BY1404" s="61"/>
    </row>
    <row r="1405" spans="76:77" ht="19.899999999999999" customHeight="1">
      <c r="BX1405" s="61"/>
      <c r="BY1405" s="61"/>
    </row>
    <row r="1406" spans="76:77" ht="19.899999999999999" customHeight="1">
      <c r="BX1406" s="61"/>
      <c r="BY1406" s="61"/>
    </row>
    <row r="1407" spans="76:77" ht="19.899999999999999" customHeight="1">
      <c r="BX1407" s="61"/>
      <c r="BY1407" s="61"/>
    </row>
    <row r="1408" spans="76:77" ht="19.899999999999999" customHeight="1">
      <c r="BX1408" s="61"/>
      <c r="BY1408" s="61"/>
    </row>
    <row r="1409" spans="76:77" ht="19.899999999999999" customHeight="1">
      <c r="BX1409" s="61"/>
      <c r="BY1409" s="61"/>
    </row>
    <row r="1410" spans="76:77" ht="19.899999999999999" customHeight="1">
      <c r="BX1410" s="61"/>
      <c r="BY1410" s="61"/>
    </row>
    <row r="1411" spans="76:77" ht="19.899999999999999" customHeight="1">
      <c r="BX1411" s="61"/>
      <c r="BY1411" s="61"/>
    </row>
    <row r="1412" spans="76:77" ht="19.899999999999999" customHeight="1">
      <c r="BX1412" s="61"/>
      <c r="BY1412" s="61"/>
    </row>
    <row r="1413" spans="76:77" ht="19.899999999999999" customHeight="1">
      <c r="BX1413" s="61"/>
      <c r="BY1413" s="61"/>
    </row>
    <row r="1414" spans="76:77" ht="19.899999999999999" customHeight="1">
      <c r="BX1414" s="61"/>
      <c r="BY1414" s="61"/>
    </row>
    <row r="1415" spans="76:77" ht="19.899999999999999" customHeight="1">
      <c r="BX1415" s="61"/>
      <c r="BY1415" s="61"/>
    </row>
    <row r="1416" spans="76:77" ht="19.899999999999999" customHeight="1">
      <c r="BX1416" s="61"/>
      <c r="BY1416" s="61"/>
    </row>
    <row r="1417" spans="76:77" ht="19.899999999999999" customHeight="1">
      <c r="BX1417" s="61"/>
      <c r="BY1417" s="61"/>
    </row>
    <row r="1418" spans="76:77" ht="19.899999999999999" customHeight="1">
      <c r="BX1418" s="61"/>
      <c r="BY1418" s="61"/>
    </row>
    <row r="1419" spans="76:77" ht="19.899999999999999" customHeight="1">
      <c r="BX1419" s="61"/>
      <c r="BY1419" s="61"/>
    </row>
    <row r="1420" spans="76:77" ht="19.899999999999999" customHeight="1">
      <c r="BX1420" s="61"/>
      <c r="BY1420" s="61"/>
    </row>
    <row r="1421" spans="76:77" ht="19.899999999999999" customHeight="1">
      <c r="BX1421" s="61"/>
      <c r="BY1421" s="61"/>
    </row>
    <row r="1422" spans="76:77" ht="19.899999999999999" customHeight="1">
      <c r="BX1422" s="61"/>
      <c r="BY1422" s="61"/>
    </row>
    <row r="1423" spans="76:77" ht="19.899999999999999" customHeight="1">
      <c r="BX1423" s="61"/>
      <c r="BY1423" s="61"/>
    </row>
    <row r="1424" spans="76:77" ht="19.899999999999999" customHeight="1">
      <c r="BX1424" s="61"/>
      <c r="BY1424" s="61"/>
    </row>
    <row r="1425" spans="76:77" ht="19.899999999999999" customHeight="1">
      <c r="BX1425" s="61"/>
      <c r="BY1425" s="61"/>
    </row>
    <row r="1426" spans="76:77" ht="19.899999999999999" customHeight="1">
      <c r="BX1426" s="61"/>
      <c r="BY1426" s="61"/>
    </row>
    <row r="1427" spans="76:77" ht="19.899999999999999" customHeight="1">
      <c r="BX1427" s="61"/>
      <c r="BY1427" s="61"/>
    </row>
    <row r="1428" spans="76:77" ht="19.899999999999999" customHeight="1">
      <c r="BX1428" s="61"/>
      <c r="BY1428" s="61"/>
    </row>
    <row r="1429" spans="76:77" ht="19.899999999999999" customHeight="1">
      <c r="BX1429" s="61"/>
      <c r="BY1429" s="61"/>
    </row>
    <row r="1430" spans="76:77" ht="19.899999999999999" customHeight="1">
      <c r="BX1430" s="61"/>
      <c r="BY1430" s="61"/>
    </row>
    <row r="1431" spans="76:77" ht="19.899999999999999" customHeight="1">
      <c r="BX1431" s="61"/>
      <c r="BY1431" s="61"/>
    </row>
    <row r="1432" spans="76:77" ht="19.899999999999999" customHeight="1">
      <c r="BX1432" s="61"/>
      <c r="BY1432" s="61"/>
    </row>
    <row r="1433" spans="76:77" ht="19.899999999999999" customHeight="1">
      <c r="BX1433" s="61"/>
      <c r="BY1433" s="61"/>
    </row>
    <row r="1434" spans="76:77" ht="19.899999999999999" customHeight="1">
      <c r="BX1434" s="61"/>
      <c r="BY1434" s="61"/>
    </row>
    <row r="1435" spans="76:77" ht="19.899999999999999" customHeight="1">
      <c r="BX1435" s="61"/>
      <c r="BY1435" s="61"/>
    </row>
    <row r="1436" spans="76:77" ht="19.899999999999999" customHeight="1">
      <c r="BX1436" s="61"/>
      <c r="BY1436" s="61"/>
    </row>
    <row r="1437" spans="76:77" ht="19.899999999999999" customHeight="1">
      <c r="BX1437" s="61"/>
      <c r="BY1437" s="61"/>
    </row>
    <row r="1438" spans="76:77" ht="19.899999999999999" customHeight="1">
      <c r="BX1438" s="61"/>
      <c r="BY1438" s="61"/>
    </row>
    <row r="1439" spans="76:77" ht="19.899999999999999" customHeight="1">
      <c r="BX1439" s="61"/>
      <c r="BY1439" s="61"/>
    </row>
    <row r="1440" spans="76:77" ht="19.899999999999999" customHeight="1">
      <c r="BX1440" s="61"/>
      <c r="BY1440" s="61"/>
    </row>
    <row r="1441" spans="76:77" ht="19.899999999999999" customHeight="1">
      <c r="BX1441" s="61"/>
      <c r="BY1441" s="61"/>
    </row>
    <row r="1442" spans="76:77" ht="19.899999999999999" customHeight="1">
      <c r="BX1442" s="61"/>
      <c r="BY1442" s="61"/>
    </row>
    <row r="1443" spans="76:77" ht="19.899999999999999" customHeight="1">
      <c r="BX1443" s="61"/>
      <c r="BY1443" s="61"/>
    </row>
    <row r="1444" spans="76:77" ht="19.899999999999999" customHeight="1">
      <c r="BX1444" s="61"/>
      <c r="BY1444" s="61"/>
    </row>
    <row r="1445" spans="76:77" ht="19.899999999999999" customHeight="1">
      <c r="BX1445" s="61"/>
      <c r="BY1445" s="61"/>
    </row>
    <row r="1446" spans="76:77" ht="19.899999999999999" customHeight="1">
      <c r="BX1446" s="61"/>
      <c r="BY1446" s="61"/>
    </row>
    <row r="1447" spans="76:77" ht="19.899999999999999" customHeight="1">
      <c r="BX1447" s="61"/>
      <c r="BY1447" s="61"/>
    </row>
    <row r="1448" spans="76:77" ht="19.899999999999999" customHeight="1">
      <c r="BX1448" s="61"/>
      <c r="BY1448" s="61"/>
    </row>
    <row r="1449" spans="76:77" ht="19.899999999999999" customHeight="1">
      <c r="BX1449" s="61"/>
      <c r="BY1449" s="61"/>
    </row>
    <row r="1450" spans="76:77" ht="19.899999999999999" customHeight="1">
      <c r="BX1450" s="61"/>
      <c r="BY1450" s="61"/>
    </row>
    <row r="1451" spans="76:77" ht="19.899999999999999" customHeight="1">
      <c r="BX1451" s="61"/>
      <c r="BY1451" s="61"/>
    </row>
    <row r="1452" spans="76:77" ht="19.899999999999999" customHeight="1">
      <c r="BX1452" s="61"/>
      <c r="BY1452" s="61"/>
    </row>
    <row r="1453" spans="76:77" ht="19.899999999999999" customHeight="1">
      <c r="BX1453" s="61"/>
      <c r="BY1453" s="61"/>
    </row>
    <row r="1454" spans="76:77" ht="19.899999999999999" customHeight="1">
      <c r="BX1454" s="61"/>
      <c r="BY1454" s="61"/>
    </row>
    <row r="1455" spans="76:77" ht="19.899999999999999" customHeight="1">
      <c r="BX1455" s="61"/>
      <c r="BY1455" s="61"/>
    </row>
    <row r="1456" spans="76:77" ht="19.899999999999999" customHeight="1">
      <c r="BX1456" s="61"/>
      <c r="BY1456" s="61"/>
    </row>
    <row r="1457" spans="76:77" ht="19.899999999999999" customHeight="1">
      <c r="BX1457" s="61"/>
      <c r="BY1457" s="61"/>
    </row>
    <row r="1458" spans="76:77" ht="19.899999999999999" customHeight="1">
      <c r="BX1458" s="61"/>
      <c r="BY1458" s="61"/>
    </row>
    <row r="1459" spans="76:77" ht="19.899999999999999" customHeight="1">
      <c r="BX1459" s="61"/>
      <c r="BY1459" s="61"/>
    </row>
    <row r="1460" spans="76:77" ht="19.899999999999999" customHeight="1">
      <c r="BX1460" s="61"/>
      <c r="BY1460" s="61"/>
    </row>
    <row r="1461" spans="76:77" ht="19.899999999999999" customHeight="1">
      <c r="BX1461" s="61"/>
      <c r="BY1461" s="61"/>
    </row>
    <row r="1462" spans="76:77" ht="19.899999999999999" customHeight="1">
      <c r="BX1462" s="61"/>
      <c r="BY1462" s="61"/>
    </row>
    <row r="1463" spans="76:77" ht="19.899999999999999" customHeight="1">
      <c r="BX1463" s="61"/>
      <c r="BY1463" s="61"/>
    </row>
    <row r="1464" spans="76:77" ht="19.899999999999999" customHeight="1">
      <c r="BX1464" s="61"/>
      <c r="BY1464" s="61"/>
    </row>
    <row r="1465" spans="76:77" ht="19.899999999999999" customHeight="1">
      <c r="BX1465" s="61"/>
      <c r="BY1465" s="61"/>
    </row>
    <row r="1466" spans="76:77" ht="19.899999999999999" customHeight="1">
      <c r="BX1466" s="61"/>
      <c r="BY1466" s="61"/>
    </row>
    <row r="1467" spans="76:77" ht="19.899999999999999" customHeight="1">
      <c r="BX1467" s="61"/>
      <c r="BY1467" s="61"/>
    </row>
    <row r="1468" spans="76:77" ht="19.899999999999999" customHeight="1">
      <c r="BX1468" s="61"/>
      <c r="BY1468" s="61"/>
    </row>
    <row r="1469" spans="76:77" ht="19.899999999999999" customHeight="1">
      <c r="BX1469" s="61"/>
      <c r="BY1469" s="61"/>
    </row>
    <row r="1470" spans="76:77" ht="19.899999999999999" customHeight="1">
      <c r="BX1470" s="61"/>
      <c r="BY1470" s="61"/>
    </row>
    <row r="1471" spans="76:77" ht="19.899999999999999" customHeight="1">
      <c r="BX1471" s="61"/>
      <c r="BY1471" s="61"/>
    </row>
    <row r="1472" spans="76:77" ht="19.899999999999999" customHeight="1">
      <c r="BX1472" s="61"/>
      <c r="BY1472" s="61"/>
    </row>
    <row r="1473" spans="76:77" ht="19.899999999999999" customHeight="1">
      <c r="BX1473" s="61"/>
      <c r="BY1473" s="61"/>
    </row>
    <row r="1474" spans="76:77" ht="19.899999999999999" customHeight="1">
      <c r="BX1474" s="61"/>
      <c r="BY1474" s="61"/>
    </row>
    <row r="1475" spans="76:77" ht="19.899999999999999" customHeight="1">
      <c r="BX1475" s="61"/>
      <c r="BY1475" s="61"/>
    </row>
    <row r="1476" spans="76:77" ht="19.899999999999999" customHeight="1">
      <c r="BX1476" s="61"/>
      <c r="BY1476" s="61"/>
    </row>
    <row r="1477" spans="76:77" ht="19.899999999999999" customHeight="1">
      <c r="BX1477" s="61"/>
      <c r="BY1477" s="61"/>
    </row>
    <row r="1478" spans="76:77" ht="19.899999999999999" customHeight="1">
      <c r="BX1478" s="61"/>
      <c r="BY1478" s="61"/>
    </row>
    <row r="1479" spans="76:77" ht="19.899999999999999" customHeight="1">
      <c r="BX1479" s="61"/>
      <c r="BY1479" s="61"/>
    </row>
    <row r="1480" spans="76:77" ht="19.899999999999999" customHeight="1">
      <c r="BX1480" s="61"/>
      <c r="BY1480" s="61"/>
    </row>
    <row r="1481" spans="76:77" ht="19.899999999999999" customHeight="1">
      <c r="BX1481" s="61"/>
      <c r="BY1481" s="61"/>
    </row>
    <row r="1482" spans="76:77" ht="19.899999999999999" customHeight="1">
      <c r="BX1482" s="61"/>
      <c r="BY1482" s="61"/>
    </row>
    <row r="1483" spans="76:77" ht="19.899999999999999" customHeight="1">
      <c r="BX1483" s="61"/>
      <c r="BY1483" s="61"/>
    </row>
    <row r="1484" spans="76:77" ht="19.899999999999999" customHeight="1">
      <c r="BX1484" s="61"/>
      <c r="BY1484" s="61"/>
    </row>
    <row r="1485" spans="76:77" ht="19.899999999999999" customHeight="1">
      <c r="BX1485" s="61"/>
      <c r="BY1485" s="61"/>
    </row>
    <row r="1486" spans="76:77" ht="19.899999999999999" customHeight="1">
      <c r="BX1486" s="61"/>
      <c r="BY1486" s="61"/>
    </row>
    <row r="1487" spans="76:77" ht="19.899999999999999" customHeight="1">
      <c r="BX1487" s="61"/>
      <c r="BY1487" s="61"/>
    </row>
    <row r="1488" spans="76:77" ht="19.899999999999999" customHeight="1">
      <c r="BX1488" s="61"/>
      <c r="BY1488" s="61"/>
    </row>
    <row r="1489" spans="76:77" ht="19.899999999999999" customHeight="1">
      <c r="BX1489" s="61"/>
      <c r="BY1489" s="61"/>
    </row>
    <row r="1490" spans="76:77" ht="19.899999999999999" customHeight="1">
      <c r="BX1490" s="61"/>
      <c r="BY1490" s="61"/>
    </row>
    <row r="1491" spans="76:77" ht="19.899999999999999" customHeight="1">
      <c r="BX1491" s="61"/>
      <c r="BY1491" s="61"/>
    </row>
    <row r="1492" spans="76:77" ht="19.899999999999999" customHeight="1">
      <c r="BX1492" s="61"/>
      <c r="BY1492" s="61"/>
    </row>
    <row r="1493" spans="76:77" ht="19.899999999999999" customHeight="1">
      <c r="BX1493" s="61"/>
      <c r="BY1493" s="61"/>
    </row>
    <row r="1494" spans="76:77" ht="19.899999999999999" customHeight="1">
      <c r="BX1494" s="61"/>
      <c r="BY1494" s="61"/>
    </row>
    <row r="1495" spans="76:77" ht="19.899999999999999" customHeight="1">
      <c r="BX1495" s="61"/>
      <c r="BY1495" s="61"/>
    </row>
    <row r="1496" spans="76:77" ht="19.899999999999999" customHeight="1">
      <c r="BX1496" s="61"/>
      <c r="BY1496" s="61"/>
    </row>
    <row r="1497" spans="76:77" ht="19.899999999999999" customHeight="1">
      <c r="BX1497" s="61"/>
      <c r="BY1497" s="61"/>
    </row>
    <row r="1498" spans="76:77" ht="19.899999999999999" customHeight="1">
      <c r="BX1498" s="61"/>
      <c r="BY1498" s="61"/>
    </row>
    <row r="1499" spans="76:77" ht="19.899999999999999" customHeight="1">
      <c r="BX1499" s="61"/>
      <c r="BY1499" s="61"/>
    </row>
    <row r="1500" spans="76:77" ht="19.899999999999999" customHeight="1">
      <c r="BX1500" s="61"/>
      <c r="BY1500" s="61"/>
    </row>
    <row r="1501" spans="76:77" ht="19.899999999999999" customHeight="1">
      <c r="BX1501" s="61"/>
      <c r="BY1501" s="61"/>
    </row>
    <row r="1502" spans="76:77" ht="19.899999999999999" customHeight="1">
      <c r="BX1502" s="61"/>
      <c r="BY1502" s="61"/>
    </row>
    <row r="1503" spans="76:77" ht="19.899999999999999" customHeight="1">
      <c r="BX1503" s="61"/>
      <c r="BY1503" s="61"/>
    </row>
    <row r="1504" spans="76:77" ht="19.899999999999999" customHeight="1">
      <c r="BX1504" s="61"/>
      <c r="BY1504" s="61"/>
    </row>
    <row r="1505" spans="76:77" ht="19.899999999999999" customHeight="1">
      <c r="BX1505" s="61"/>
      <c r="BY1505" s="61"/>
    </row>
    <row r="1506" spans="76:77" ht="19.899999999999999" customHeight="1">
      <c r="BX1506" s="61"/>
      <c r="BY1506" s="61"/>
    </row>
    <row r="1507" spans="76:77" ht="19.899999999999999" customHeight="1">
      <c r="BX1507" s="61"/>
      <c r="BY1507" s="61"/>
    </row>
    <row r="1508" spans="76:77" ht="19.899999999999999" customHeight="1">
      <c r="BX1508" s="61"/>
      <c r="BY1508" s="61"/>
    </row>
    <row r="1509" spans="76:77" ht="19.899999999999999" customHeight="1">
      <c r="BX1509" s="61"/>
      <c r="BY1509" s="61"/>
    </row>
    <row r="1510" spans="76:77" ht="19.899999999999999" customHeight="1">
      <c r="BX1510" s="61"/>
      <c r="BY1510" s="61"/>
    </row>
    <row r="1511" spans="76:77" ht="19.899999999999999" customHeight="1">
      <c r="BX1511" s="61"/>
      <c r="BY1511" s="61"/>
    </row>
    <row r="1512" spans="76:77" ht="19.899999999999999" customHeight="1">
      <c r="BX1512" s="61"/>
      <c r="BY1512" s="61"/>
    </row>
    <row r="1513" spans="76:77" ht="19.899999999999999" customHeight="1">
      <c r="BX1513" s="61"/>
      <c r="BY1513" s="61"/>
    </row>
    <row r="1514" spans="76:77" ht="19.899999999999999" customHeight="1">
      <c r="BX1514" s="61"/>
      <c r="BY1514" s="61"/>
    </row>
    <row r="1515" spans="76:77" ht="19.899999999999999" customHeight="1">
      <c r="BX1515" s="61"/>
      <c r="BY1515" s="61"/>
    </row>
    <row r="1516" spans="76:77" ht="19.899999999999999" customHeight="1">
      <c r="BX1516" s="61"/>
      <c r="BY1516" s="61"/>
    </row>
    <row r="1517" spans="76:77" ht="19.899999999999999" customHeight="1">
      <c r="BX1517" s="61"/>
      <c r="BY1517" s="61"/>
    </row>
    <row r="1518" spans="76:77" ht="19.899999999999999" customHeight="1">
      <c r="BX1518" s="61"/>
      <c r="BY1518" s="61"/>
    </row>
    <row r="1519" spans="76:77" ht="19.899999999999999" customHeight="1">
      <c r="BX1519" s="61"/>
      <c r="BY1519" s="61"/>
    </row>
    <row r="1520" spans="76:77" ht="19.899999999999999" customHeight="1">
      <c r="BX1520" s="61"/>
      <c r="BY1520" s="61"/>
    </row>
    <row r="1521" spans="76:77" ht="19.899999999999999" customHeight="1">
      <c r="BX1521" s="61"/>
      <c r="BY1521" s="61"/>
    </row>
    <row r="1522" spans="76:77" ht="19.899999999999999" customHeight="1">
      <c r="BX1522" s="61"/>
      <c r="BY1522" s="61"/>
    </row>
    <row r="1523" spans="76:77" ht="19.899999999999999" customHeight="1">
      <c r="BX1523" s="61"/>
      <c r="BY1523" s="61"/>
    </row>
    <row r="1524" spans="76:77" ht="19.899999999999999" customHeight="1">
      <c r="BX1524" s="61"/>
      <c r="BY1524" s="61"/>
    </row>
    <row r="1525" spans="76:77" ht="19.899999999999999" customHeight="1">
      <c r="BX1525" s="61"/>
      <c r="BY1525" s="61"/>
    </row>
    <row r="1526" spans="76:77" ht="19.899999999999999" customHeight="1">
      <c r="BX1526" s="61"/>
      <c r="BY1526" s="61"/>
    </row>
    <row r="1527" spans="76:77" ht="19.899999999999999" customHeight="1">
      <c r="BX1527" s="61"/>
      <c r="BY1527" s="61"/>
    </row>
    <row r="1528" spans="76:77" ht="19.899999999999999" customHeight="1">
      <c r="BX1528" s="61"/>
      <c r="BY1528" s="61"/>
    </row>
    <row r="1529" spans="76:77" ht="19.899999999999999" customHeight="1">
      <c r="BX1529" s="61"/>
      <c r="BY1529" s="61"/>
    </row>
    <row r="1530" spans="76:77" ht="19.899999999999999" customHeight="1">
      <c r="BX1530" s="61"/>
      <c r="BY1530" s="61"/>
    </row>
    <row r="1531" spans="76:77" ht="19.899999999999999" customHeight="1">
      <c r="BX1531" s="61"/>
      <c r="BY1531" s="61"/>
    </row>
    <row r="1532" spans="76:77" ht="19.899999999999999" customHeight="1">
      <c r="BX1532" s="61"/>
      <c r="BY1532" s="61"/>
    </row>
    <row r="1533" spans="76:77" ht="19.899999999999999" customHeight="1">
      <c r="BX1533" s="61"/>
      <c r="BY1533" s="61"/>
    </row>
    <row r="1534" spans="76:77" ht="19.899999999999999" customHeight="1">
      <c r="BX1534" s="61"/>
      <c r="BY1534" s="61"/>
    </row>
    <row r="1535" spans="76:77" ht="19.899999999999999" customHeight="1">
      <c r="BX1535" s="61"/>
      <c r="BY1535" s="61"/>
    </row>
    <row r="1536" spans="76:77" ht="19.899999999999999" customHeight="1">
      <c r="BX1536" s="61"/>
      <c r="BY1536" s="61"/>
    </row>
    <row r="1537" spans="76:77" ht="19.899999999999999" customHeight="1">
      <c r="BX1537" s="61"/>
      <c r="BY1537" s="61"/>
    </row>
    <row r="1538" spans="76:77" ht="19.899999999999999" customHeight="1">
      <c r="BX1538" s="61"/>
      <c r="BY1538" s="61"/>
    </row>
    <row r="1539" spans="76:77" ht="19.899999999999999" customHeight="1">
      <c r="BX1539" s="61"/>
      <c r="BY1539" s="61"/>
    </row>
    <row r="1540" spans="76:77" ht="19.899999999999999" customHeight="1">
      <c r="BX1540" s="61"/>
      <c r="BY1540" s="61"/>
    </row>
    <row r="1541" spans="76:77" ht="19.899999999999999" customHeight="1">
      <c r="BX1541" s="61"/>
      <c r="BY1541" s="61"/>
    </row>
    <row r="1542" spans="76:77" ht="19.899999999999999" customHeight="1">
      <c r="BX1542" s="61"/>
      <c r="BY1542" s="61"/>
    </row>
    <row r="1543" spans="76:77" ht="19.899999999999999" customHeight="1">
      <c r="BX1543" s="61"/>
      <c r="BY1543" s="61"/>
    </row>
    <row r="1544" spans="76:77" ht="19.899999999999999" customHeight="1">
      <c r="BX1544" s="61"/>
      <c r="BY1544" s="61"/>
    </row>
    <row r="1545" spans="76:77" ht="19.899999999999999" customHeight="1">
      <c r="BX1545" s="61"/>
      <c r="BY1545" s="61"/>
    </row>
    <row r="1546" spans="76:77" ht="19.899999999999999" customHeight="1">
      <c r="BX1546" s="61"/>
      <c r="BY1546" s="61"/>
    </row>
    <row r="1547" spans="76:77" ht="19.899999999999999" customHeight="1">
      <c r="BX1547" s="61"/>
      <c r="BY1547" s="61"/>
    </row>
    <row r="1548" spans="76:77" ht="19.899999999999999" customHeight="1">
      <c r="BX1548" s="61"/>
      <c r="BY1548" s="61"/>
    </row>
    <row r="1549" spans="76:77" ht="19.899999999999999" customHeight="1">
      <c r="BX1549" s="61"/>
      <c r="BY1549" s="61"/>
    </row>
    <row r="1550" spans="76:77" ht="19.899999999999999" customHeight="1">
      <c r="BX1550" s="61"/>
      <c r="BY1550" s="61"/>
    </row>
    <row r="1551" spans="76:77" ht="19.899999999999999" customHeight="1">
      <c r="BX1551" s="61"/>
      <c r="BY1551" s="61"/>
    </row>
    <row r="1552" spans="76:77" ht="19.899999999999999" customHeight="1">
      <c r="BX1552" s="61"/>
      <c r="BY1552" s="61"/>
    </row>
    <row r="1553" spans="76:77" ht="19.899999999999999" customHeight="1">
      <c r="BX1553" s="61"/>
      <c r="BY1553" s="61"/>
    </row>
    <row r="1554" spans="76:77" ht="19.899999999999999" customHeight="1">
      <c r="BX1554" s="61"/>
      <c r="BY1554" s="61"/>
    </row>
    <row r="1555" spans="76:77" ht="19.899999999999999" customHeight="1">
      <c r="BX1555" s="61"/>
      <c r="BY1555" s="61"/>
    </row>
    <row r="1556" spans="76:77" ht="19.899999999999999" customHeight="1">
      <c r="BX1556" s="61"/>
      <c r="BY1556" s="61"/>
    </row>
    <row r="1557" spans="76:77" ht="19.899999999999999" customHeight="1">
      <c r="BX1557" s="61"/>
      <c r="BY1557" s="61"/>
    </row>
    <row r="1558" spans="76:77" ht="19.899999999999999" customHeight="1">
      <c r="BX1558" s="61"/>
      <c r="BY1558" s="61"/>
    </row>
    <row r="1559" spans="76:77" ht="19.899999999999999" customHeight="1">
      <c r="BX1559" s="61"/>
      <c r="BY1559" s="61"/>
    </row>
    <row r="1560" spans="76:77" ht="19.899999999999999" customHeight="1">
      <c r="BX1560" s="61"/>
      <c r="BY1560" s="61"/>
    </row>
    <row r="1561" spans="76:77" ht="19.899999999999999" customHeight="1">
      <c r="BX1561" s="61"/>
      <c r="BY1561" s="61"/>
    </row>
    <row r="1562" spans="76:77" ht="19.899999999999999" customHeight="1">
      <c r="BX1562" s="61"/>
      <c r="BY1562" s="61"/>
    </row>
    <row r="1563" spans="76:77" ht="19.899999999999999" customHeight="1">
      <c r="BX1563" s="61"/>
      <c r="BY1563" s="61"/>
    </row>
    <row r="1564" spans="76:77" ht="19.899999999999999" customHeight="1">
      <c r="BX1564" s="61"/>
      <c r="BY1564" s="61"/>
    </row>
    <row r="1565" spans="76:77" ht="19.899999999999999" customHeight="1">
      <c r="BX1565" s="61"/>
      <c r="BY1565" s="61"/>
    </row>
    <row r="1566" spans="76:77" ht="19.899999999999999" customHeight="1">
      <c r="BX1566" s="61"/>
      <c r="BY1566" s="61"/>
    </row>
    <row r="1567" spans="76:77" ht="19.899999999999999" customHeight="1">
      <c r="BX1567" s="61"/>
      <c r="BY1567" s="61"/>
    </row>
    <row r="1568" spans="76:77" ht="19.899999999999999" customHeight="1">
      <c r="BX1568" s="61"/>
      <c r="BY1568" s="61"/>
    </row>
    <row r="1569" spans="76:77" ht="19.899999999999999" customHeight="1">
      <c r="BX1569" s="61"/>
      <c r="BY1569" s="61"/>
    </row>
    <row r="1570" spans="76:77" ht="19.899999999999999" customHeight="1">
      <c r="BX1570" s="61"/>
      <c r="BY1570" s="61"/>
    </row>
    <row r="1571" spans="76:77" ht="19.899999999999999" customHeight="1">
      <c r="BX1571" s="61"/>
      <c r="BY1571" s="61"/>
    </row>
    <row r="1572" spans="76:77" ht="19.899999999999999" customHeight="1">
      <c r="BX1572" s="61"/>
      <c r="BY1572" s="61"/>
    </row>
    <row r="1573" spans="76:77" ht="19.899999999999999" customHeight="1">
      <c r="BX1573" s="61"/>
      <c r="BY1573" s="61"/>
    </row>
    <row r="1574" spans="76:77" ht="19.899999999999999" customHeight="1">
      <c r="BX1574" s="61"/>
      <c r="BY1574" s="61"/>
    </row>
    <row r="1575" spans="76:77" ht="19.899999999999999" customHeight="1">
      <c r="BX1575" s="61"/>
      <c r="BY1575" s="61"/>
    </row>
    <row r="1576" spans="76:77" ht="19.899999999999999" customHeight="1">
      <c r="BX1576" s="61"/>
      <c r="BY1576" s="61"/>
    </row>
    <row r="1577" spans="76:77" ht="19.899999999999999" customHeight="1">
      <c r="BX1577" s="61"/>
      <c r="BY1577" s="61"/>
    </row>
    <row r="1578" spans="76:77" ht="19.899999999999999" customHeight="1">
      <c r="BX1578" s="61"/>
      <c r="BY1578" s="61"/>
    </row>
    <row r="1579" spans="76:77" ht="19.899999999999999" customHeight="1">
      <c r="BX1579" s="61"/>
      <c r="BY1579" s="61"/>
    </row>
    <row r="1580" spans="76:77" ht="19.899999999999999" customHeight="1">
      <c r="BX1580" s="61"/>
      <c r="BY1580" s="61"/>
    </row>
    <row r="1581" spans="76:77" ht="19.899999999999999" customHeight="1">
      <c r="BX1581" s="61"/>
      <c r="BY1581" s="61"/>
    </row>
    <row r="1582" spans="76:77" ht="19.899999999999999" customHeight="1">
      <c r="BX1582" s="61"/>
      <c r="BY1582" s="61"/>
    </row>
    <row r="1583" spans="76:77" ht="19.899999999999999" customHeight="1">
      <c r="BX1583" s="61"/>
      <c r="BY1583" s="61"/>
    </row>
    <row r="1584" spans="76:77" ht="19.899999999999999" customHeight="1">
      <c r="BX1584" s="61"/>
      <c r="BY1584" s="61"/>
    </row>
    <row r="1585" spans="76:77" ht="19.899999999999999" customHeight="1">
      <c r="BX1585" s="61"/>
      <c r="BY1585" s="61"/>
    </row>
    <row r="1586" spans="76:77" ht="19.899999999999999" customHeight="1">
      <c r="BX1586" s="61"/>
      <c r="BY1586" s="61"/>
    </row>
    <row r="1587" spans="76:77" ht="19.899999999999999" customHeight="1">
      <c r="BX1587" s="61"/>
      <c r="BY1587" s="61"/>
    </row>
    <row r="1588" spans="76:77" ht="19.899999999999999" customHeight="1">
      <c r="BX1588" s="61"/>
      <c r="BY1588" s="61"/>
    </row>
    <row r="1589" spans="76:77" ht="19.899999999999999" customHeight="1">
      <c r="BX1589" s="61"/>
      <c r="BY1589" s="61"/>
    </row>
    <row r="1590" spans="76:77" ht="19.899999999999999" customHeight="1">
      <c r="BX1590" s="61"/>
      <c r="BY1590" s="61"/>
    </row>
    <row r="1591" spans="76:77" ht="19.899999999999999" customHeight="1">
      <c r="BX1591" s="61"/>
      <c r="BY1591" s="61"/>
    </row>
    <row r="1592" spans="76:77" ht="19.899999999999999" customHeight="1">
      <c r="BX1592" s="61"/>
      <c r="BY1592" s="61"/>
    </row>
    <row r="1593" spans="76:77" ht="19.899999999999999" customHeight="1">
      <c r="BX1593" s="61"/>
      <c r="BY1593" s="61"/>
    </row>
    <row r="1594" spans="76:77" ht="19.899999999999999" customHeight="1">
      <c r="BX1594" s="61"/>
      <c r="BY1594" s="61"/>
    </row>
    <row r="1595" spans="76:77" ht="19.899999999999999" customHeight="1">
      <c r="BX1595" s="61"/>
      <c r="BY1595" s="61"/>
    </row>
    <row r="1596" spans="76:77" ht="19.899999999999999" customHeight="1">
      <c r="BX1596" s="61"/>
      <c r="BY1596" s="61"/>
    </row>
    <row r="1597" spans="76:77" ht="19.899999999999999" customHeight="1">
      <c r="BX1597" s="61"/>
      <c r="BY1597" s="61"/>
    </row>
    <row r="1598" spans="76:77" ht="19.899999999999999" customHeight="1">
      <c r="BX1598" s="61"/>
      <c r="BY1598" s="61"/>
    </row>
    <row r="1599" spans="76:77" ht="19.899999999999999" customHeight="1">
      <c r="BX1599" s="61"/>
      <c r="BY1599" s="61"/>
    </row>
    <row r="1600" spans="76:77" ht="19.899999999999999" customHeight="1">
      <c r="BX1600" s="61"/>
      <c r="BY1600" s="61"/>
    </row>
    <row r="1601" spans="76:77" ht="19.899999999999999" customHeight="1">
      <c r="BX1601" s="61"/>
      <c r="BY1601" s="61"/>
    </row>
    <row r="1602" spans="76:77" ht="19.899999999999999" customHeight="1">
      <c r="BX1602" s="61"/>
      <c r="BY1602" s="61"/>
    </row>
    <row r="1603" spans="76:77" ht="19.899999999999999" customHeight="1">
      <c r="BX1603" s="61"/>
      <c r="BY1603" s="61"/>
    </row>
    <row r="1604" spans="76:77" ht="19.899999999999999" customHeight="1">
      <c r="BX1604" s="61"/>
      <c r="BY1604" s="61"/>
    </row>
    <row r="1605" spans="76:77" ht="19.899999999999999" customHeight="1">
      <c r="BX1605" s="61"/>
      <c r="BY1605" s="61"/>
    </row>
    <row r="1606" spans="76:77" ht="19.899999999999999" customHeight="1">
      <c r="BX1606" s="61"/>
      <c r="BY1606" s="61"/>
    </row>
    <row r="1607" spans="76:77" ht="19.899999999999999" customHeight="1">
      <c r="BX1607" s="61"/>
      <c r="BY1607" s="61"/>
    </row>
    <row r="1608" spans="76:77" ht="19.899999999999999" customHeight="1">
      <c r="BX1608" s="61"/>
      <c r="BY1608" s="61"/>
    </row>
    <row r="1609" spans="76:77" ht="19.899999999999999" customHeight="1">
      <c r="BX1609" s="61"/>
      <c r="BY1609" s="61"/>
    </row>
    <row r="1610" spans="76:77" ht="19.899999999999999" customHeight="1">
      <c r="BX1610" s="61"/>
      <c r="BY1610" s="61"/>
    </row>
    <row r="1611" spans="76:77" ht="19.899999999999999" customHeight="1">
      <c r="BX1611" s="61"/>
      <c r="BY1611" s="61"/>
    </row>
    <row r="1612" spans="76:77" ht="19.899999999999999" customHeight="1">
      <c r="BX1612" s="61"/>
      <c r="BY1612" s="61"/>
    </row>
    <row r="1613" spans="76:77" ht="19.899999999999999" customHeight="1">
      <c r="BX1613" s="61"/>
      <c r="BY1613" s="61"/>
    </row>
    <row r="1614" spans="76:77" ht="19.899999999999999" customHeight="1">
      <c r="BX1614" s="61"/>
      <c r="BY1614" s="61"/>
    </row>
    <row r="1615" spans="76:77" ht="19.899999999999999" customHeight="1">
      <c r="BX1615" s="61"/>
      <c r="BY1615" s="61"/>
    </row>
    <row r="1616" spans="76:77" ht="19.899999999999999" customHeight="1">
      <c r="BX1616" s="61"/>
      <c r="BY1616" s="61"/>
    </row>
    <row r="1617" spans="76:77" ht="19.899999999999999" customHeight="1">
      <c r="BX1617" s="61"/>
      <c r="BY1617" s="61"/>
    </row>
    <row r="1618" spans="76:77" ht="19.899999999999999" customHeight="1">
      <c r="BX1618" s="61"/>
      <c r="BY1618" s="61"/>
    </row>
    <row r="1619" spans="76:77" ht="19.899999999999999" customHeight="1">
      <c r="BX1619" s="61"/>
      <c r="BY1619" s="61"/>
    </row>
    <row r="1620" spans="76:77" ht="19.899999999999999" customHeight="1">
      <c r="BX1620" s="61"/>
      <c r="BY1620" s="61"/>
    </row>
    <row r="1621" spans="76:77" ht="19.899999999999999" customHeight="1">
      <c r="BX1621" s="61"/>
      <c r="BY1621" s="61"/>
    </row>
    <row r="1622" spans="76:77" ht="19.899999999999999" customHeight="1">
      <c r="BX1622" s="61"/>
      <c r="BY1622" s="61"/>
    </row>
    <row r="1623" spans="76:77" ht="19.899999999999999" customHeight="1">
      <c r="BX1623" s="61"/>
      <c r="BY1623" s="61"/>
    </row>
    <row r="1624" spans="76:77" ht="19.899999999999999" customHeight="1">
      <c r="BX1624" s="61"/>
      <c r="BY1624" s="61"/>
    </row>
    <row r="1625" spans="76:77" ht="19.899999999999999" customHeight="1">
      <c r="BX1625" s="61"/>
      <c r="BY1625" s="61"/>
    </row>
    <row r="1626" spans="76:77" ht="19.899999999999999" customHeight="1">
      <c r="BX1626" s="61"/>
      <c r="BY1626" s="61"/>
    </row>
    <row r="1627" spans="76:77" ht="19.899999999999999" customHeight="1">
      <c r="BX1627" s="61"/>
      <c r="BY1627" s="61"/>
    </row>
    <row r="1628" spans="76:77" ht="19.899999999999999" customHeight="1">
      <c r="BX1628" s="61"/>
      <c r="BY1628" s="61"/>
    </row>
    <row r="1629" spans="76:77" ht="19.899999999999999" customHeight="1">
      <c r="BX1629" s="61"/>
      <c r="BY1629" s="61"/>
    </row>
    <row r="1630" spans="76:77" ht="19.899999999999999" customHeight="1">
      <c r="BX1630" s="61"/>
      <c r="BY1630" s="61"/>
    </row>
    <row r="1631" spans="76:77" ht="19.899999999999999" customHeight="1">
      <c r="BX1631" s="61"/>
      <c r="BY1631" s="61"/>
    </row>
    <row r="1632" spans="76:77" ht="19.899999999999999" customHeight="1">
      <c r="BX1632" s="61"/>
      <c r="BY1632" s="61"/>
    </row>
    <row r="1633" spans="76:77" ht="19.899999999999999" customHeight="1">
      <c r="BX1633" s="61"/>
      <c r="BY1633" s="61"/>
    </row>
    <row r="1634" spans="76:77" ht="19.899999999999999" customHeight="1">
      <c r="BX1634" s="61"/>
      <c r="BY1634" s="61"/>
    </row>
    <row r="1635" spans="76:77" ht="19.899999999999999" customHeight="1">
      <c r="BX1635" s="61"/>
      <c r="BY1635" s="61"/>
    </row>
    <row r="1636" spans="76:77" ht="19.899999999999999" customHeight="1">
      <c r="BX1636" s="61"/>
      <c r="BY1636" s="61"/>
    </row>
    <row r="1637" spans="76:77" ht="19.899999999999999" customHeight="1">
      <c r="BX1637" s="61"/>
      <c r="BY1637" s="61"/>
    </row>
    <row r="1638" spans="76:77" ht="19.899999999999999" customHeight="1">
      <c r="BX1638" s="61"/>
      <c r="BY1638" s="61"/>
    </row>
    <row r="1639" spans="76:77" ht="19.899999999999999" customHeight="1">
      <c r="BX1639" s="61"/>
      <c r="BY1639" s="61"/>
    </row>
    <row r="1640" spans="76:77" ht="19.899999999999999" customHeight="1">
      <c r="BX1640" s="61"/>
      <c r="BY1640" s="61"/>
    </row>
    <row r="1641" spans="76:77" ht="19.899999999999999" customHeight="1">
      <c r="BX1641" s="61"/>
      <c r="BY1641" s="61"/>
    </row>
    <row r="1642" spans="76:77" ht="19.899999999999999" customHeight="1">
      <c r="BX1642" s="61"/>
      <c r="BY1642" s="61"/>
    </row>
    <row r="1643" spans="76:77" ht="19.899999999999999" customHeight="1">
      <c r="BX1643" s="61"/>
      <c r="BY1643" s="61"/>
    </row>
    <row r="1644" spans="76:77" ht="19.899999999999999" customHeight="1">
      <c r="BX1644" s="61"/>
      <c r="BY1644" s="61"/>
    </row>
    <row r="1645" spans="76:77" ht="19.899999999999999" customHeight="1">
      <c r="BX1645" s="61"/>
      <c r="BY1645" s="61"/>
    </row>
    <row r="1646" spans="76:77" ht="19.899999999999999" customHeight="1">
      <c r="BX1646" s="61"/>
      <c r="BY1646" s="61"/>
    </row>
    <row r="1647" spans="76:77" ht="19.899999999999999" customHeight="1">
      <c r="BX1647" s="61"/>
      <c r="BY1647" s="61"/>
    </row>
    <row r="1648" spans="76:77" ht="19.899999999999999" customHeight="1">
      <c r="BX1648" s="61"/>
      <c r="BY1648" s="61"/>
    </row>
    <row r="1649" spans="76:77" ht="19.899999999999999" customHeight="1">
      <c r="BX1649" s="61"/>
      <c r="BY1649" s="61"/>
    </row>
    <row r="1650" spans="76:77" ht="19.899999999999999" customHeight="1">
      <c r="BX1650" s="61"/>
      <c r="BY1650" s="61"/>
    </row>
    <row r="1651" spans="76:77" ht="19.899999999999999" customHeight="1">
      <c r="BX1651" s="61"/>
      <c r="BY1651" s="61"/>
    </row>
    <row r="1652" spans="76:77" ht="19.899999999999999" customHeight="1">
      <c r="BX1652" s="61"/>
      <c r="BY1652" s="61"/>
    </row>
    <row r="1653" spans="76:77" ht="19.899999999999999" customHeight="1">
      <c r="BX1653" s="61"/>
      <c r="BY1653" s="61"/>
    </row>
    <row r="1654" spans="76:77" ht="19.899999999999999" customHeight="1">
      <c r="BX1654" s="61"/>
      <c r="BY1654" s="61"/>
    </row>
    <row r="1655" spans="76:77" ht="19.899999999999999" customHeight="1">
      <c r="BX1655" s="61"/>
      <c r="BY1655" s="61"/>
    </row>
    <row r="1656" spans="76:77" ht="19.899999999999999" customHeight="1">
      <c r="BX1656" s="61"/>
      <c r="BY1656" s="61"/>
    </row>
    <row r="1657" spans="76:77" ht="19.899999999999999" customHeight="1">
      <c r="BX1657" s="61"/>
      <c r="BY1657" s="61"/>
    </row>
    <row r="1658" spans="76:77" ht="19.899999999999999" customHeight="1">
      <c r="BX1658" s="61"/>
      <c r="BY1658" s="61"/>
    </row>
    <row r="1659" spans="76:77" ht="19.899999999999999" customHeight="1">
      <c r="BX1659" s="61"/>
      <c r="BY1659" s="61"/>
    </row>
    <row r="1660" spans="76:77" ht="19.899999999999999" customHeight="1">
      <c r="BX1660" s="61"/>
      <c r="BY1660" s="61"/>
    </row>
    <row r="1661" spans="76:77" ht="19.899999999999999" customHeight="1">
      <c r="BX1661" s="61"/>
      <c r="BY1661" s="61"/>
    </row>
    <row r="1662" spans="76:77" ht="19.899999999999999" customHeight="1">
      <c r="BX1662" s="61"/>
      <c r="BY1662" s="61"/>
    </row>
    <row r="1663" spans="76:77" ht="19.899999999999999" customHeight="1">
      <c r="BX1663" s="61"/>
      <c r="BY1663" s="61"/>
    </row>
    <row r="1664" spans="76:77" ht="19.899999999999999" customHeight="1">
      <c r="BX1664" s="61"/>
      <c r="BY1664" s="61"/>
    </row>
    <row r="1665" spans="76:77" ht="19.899999999999999" customHeight="1">
      <c r="BX1665" s="61"/>
      <c r="BY1665" s="61"/>
    </row>
    <row r="1666" spans="76:77" ht="19.899999999999999" customHeight="1">
      <c r="BX1666" s="61"/>
      <c r="BY1666" s="61"/>
    </row>
    <row r="1667" spans="76:77" ht="19.899999999999999" customHeight="1">
      <c r="BX1667" s="61"/>
      <c r="BY1667" s="61"/>
    </row>
    <row r="1668" spans="76:77" ht="19.899999999999999" customHeight="1">
      <c r="BX1668" s="61"/>
      <c r="BY1668" s="61"/>
    </row>
    <row r="1669" spans="76:77" ht="19.899999999999999" customHeight="1">
      <c r="BX1669" s="61"/>
      <c r="BY1669" s="61"/>
    </row>
    <row r="1670" spans="76:77" ht="19.899999999999999" customHeight="1">
      <c r="BX1670" s="61"/>
      <c r="BY1670" s="61"/>
    </row>
    <row r="1671" spans="76:77" ht="19.899999999999999" customHeight="1">
      <c r="BX1671" s="61"/>
      <c r="BY1671" s="61"/>
    </row>
    <row r="1672" spans="76:77" ht="19.899999999999999" customHeight="1">
      <c r="BX1672" s="61"/>
      <c r="BY1672" s="61"/>
    </row>
    <row r="1673" spans="76:77" ht="19.899999999999999" customHeight="1">
      <c r="BX1673" s="61"/>
      <c r="BY1673" s="61"/>
    </row>
    <row r="1674" spans="76:77" ht="19.899999999999999" customHeight="1">
      <c r="BX1674" s="61"/>
      <c r="BY1674" s="61"/>
    </row>
    <row r="1675" spans="76:77" ht="19.899999999999999" customHeight="1">
      <c r="BX1675" s="61"/>
      <c r="BY1675" s="61"/>
    </row>
    <row r="1676" spans="76:77" ht="19.899999999999999" customHeight="1">
      <c r="BX1676" s="61"/>
      <c r="BY1676" s="61"/>
    </row>
    <row r="1677" spans="76:77" ht="19.899999999999999" customHeight="1">
      <c r="BX1677" s="61"/>
      <c r="BY1677" s="61"/>
    </row>
    <row r="1678" spans="76:77" ht="19.899999999999999" customHeight="1">
      <c r="BX1678" s="61"/>
      <c r="BY1678" s="61"/>
    </row>
    <row r="1679" spans="76:77" ht="19.899999999999999" customHeight="1">
      <c r="BX1679" s="61"/>
      <c r="BY1679" s="61"/>
    </row>
    <row r="1680" spans="76:77" ht="19.899999999999999" customHeight="1">
      <c r="BX1680" s="61"/>
      <c r="BY1680" s="61"/>
    </row>
    <row r="1681" spans="76:77" ht="19.899999999999999" customHeight="1">
      <c r="BX1681" s="61"/>
      <c r="BY1681" s="61"/>
    </row>
    <row r="1682" spans="76:77" ht="19.899999999999999" customHeight="1">
      <c r="BX1682" s="61"/>
      <c r="BY1682" s="61"/>
    </row>
    <row r="1683" spans="76:77" ht="19.899999999999999" customHeight="1">
      <c r="BX1683" s="61"/>
      <c r="BY1683" s="61"/>
    </row>
    <row r="1684" spans="76:77" ht="19.899999999999999" customHeight="1">
      <c r="BX1684" s="61"/>
      <c r="BY1684" s="61"/>
    </row>
    <row r="1685" spans="76:77" ht="19.899999999999999" customHeight="1">
      <c r="BX1685" s="61"/>
      <c r="BY1685" s="61"/>
    </row>
    <row r="1686" spans="76:77" ht="19.899999999999999" customHeight="1">
      <c r="BX1686" s="61"/>
      <c r="BY1686" s="61"/>
    </row>
    <row r="1687" spans="76:77" ht="19.899999999999999" customHeight="1">
      <c r="BX1687" s="61"/>
      <c r="BY1687" s="61"/>
    </row>
    <row r="1688" spans="76:77" ht="19.899999999999999" customHeight="1">
      <c r="BX1688" s="61"/>
      <c r="BY1688" s="61"/>
    </row>
    <row r="1689" spans="76:77" ht="19.899999999999999" customHeight="1">
      <c r="BX1689" s="61"/>
      <c r="BY1689" s="61"/>
    </row>
    <row r="1690" spans="76:77" ht="19.899999999999999" customHeight="1">
      <c r="BX1690" s="61"/>
      <c r="BY1690" s="61"/>
    </row>
    <row r="1691" spans="76:77" ht="19.899999999999999" customHeight="1">
      <c r="BX1691" s="61"/>
      <c r="BY1691" s="61"/>
    </row>
    <row r="1692" spans="76:77" ht="19.899999999999999" customHeight="1">
      <c r="BX1692" s="61"/>
      <c r="BY1692" s="61"/>
    </row>
    <row r="1693" spans="76:77" ht="19.899999999999999" customHeight="1">
      <c r="BX1693" s="61"/>
      <c r="BY1693" s="61"/>
    </row>
    <row r="1694" spans="76:77" ht="19.899999999999999" customHeight="1">
      <c r="BX1694" s="61"/>
      <c r="BY1694" s="61"/>
    </row>
    <row r="1695" spans="76:77" ht="19.899999999999999" customHeight="1">
      <c r="BX1695" s="61"/>
      <c r="BY1695" s="61"/>
    </row>
    <row r="1696" spans="76:77" ht="19.899999999999999" customHeight="1">
      <c r="BX1696" s="61"/>
      <c r="BY1696" s="61"/>
    </row>
    <row r="1697" spans="76:77" ht="19.899999999999999" customHeight="1">
      <c r="BX1697" s="61"/>
      <c r="BY1697" s="61"/>
    </row>
    <row r="1698" spans="76:77" ht="19.899999999999999" customHeight="1">
      <c r="BX1698" s="61"/>
      <c r="BY1698" s="61"/>
    </row>
    <row r="1699" spans="76:77" ht="19.899999999999999" customHeight="1">
      <c r="BX1699" s="61"/>
      <c r="BY1699" s="61"/>
    </row>
    <row r="1700" spans="76:77" ht="19.899999999999999" customHeight="1">
      <c r="BX1700" s="61"/>
      <c r="BY1700" s="61"/>
    </row>
    <row r="1701" spans="76:77" ht="19.899999999999999" customHeight="1">
      <c r="BX1701" s="61"/>
      <c r="BY1701" s="61"/>
    </row>
    <row r="1702" spans="76:77" ht="19.899999999999999" customHeight="1">
      <c r="BX1702" s="61"/>
      <c r="BY1702" s="61"/>
    </row>
    <row r="1703" spans="76:77" ht="19.899999999999999" customHeight="1">
      <c r="BX1703" s="61"/>
      <c r="BY1703" s="61"/>
    </row>
    <row r="1704" spans="76:77" ht="19.899999999999999" customHeight="1">
      <c r="BX1704" s="61"/>
      <c r="BY1704" s="61"/>
    </row>
    <row r="1705" spans="76:77" ht="19.899999999999999" customHeight="1">
      <c r="BX1705" s="61"/>
      <c r="BY1705" s="61"/>
    </row>
    <row r="1706" spans="76:77" ht="19.899999999999999" customHeight="1">
      <c r="BX1706" s="61"/>
      <c r="BY1706" s="61"/>
    </row>
    <row r="1707" spans="76:77" ht="19.899999999999999" customHeight="1">
      <c r="BX1707" s="61"/>
      <c r="BY1707" s="61"/>
    </row>
    <row r="1708" spans="76:77" ht="19.899999999999999" customHeight="1">
      <c r="BX1708" s="61"/>
      <c r="BY1708" s="61"/>
    </row>
    <row r="1709" spans="76:77" ht="19.899999999999999" customHeight="1">
      <c r="BX1709" s="61"/>
      <c r="BY1709" s="61"/>
    </row>
    <row r="1710" spans="76:77" ht="19.899999999999999" customHeight="1">
      <c r="BX1710" s="61"/>
      <c r="BY1710" s="61"/>
    </row>
    <row r="1711" spans="76:77" ht="19.899999999999999" customHeight="1">
      <c r="BX1711" s="61"/>
      <c r="BY1711" s="61"/>
    </row>
    <row r="1712" spans="76:77" ht="19.899999999999999" customHeight="1">
      <c r="BX1712" s="61"/>
      <c r="BY1712" s="61"/>
    </row>
    <row r="1713" spans="76:77" ht="19.899999999999999" customHeight="1">
      <c r="BX1713" s="61"/>
      <c r="BY1713" s="61"/>
    </row>
    <row r="1714" spans="76:77" ht="19.899999999999999" customHeight="1">
      <c r="BX1714" s="61"/>
      <c r="BY1714" s="61"/>
    </row>
    <row r="1715" spans="76:77" ht="19.899999999999999" customHeight="1">
      <c r="BX1715" s="61"/>
      <c r="BY1715" s="61"/>
    </row>
    <row r="1716" spans="76:77" ht="19.899999999999999" customHeight="1">
      <c r="BX1716" s="61"/>
      <c r="BY1716" s="61"/>
    </row>
    <row r="1717" spans="76:77" ht="19.899999999999999" customHeight="1">
      <c r="BX1717" s="61"/>
      <c r="BY1717" s="61"/>
    </row>
    <row r="1718" spans="76:77" ht="19.899999999999999" customHeight="1">
      <c r="BX1718" s="61"/>
      <c r="BY1718" s="61"/>
    </row>
    <row r="1719" spans="76:77" ht="19.899999999999999" customHeight="1">
      <c r="BX1719" s="61"/>
      <c r="BY1719" s="61"/>
    </row>
    <row r="1720" spans="76:77" ht="19.899999999999999" customHeight="1">
      <c r="BX1720" s="61"/>
      <c r="BY1720" s="61"/>
    </row>
    <row r="1721" spans="76:77" ht="19.899999999999999" customHeight="1">
      <c r="BX1721" s="61"/>
      <c r="BY1721" s="61"/>
    </row>
    <row r="1722" spans="76:77" ht="19.899999999999999" customHeight="1">
      <c r="BX1722" s="61"/>
      <c r="BY1722" s="61"/>
    </row>
    <row r="1723" spans="76:77" ht="19.899999999999999" customHeight="1">
      <c r="BX1723" s="61"/>
      <c r="BY1723" s="61"/>
    </row>
    <row r="1724" spans="76:77" ht="19.899999999999999" customHeight="1">
      <c r="BX1724" s="61"/>
      <c r="BY1724" s="61"/>
    </row>
    <row r="1725" spans="76:77" ht="19.899999999999999" customHeight="1">
      <c r="BX1725" s="61"/>
      <c r="BY1725" s="61"/>
    </row>
    <row r="1726" spans="76:77" ht="19.899999999999999" customHeight="1">
      <c r="BX1726" s="61"/>
      <c r="BY1726" s="61"/>
    </row>
    <row r="1727" spans="76:77" ht="19.899999999999999" customHeight="1">
      <c r="BX1727" s="61"/>
      <c r="BY1727" s="61"/>
    </row>
    <row r="1728" spans="76:77" ht="19.899999999999999" customHeight="1">
      <c r="BX1728" s="61"/>
      <c r="BY1728" s="61"/>
    </row>
    <row r="1729" spans="76:77" ht="19.899999999999999" customHeight="1">
      <c r="BX1729" s="61"/>
      <c r="BY1729" s="61"/>
    </row>
    <row r="1730" spans="76:77" ht="19.899999999999999" customHeight="1">
      <c r="BX1730" s="61"/>
      <c r="BY1730" s="61"/>
    </row>
    <row r="1731" spans="76:77" ht="19.899999999999999" customHeight="1">
      <c r="BX1731" s="61"/>
      <c r="BY1731" s="61"/>
    </row>
    <row r="1732" spans="76:77" ht="19.899999999999999" customHeight="1">
      <c r="BX1732" s="61"/>
      <c r="BY1732" s="61"/>
    </row>
    <row r="1733" spans="76:77" ht="19.899999999999999" customHeight="1">
      <c r="BX1733" s="61"/>
      <c r="BY1733" s="61"/>
    </row>
    <row r="1734" spans="76:77" ht="19.899999999999999" customHeight="1">
      <c r="BX1734" s="61"/>
      <c r="BY1734" s="61"/>
    </row>
    <row r="1735" spans="76:77" ht="19.899999999999999" customHeight="1">
      <c r="BX1735" s="61"/>
      <c r="BY1735" s="61"/>
    </row>
    <row r="1736" spans="76:77" ht="19.899999999999999" customHeight="1">
      <c r="BX1736" s="61"/>
      <c r="BY1736" s="61"/>
    </row>
    <row r="1737" spans="76:77" ht="19.899999999999999" customHeight="1">
      <c r="BX1737" s="61"/>
      <c r="BY1737" s="61"/>
    </row>
    <row r="1738" spans="76:77" ht="19.899999999999999" customHeight="1">
      <c r="BX1738" s="61"/>
      <c r="BY1738" s="61"/>
    </row>
    <row r="1739" spans="76:77" ht="19.899999999999999" customHeight="1">
      <c r="BX1739" s="61"/>
      <c r="BY1739" s="61"/>
    </row>
    <row r="1740" spans="76:77" ht="19.899999999999999" customHeight="1">
      <c r="BX1740" s="61"/>
      <c r="BY1740" s="61"/>
    </row>
    <row r="1741" spans="76:77" ht="19.899999999999999" customHeight="1">
      <c r="BX1741" s="61"/>
      <c r="BY1741" s="61"/>
    </row>
    <row r="1742" spans="76:77" ht="19.899999999999999" customHeight="1">
      <c r="BX1742" s="61"/>
      <c r="BY1742" s="61"/>
    </row>
    <row r="1743" spans="76:77" ht="19.899999999999999" customHeight="1">
      <c r="BX1743" s="61"/>
      <c r="BY1743" s="61"/>
    </row>
    <row r="1744" spans="76:77" ht="19.899999999999999" customHeight="1">
      <c r="BX1744" s="61"/>
      <c r="BY1744" s="61"/>
    </row>
    <row r="1745" spans="76:77" ht="19.899999999999999" customHeight="1">
      <c r="BX1745" s="61"/>
      <c r="BY1745" s="61"/>
    </row>
    <row r="1746" spans="76:77" ht="19.899999999999999" customHeight="1">
      <c r="BX1746" s="61"/>
      <c r="BY1746" s="61"/>
    </row>
    <row r="1747" spans="76:77" ht="19.899999999999999" customHeight="1">
      <c r="BX1747" s="61"/>
      <c r="BY1747" s="61"/>
    </row>
    <row r="1748" spans="76:77" ht="19.899999999999999" customHeight="1">
      <c r="BX1748" s="61"/>
      <c r="BY1748" s="61"/>
    </row>
    <row r="1749" spans="76:77" ht="19.899999999999999" customHeight="1">
      <c r="BX1749" s="61"/>
      <c r="BY1749" s="61"/>
    </row>
    <row r="1750" spans="76:77" ht="19.899999999999999" customHeight="1">
      <c r="BX1750" s="61"/>
      <c r="BY1750" s="61"/>
    </row>
    <row r="1751" spans="76:77" ht="19.899999999999999" customHeight="1">
      <c r="BX1751" s="61"/>
      <c r="BY1751" s="61"/>
    </row>
    <row r="1752" spans="76:77" ht="19.899999999999999" customHeight="1">
      <c r="BX1752" s="61"/>
      <c r="BY1752" s="61"/>
    </row>
    <row r="1753" spans="76:77" ht="19.899999999999999" customHeight="1">
      <c r="BX1753" s="61"/>
      <c r="BY1753" s="61"/>
    </row>
    <row r="1754" spans="76:77" ht="19.899999999999999" customHeight="1">
      <c r="BX1754" s="61"/>
      <c r="BY1754" s="61"/>
    </row>
    <row r="1755" spans="76:77" ht="19.899999999999999" customHeight="1">
      <c r="BX1755" s="61"/>
      <c r="BY1755" s="61"/>
    </row>
    <row r="1756" spans="76:77" ht="19.899999999999999" customHeight="1">
      <c r="BX1756" s="61"/>
      <c r="BY1756" s="61"/>
    </row>
    <row r="1757" spans="76:77" ht="19.899999999999999" customHeight="1">
      <c r="BX1757" s="61"/>
      <c r="BY1757" s="61"/>
    </row>
    <row r="1758" spans="76:77" ht="19.899999999999999" customHeight="1">
      <c r="BX1758" s="61"/>
      <c r="BY1758" s="61"/>
    </row>
    <row r="1759" spans="76:77" ht="19.899999999999999" customHeight="1">
      <c r="BX1759" s="61"/>
      <c r="BY1759" s="61"/>
    </row>
    <row r="1760" spans="76:77" ht="19.899999999999999" customHeight="1">
      <c r="BX1760" s="61"/>
      <c r="BY1760" s="61"/>
    </row>
    <row r="1761" spans="76:77" ht="19.899999999999999" customHeight="1">
      <c r="BX1761" s="61"/>
      <c r="BY1761" s="61"/>
    </row>
    <row r="1762" spans="76:77" ht="19.899999999999999" customHeight="1">
      <c r="BX1762" s="61"/>
      <c r="BY1762" s="61"/>
    </row>
    <row r="1763" spans="76:77" ht="19.899999999999999" customHeight="1">
      <c r="BX1763" s="61"/>
      <c r="BY1763" s="61"/>
    </row>
    <row r="1764" spans="76:77" ht="19.899999999999999" customHeight="1">
      <c r="BX1764" s="61"/>
      <c r="BY1764" s="61"/>
    </row>
    <row r="1765" spans="76:77" ht="19.899999999999999" customHeight="1">
      <c r="BX1765" s="61"/>
      <c r="BY1765" s="61"/>
    </row>
    <row r="1766" spans="76:77" ht="19.899999999999999" customHeight="1">
      <c r="BX1766" s="61"/>
      <c r="BY1766" s="61"/>
    </row>
    <row r="1767" spans="76:77" ht="19.899999999999999" customHeight="1">
      <c r="BX1767" s="61"/>
      <c r="BY1767" s="61"/>
    </row>
    <row r="1768" spans="76:77" ht="19.899999999999999" customHeight="1">
      <c r="BX1768" s="61"/>
      <c r="BY1768" s="61"/>
    </row>
    <row r="1769" spans="76:77" ht="19.899999999999999" customHeight="1">
      <c r="BX1769" s="61"/>
      <c r="BY1769" s="61"/>
    </row>
    <row r="1770" spans="76:77" ht="19.899999999999999" customHeight="1">
      <c r="BX1770" s="61"/>
      <c r="BY1770" s="61"/>
    </row>
    <row r="1771" spans="76:77" ht="19.899999999999999" customHeight="1">
      <c r="BX1771" s="61"/>
      <c r="BY1771" s="61"/>
    </row>
    <row r="1772" spans="76:77" ht="19.899999999999999" customHeight="1">
      <c r="BX1772" s="61"/>
      <c r="BY1772" s="61"/>
    </row>
    <row r="1773" spans="76:77" ht="19.899999999999999" customHeight="1">
      <c r="BX1773" s="61"/>
      <c r="BY1773" s="61"/>
    </row>
    <row r="1774" spans="76:77" ht="19.899999999999999" customHeight="1">
      <c r="BX1774" s="61"/>
      <c r="BY1774" s="61"/>
    </row>
    <row r="1775" spans="76:77" ht="19.899999999999999" customHeight="1">
      <c r="BX1775" s="61"/>
      <c r="BY1775" s="61"/>
    </row>
    <row r="1776" spans="76:77" ht="19.899999999999999" customHeight="1">
      <c r="BX1776" s="61"/>
      <c r="BY1776" s="61"/>
    </row>
    <row r="1777" spans="76:77" ht="19.899999999999999" customHeight="1">
      <c r="BX1777" s="61"/>
      <c r="BY1777" s="61"/>
    </row>
    <row r="1778" spans="76:77" ht="19.899999999999999" customHeight="1">
      <c r="BX1778" s="61"/>
      <c r="BY1778" s="61"/>
    </row>
    <row r="1779" spans="76:77" ht="19.899999999999999" customHeight="1">
      <c r="BX1779" s="61"/>
      <c r="BY1779" s="61"/>
    </row>
    <row r="1780" spans="76:77" ht="19.899999999999999" customHeight="1">
      <c r="BX1780" s="61"/>
      <c r="BY1780" s="61"/>
    </row>
    <row r="1781" spans="76:77" ht="19.899999999999999" customHeight="1">
      <c r="BX1781" s="61"/>
      <c r="BY1781" s="61"/>
    </row>
    <row r="1782" spans="76:77" ht="19.899999999999999" customHeight="1">
      <c r="BX1782" s="61"/>
      <c r="BY1782" s="61"/>
    </row>
    <row r="1783" spans="76:77" ht="19.899999999999999" customHeight="1">
      <c r="BX1783" s="61"/>
      <c r="BY1783" s="61"/>
    </row>
    <row r="1784" spans="76:77" ht="19.899999999999999" customHeight="1">
      <c r="BX1784" s="61"/>
      <c r="BY1784" s="61"/>
    </row>
    <row r="1785" spans="76:77" ht="19.899999999999999" customHeight="1">
      <c r="BX1785" s="61"/>
      <c r="BY1785" s="61"/>
    </row>
    <row r="1786" spans="76:77" ht="19.899999999999999" customHeight="1">
      <c r="BX1786" s="61"/>
      <c r="BY1786" s="61"/>
    </row>
    <row r="1787" spans="76:77" ht="19.899999999999999" customHeight="1">
      <c r="BX1787" s="61"/>
      <c r="BY1787" s="61"/>
    </row>
    <row r="1788" spans="76:77" ht="19.899999999999999" customHeight="1">
      <c r="BX1788" s="61"/>
      <c r="BY1788" s="61"/>
    </row>
    <row r="1789" spans="76:77" ht="19.899999999999999" customHeight="1">
      <c r="BX1789" s="61"/>
      <c r="BY1789" s="61"/>
    </row>
    <row r="1790" spans="76:77" ht="19.899999999999999" customHeight="1">
      <c r="BX1790" s="61"/>
      <c r="BY1790" s="61"/>
    </row>
    <row r="1791" spans="76:77" ht="19.899999999999999" customHeight="1">
      <c r="BX1791" s="61"/>
      <c r="BY1791" s="61"/>
    </row>
    <row r="1792" spans="76:77" ht="19.899999999999999" customHeight="1">
      <c r="BX1792" s="61"/>
      <c r="BY1792" s="61"/>
    </row>
    <row r="1793" spans="76:77" ht="19.899999999999999" customHeight="1">
      <c r="BX1793" s="61"/>
      <c r="BY1793" s="61"/>
    </row>
    <row r="1794" spans="76:77" ht="19.899999999999999" customHeight="1">
      <c r="BX1794" s="61"/>
      <c r="BY1794" s="61"/>
    </row>
    <row r="1795" spans="76:77" ht="19.899999999999999" customHeight="1">
      <c r="BX1795" s="61"/>
      <c r="BY1795" s="61"/>
    </row>
    <row r="1796" spans="76:77" ht="19.899999999999999" customHeight="1">
      <c r="BX1796" s="61"/>
      <c r="BY1796" s="61"/>
    </row>
    <row r="1797" spans="76:77" ht="19.899999999999999" customHeight="1">
      <c r="BX1797" s="61"/>
      <c r="BY1797" s="61"/>
    </row>
    <row r="1798" spans="76:77" ht="19.899999999999999" customHeight="1">
      <c r="BX1798" s="61"/>
      <c r="BY1798" s="61"/>
    </row>
    <row r="1799" spans="76:77" ht="19.899999999999999" customHeight="1">
      <c r="BX1799" s="61"/>
      <c r="BY1799" s="61"/>
    </row>
    <row r="1800" spans="76:77" ht="19.899999999999999" customHeight="1">
      <c r="BX1800" s="61"/>
      <c r="BY1800" s="61"/>
    </row>
    <row r="1801" spans="76:77" ht="19.899999999999999" customHeight="1">
      <c r="BX1801" s="61"/>
      <c r="BY1801" s="61"/>
    </row>
    <row r="1802" spans="76:77" ht="19.899999999999999" customHeight="1">
      <c r="BX1802" s="61"/>
      <c r="BY1802" s="61"/>
    </row>
    <row r="1803" spans="76:77" ht="19.899999999999999" customHeight="1">
      <c r="BX1803" s="61"/>
      <c r="BY1803" s="61"/>
    </row>
    <row r="1804" spans="76:77" ht="19.899999999999999" customHeight="1">
      <c r="BX1804" s="61"/>
      <c r="BY1804" s="61"/>
    </row>
    <row r="1805" spans="76:77" ht="19.899999999999999" customHeight="1">
      <c r="BX1805" s="61"/>
      <c r="BY1805" s="61"/>
    </row>
    <row r="1806" spans="76:77" ht="19.899999999999999" customHeight="1">
      <c r="BX1806" s="61"/>
      <c r="BY1806" s="61"/>
    </row>
    <row r="1807" spans="76:77" ht="19.899999999999999" customHeight="1">
      <c r="BX1807" s="61"/>
      <c r="BY1807" s="61"/>
    </row>
    <row r="1808" spans="76:77" ht="19.899999999999999" customHeight="1">
      <c r="BX1808" s="61"/>
      <c r="BY1808" s="61"/>
    </row>
    <row r="1809" spans="76:77" ht="19.899999999999999" customHeight="1">
      <c r="BX1809" s="61"/>
      <c r="BY1809" s="61"/>
    </row>
    <row r="1810" spans="76:77" ht="19.899999999999999" customHeight="1">
      <c r="BX1810" s="61"/>
      <c r="BY1810" s="61"/>
    </row>
    <row r="1811" spans="76:77" ht="19.899999999999999" customHeight="1">
      <c r="BX1811" s="61"/>
      <c r="BY1811" s="61"/>
    </row>
    <row r="1812" spans="76:77" ht="19.899999999999999" customHeight="1">
      <c r="BX1812" s="61"/>
      <c r="BY1812" s="61"/>
    </row>
    <row r="1813" spans="76:77" ht="19.899999999999999" customHeight="1">
      <c r="BX1813" s="61"/>
      <c r="BY1813" s="61"/>
    </row>
    <row r="1814" spans="76:77" ht="19.899999999999999" customHeight="1">
      <c r="BX1814" s="61"/>
      <c r="BY1814" s="61"/>
    </row>
    <row r="1815" spans="76:77" ht="19.899999999999999" customHeight="1">
      <c r="BX1815" s="61"/>
      <c r="BY1815" s="61"/>
    </row>
    <row r="1816" spans="76:77" ht="19.899999999999999" customHeight="1">
      <c r="BX1816" s="61"/>
      <c r="BY1816" s="61"/>
    </row>
    <row r="1817" spans="76:77" ht="19.899999999999999" customHeight="1">
      <c r="BX1817" s="61"/>
      <c r="BY1817" s="61"/>
    </row>
    <row r="1818" spans="76:77" ht="19.899999999999999" customHeight="1">
      <c r="BX1818" s="61"/>
      <c r="BY1818" s="61"/>
    </row>
    <row r="1819" spans="76:77" ht="19.899999999999999" customHeight="1">
      <c r="BX1819" s="61"/>
      <c r="BY1819" s="61"/>
    </row>
    <row r="1820" spans="76:77" ht="19.899999999999999" customHeight="1">
      <c r="BX1820" s="61"/>
      <c r="BY1820" s="61"/>
    </row>
    <row r="1821" spans="76:77" ht="19.899999999999999" customHeight="1">
      <c r="BX1821" s="61"/>
      <c r="BY1821" s="61"/>
    </row>
    <row r="1822" spans="76:77" ht="19.899999999999999" customHeight="1">
      <c r="BX1822" s="61"/>
      <c r="BY1822" s="61"/>
    </row>
    <row r="1823" spans="76:77" ht="19.899999999999999" customHeight="1">
      <c r="BX1823" s="61"/>
      <c r="BY1823" s="61"/>
    </row>
    <row r="1824" spans="76:77" ht="19.899999999999999" customHeight="1">
      <c r="BX1824" s="61"/>
      <c r="BY1824" s="61"/>
    </row>
    <row r="1825" spans="76:77" ht="19.899999999999999" customHeight="1">
      <c r="BX1825" s="61"/>
      <c r="BY1825" s="61"/>
    </row>
    <row r="1826" spans="76:77" ht="19.899999999999999" customHeight="1">
      <c r="BX1826" s="61"/>
      <c r="BY1826" s="61"/>
    </row>
    <row r="1827" spans="76:77" ht="19.899999999999999" customHeight="1">
      <c r="BX1827" s="61"/>
      <c r="BY1827" s="61"/>
    </row>
    <row r="1828" spans="76:77" ht="19.899999999999999" customHeight="1">
      <c r="BX1828" s="61"/>
      <c r="BY1828" s="61"/>
    </row>
    <row r="1829" spans="76:77" ht="19.899999999999999" customHeight="1">
      <c r="BX1829" s="61"/>
      <c r="BY1829" s="61"/>
    </row>
    <row r="1830" spans="76:77" ht="19.899999999999999" customHeight="1">
      <c r="BX1830" s="61"/>
      <c r="BY1830" s="61"/>
    </row>
    <row r="1831" spans="76:77" ht="19.899999999999999" customHeight="1">
      <c r="BX1831" s="61"/>
      <c r="BY1831" s="61"/>
    </row>
    <row r="1832" spans="76:77" ht="19.899999999999999" customHeight="1">
      <c r="BX1832" s="61"/>
      <c r="BY1832" s="61"/>
    </row>
    <row r="1833" spans="76:77" ht="19.899999999999999" customHeight="1">
      <c r="BX1833" s="61"/>
      <c r="BY1833" s="61"/>
    </row>
    <row r="1834" spans="76:77" ht="19.899999999999999" customHeight="1">
      <c r="BX1834" s="61"/>
      <c r="BY1834" s="61"/>
    </row>
    <row r="1835" spans="76:77" ht="19.899999999999999" customHeight="1">
      <c r="BX1835" s="61"/>
      <c r="BY1835" s="61"/>
    </row>
    <row r="1836" spans="76:77" ht="19.899999999999999" customHeight="1">
      <c r="BX1836" s="61"/>
      <c r="BY1836" s="61"/>
    </row>
    <row r="1837" spans="76:77" ht="19.899999999999999" customHeight="1">
      <c r="BX1837" s="61"/>
      <c r="BY1837" s="61"/>
    </row>
    <row r="1838" spans="76:77" ht="19.899999999999999" customHeight="1">
      <c r="BX1838" s="61"/>
      <c r="BY1838" s="61"/>
    </row>
    <row r="1839" spans="76:77" ht="19.899999999999999" customHeight="1">
      <c r="BX1839" s="61"/>
      <c r="BY1839" s="61"/>
    </row>
    <row r="1840" spans="76:77" ht="19.899999999999999" customHeight="1">
      <c r="BX1840" s="61"/>
      <c r="BY1840" s="61"/>
    </row>
    <row r="1841" spans="76:77" ht="19.899999999999999" customHeight="1">
      <c r="BX1841" s="61"/>
      <c r="BY1841" s="61"/>
    </row>
    <row r="1842" spans="76:77" ht="19.899999999999999" customHeight="1">
      <c r="BX1842" s="61"/>
      <c r="BY1842" s="61"/>
    </row>
    <row r="1843" spans="76:77" ht="19.899999999999999" customHeight="1">
      <c r="BX1843" s="61"/>
      <c r="BY1843" s="61"/>
    </row>
    <row r="1844" spans="76:77" ht="19.899999999999999" customHeight="1">
      <c r="BX1844" s="61"/>
      <c r="BY1844" s="61"/>
    </row>
    <row r="1845" spans="76:77" ht="19.899999999999999" customHeight="1">
      <c r="BX1845" s="61"/>
      <c r="BY1845" s="61"/>
    </row>
    <row r="1846" spans="76:77" ht="19.899999999999999" customHeight="1">
      <c r="BX1846" s="61"/>
      <c r="BY1846" s="61"/>
    </row>
    <row r="1847" spans="76:77" ht="19.899999999999999" customHeight="1">
      <c r="BX1847" s="61"/>
      <c r="BY1847" s="61"/>
    </row>
    <row r="1848" spans="76:77" ht="19.899999999999999" customHeight="1">
      <c r="BX1848" s="61"/>
      <c r="BY1848" s="61"/>
    </row>
    <row r="1849" spans="76:77" ht="19.899999999999999" customHeight="1">
      <c r="BX1849" s="61"/>
      <c r="BY1849" s="61"/>
    </row>
    <row r="1850" spans="76:77" ht="19.899999999999999" customHeight="1">
      <c r="BX1850" s="61"/>
      <c r="BY1850" s="61"/>
    </row>
    <row r="1851" spans="76:77" ht="19.899999999999999" customHeight="1">
      <c r="BX1851" s="61"/>
      <c r="BY1851" s="61"/>
    </row>
    <row r="1852" spans="76:77" ht="19.899999999999999" customHeight="1">
      <c r="BX1852" s="61"/>
      <c r="BY1852" s="61"/>
    </row>
    <row r="1853" spans="76:77" ht="19.899999999999999" customHeight="1">
      <c r="BX1853" s="61"/>
      <c r="BY1853" s="61"/>
    </row>
    <row r="1854" spans="76:77" ht="19.899999999999999" customHeight="1">
      <c r="BX1854" s="61"/>
      <c r="BY1854" s="61"/>
    </row>
    <row r="1855" spans="76:77" ht="19.899999999999999" customHeight="1">
      <c r="BX1855" s="61"/>
      <c r="BY1855" s="61"/>
    </row>
    <row r="1856" spans="76:77" ht="19.899999999999999" customHeight="1">
      <c r="BX1856" s="61"/>
      <c r="BY1856" s="61"/>
    </row>
    <row r="1857" spans="76:77" ht="19.899999999999999" customHeight="1">
      <c r="BX1857" s="61"/>
      <c r="BY1857" s="61"/>
    </row>
    <row r="1858" spans="76:77" ht="19.899999999999999" customHeight="1">
      <c r="BX1858" s="61"/>
      <c r="BY1858" s="61"/>
    </row>
    <row r="1859" spans="76:77" ht="19.899999999999999" customHeight="1">
      <c r="BX1859" s="61"/>
      <c r="BY1859" s="61"/>
    </row>
    <row r="1860" spans="76:77" ht="19.899999999999999" customHeight="1">
      <c r="BX1860" s="61"/>
      <c r="BY1860" s="61"/>
    </row>
    <row r="1861" spans="76:77" ht="19.899999999999999" customHeight="1">
      <c r="BX1861" s="61"/>
      <c r="BY1861" s="61"/>
    </row>
    <row r="1862" spans="76:77" ht="19.899999999999999" customHeight="1">
      <c r="BX1862" s="61"/>
      <c r="BY1862" s="61"/>
    </row>
    <row r="1863" spans="76:77" ht="19.899999999999999" customHeight="1">
      <c r="BX1863" s="61"/>
      <c r="BY1863" s="61"/>
    </row>
    <row r="1864" spans="76:77" ht="19.899999999999999" customHeight="1">
      <c r="BX1864" s="61"/>
      <c r="BY1864" s="61"/>
    </row>
    <row r="1865" spans="76:77" ht="19.899999999999999" customHeight="1">
      <c r="BX1865" s="61"/>
      <c r="BY1865" s="61"/>
    </row>
    <row r="1866" spans="76:77" ht="19.899999999999999" customHeight="1">
      <c r="BX1866" s="61"/>
      <c r="BY1866" s="61"/>
    </row>
    <row r="1867" spans="76:77" ht="19.899999999999999" customHeight="1">
      <c r="BX1867" s="61"/>
      <c r="BY1867" s="61"/>
    </row>
    <row r="1868" spans="76:77" ht="19.899999999999999" customHeight="1">
      <c r="BX1868" s="61"/>
      <c r="BY1868" s="61"/>
    </row>
    <row r="1869" spans="76:77" ht="19.899999999999999" customHeight="1">
      <c r="BX1869" s="61"/>
      <c r="BY1869" s="61"/>
    </row>
    <row r="1870" spans="76:77" ht="19.899999999999999" customHeight="1">
      <c r="BX1870" s="61"/>
      <c r="BY1870" s="61"/>
    </row>
    <row r="1871" spans="76:77" ht="19.899999999999999" customHeight="1">
      <c r="BX1871" s="61"/>
      <c r="BY1871" s="61"/>
    </row>
    <row r="1872" spans="76:77" ht="19.899999999999999" customHeight="1">
      <c r="BX1872" s="61"/>
      <c r="BY1872" s="61"/>
    </row>
    <row r="1873" spans="76:77" ht="19.899999999999999" customHeight="1">
      <c r="BX1873" s="61"/>
      <c r="BY1873" s="61"/>
    </row>
    <row r="1874" spans="76:77" ht="19.899999999999999" customHeight="1">
      <c r="BX1874" s="61"/>
      <c r="BY1874" s="61"/>
    </row>
    <row r="1875" spans="76:77" ht="19.899999999999999" customHeight="1">
      <c r="BX1875" s="61"/>
      <c r="BY1875" s="61"/>
    </row>
    <row r="1876" spans="76:77" ht="19.899999999999999" customHeight="1">
      <c r="BX1876" s="61"/>
      <c r="BY1876" s="61"/>
    </row>
    <row r="1877" spans="76:77" ht="19.899999999999999" customHeight="1">
      <c r="BX1877" s="61"/>
      <c r="BY1877" s="61"/>
    </row>
    <row r="1878" spans="76:77" ht="19.899999999999999" customHeight="1">
      <c r="BX1878" s="61"/>
      <c r="BY1878" s="61"/>
    </row>
    <row r="1879" spans="76:77" ht="19.899999999999999" customHeight="1">
      <c r="BX1879" s="61"/>
      <c r="BY1879" s="61"/>
    </row>
    <row r="1880" spans="76:77" ht="19.899999999999999" customHeight="1">
      <c r="BX1880" s="61"/>
      <c r="BY1880" s="61"/>
    </row>
    <row r="1881" spans="76:77" ht="19.899999999999999" customHeight="1">
      <c r="BX1881" s="61"/>
      <c r="BY1881" s="61"/>
    </row>
    <row r="1882" spans="76:77" ht="19.899999999999999" customHeight="1">
      <c r="BX1882" s="61"/>
      <c r="BY1882" s="61"/>
    </row>
    <row r="1883" spans="76:77" ht="19.899999999999999" customHeight="1">
      <c r="BX1883" s="61"/>
      <c r="BY1883" s="61"/>
    </row>
    <row r="1884" spans="76:77" ht="19.899999999999999" customHeight="1">
      <c r="BX1884" s="61"/>
      <c r="BY1884" s="61"/>
    </row>
    <row r="1885" spans="76:77" ht="19.899999999999999" customHeight="1">
      <c r="BX1885" s="61"/>
      <c r="BY1885" s="61"/>
    </row>
    <row r="1886" spans="76:77" ht="19.899999999999999" customHeight="1">
      <c r="BX1886" s="61"/>
      <c r="BY1886" s="61"/>
    </row>
    <row r="1887" spans="76:77" ht="19.899999999999999" customHeight="1">
      <c r="BX1887" s="61"/>
      <c r="BY1887" s="61"/>
    </row>
    <row r="1888" spans="76:77" ht="19.899999999999999" customHeight="1">
      <c r="BX1888" s="61"/>
      <c r="BY1888" s="61"/>
    </row>
    <row r="1889" spans="76:77" ht="19.899999999999999" customHeight="1">
      <c r="BX1889" s="61"/>
      <c r="BY1889" s="61"/>
    </row>
    <row r="1890" spans="76:77" ht="19.899999999999999" customHeight="1">
      <c r="BX1890" s="61"/>
      <c r="BY1890" s="61"/>
    </row>
    <row r="1891" spans="76:77" ht="19.899999999999999" customHeight="1">
      <c r="BX1891" s="61"/>
      <c r="BY1891" s="61"/>
    </row>
    <row r="1892" spans="76:77" ht="19.899999999999999" customHeight="1">
      <c r="BX1892" s="61"/>
      <c r="BY1892" s="61"/>
    </row>
    <row r="1893" spans="76:77" ht="19.899999999999999" customHeight="1">
      <c r="BX1893" s="61"/>
      <c r="BY1893" s="61"/>
    </row>
    <row r="1894" spans="76:77" ht="19.899999999999999" customHeight="1">
      <c r="BX1894" s="61"/>
      <c r="BY1894" s="61"/>
    </row>
    <row r="1895" spans="76:77" ht="19.899999999999999" customHeight="1">
      <c r="BX1895" s="61"/>
      <c r="BY1895" s="61"/>
    </row>
    <row r="1896" spans="76:77" ht="19.899999999999999" customHeight="1">
      <c r="BX1896" s="61"/>
      <c r="BY1896" s="61"/>
    </row>
    <row r="1897" spans="76:77" ht="19.899999999999999" customHeight="1">
      <c r="BX1897" s="61"/>
      <c r="BY1897" s="61"/>
    </row>
    <row r="1898" spans="76:77" ht="19.899999999999999" customHeight="1">
      <c r="BX1898" s="61"/>
      <c r="BY1898" s="61"/>
    </row>
    <row r="1899" spans="76:77" ht="19.899999999999999" customHeight="1">
      <c r="BX1899" s="61"/>
      <c r="BY1899" s="61"/>
    </row>
    <row r="1900" spans="76:77" ht="19.899999999999999" customHeight="1">
      <c r="BX1900" s="61"/>
      <c r="BY1900" s="61"/>
    </row>
    <row r="1901" spans="76:77" ht="19.899999999999999" customHeight="1">
      <c r="BX1901" s="61"/>
      <c r="BY1901" s="61"/>
    </row>
    <row r="1902" spans="76:77" ht="19.899999999999999" customHeight="1">
      <c r="BX1902" s="61"/>
      <c r="BY1902" s="61"/>
    </row>
    <row r="1903" spans="76:77" ht="19.899999999999999" customHeight="1">
      <c r="BX1903" s="61"/>
      <c r="BY1903" s="61"/>
    </row>
    <row r="1904" spans="76:77" ht="19.899999999999999" customHeight="1">
      <c r="BX1904" s="61"/>
      <c r="BY1904" s="61"/>
    </row>
    <row r="1905" spans="76:77" ht="19.899999999999999" customHeight="1">
      <c r="BX1905" s="61"/>
      <c r="BY1905" s="61"/>
    </row>
    <row r="1906" spans="76:77" ht="19.899999999999999" customHeight="1">
      <c r="BX1906" s="61"/>
      <c r="BY1906" s="61"/>
    </row>
    <row r="1907" spans="76:77" ht="19.899999999999999" customHeight="1">
      <c r="BX1907" s="61"/>
      <c r="BY1907" s="61"/>
    </row>
    <row r="1908" spans="76:77" ht="19.899999999999999" customHeight="1">
      <c r="BX1908" s="61"/>
      <c r="BY1908" s="61"/>
    </row>
    <row r="1909" spans="76:77" ht="19.899999999999999" customHeight="1">
      <c r="BX1909" s="61"/>
      <c r="BY1909" s="61"/>
    </row>
    <row r="1910" spans="76:77" ht="19.899999999999999" customHeight="1">
      <c r="BX1910" s="61"/>
      <c r="BY1910" s="61"/>
    </row>
    <row r="1911" spans="76:77" ht="19.899999999999999" customHeight="1">
      <c r="BX1911" s="61"/>
      <c r="BY1911" s="61"/>
    </row>
    <row r="1912" spans="76:77" ht="19.899999999999999" customHeight="1">
      <c r="BX1912" s="61"/>
      <c r="BY1912" s="61"/>
    </row>
    <row r="1913" spans="76:77" ht="19.899999999999999" customHeight="1">
      <c r="BX1913" s="61"/>
      <c r="BY1913" s="61"/>
    </row>
    <row r="1914" spans="76:77" ht="19.899999999999999" customHeight="1">
      <c r="BX1914" s="61"/>
      <c r="BY1914" s="61"/>
    </row>
    <row r="1915" spans="76:77" ht="19.899999999999999" customHeight="1">
      <c r="BX1915" s="61"/>
      <c r="BY1915" s="61"/>
    </row>
    <row r="1916" spans="76:77" ht="19.899999999999999" customHeight="1">
      <c r="BX1916" s="61"/>
      <c r="BY1916" s="61"/>
    </row>
    <row r="1917" spans="76:77" ht="19.899999999999999" customHeight="1">
      <c r="BX1917" s="61"/>
      <c r="BY1917" s="61"/>
    </row>
    <row r="1918" spans="76:77" ht="19.899999999999999" customHeight="1">
      <c r="BX1918" s="61"/>
      <c r="BY1918" s="61"/>
    </row>
    <row r="1919" spans="76:77" ht="19.899999999999999" customHeight="1">
      <c r="BX1919" s="61"/>
      <c r="BY1919" s="61"/>
    </row>
    <row r="1920" spans="76:77" ht="19.899999999999999" customHeight="1">
      <c r="BX1920" s="61"/>
      <c r="BY1920" s="61"/>
    </row>
    <row r="1921" spans="76:77" ht="19.899999999999999" customHeight="1">
      <c r="BX1921" s="61"/>
      <c r="BY1921" s="61"/>
    </row>
    <row r="1922" spans="76:77" ht="19.899999999999999" customHeight="1">
      <c r="BX1922" s="61"/>
      <c r="BY1922" s="61"/>
    </row>
    <row r="1923" spans="76:77" ht="19.899999999999999" customHeight="1">
      <c r="BX1923" s="61"/>
      <c r="BY1923" s="61"/>
    </row>
    <row r="1924" spans="76:77" ht="19.899999999999999" customHeight="1">
      <c r="BX1924" s="61"/>
      <c r="BY1924" s="61"/>
    </row>
    <row r="1925" spans="76:77" ht="19.899999999999999" customHeight="1">
      <c r="BX1925" s="61"/>
      <c r="BY1925" s="61"/>
    </row>
    <row r="1926" spans="76:77" ht="19.899999999999999" customHeight="1">
      <c r="BX1926" s="61"/>
      <c r="BY1926" s="61"/>
    </row>
    <row r="1927" spans="76:77" ht="19.899999999999999" customHeight="1">
      <c r="BX1927" s="61"/>
      <c r="BY1927" s="61"/>
    </row>
    <row r="1928" spans="76:77" ht="19.899999999999999" customHeight="1">
      <c r="BX1928" s="61"/>
      <c r="BY1928" s="61"/>
    </row>
    <row r="1929" spans="76:77" ht="19.899999999999999" customHeight="1">
      <c r="BX1929" s="61"/>
      <c r="BY1929" s="61"/>
    </row>
    <row r="1930" spans="76:77" ht="19.899999999999999" customHeight="1">
      <c r="BX1930" s="61"/>
      <c r="BY1930" s="61"/>
    </row>
    <row r="1931" spans="76:77" ht="19.899999999999999" customHeight="1">
      <c r="BX1931" s="61"/>
      <c r="BY1931" s="61"/>
    </row>
    <row r="1932" spans="76:77" ht="19.899999999999999" customHeight="1">
      <c r="BX1932" s="61"/>
      <c r="BY1932" s="61"/>
    </row>
    <row r="1933" spans="76:77" ht="19.899999999999999" customHeight="1">
      <c r="BX1933" s="61"/>
      <c r="BY1933" s="61"/>
    </row>
    <row r="1934" spans="76:77" ht="19.899999999999999" customHeight="1">
      <c r="BX1934" s="61"/>
      <c r="BY1934" s="61"/>
    </row>
    <row r="1935" spans="76:77" ht="19.899999999999999" customHeight="1">
      <c r="BX1935" s="61"/>
      <c r="BY1935" s="61"/>
    </row>
    <row r="1936" spans="76:77" ht="19.899999999999999" customHeight="1">
      <c r="BX1936" s="61"/>
      <c r="BY1936" s="61"/>
    </row>
    <row r="1937" spans="76:77" ht="19.899999999999999" customHeight="1">
      <c r="BX1937" s="61"/>
      <c r="BY1937" s="61"/>
    </row>
    <row r="1938" spans="76:77" ht="19.899999999999999" customHeight="1">
      <c r="BX1938" s="61"/>
      <c r="BY1938" s="61"/>
    </row>
    <row r="1939" spans="76:77" ht="19.899999999999999" customHeight="1">
      <c r="BX1939" s="61"/>
      <c r="BY1939" s="61"/>
    </row>
    <row r="1940" spans="76:77" ht="19.899999999999999" customHeight="1">
      <c r="BX1940" s="61"/>
      <c r="BY1940" s="61"/>
    </row>
    <row r="1941" spans="76:77" ht="19.899999999999999" customHeight="1">
      <c r="BX1941" s="61"/>
      <c r="BY1941" s="61"/>
    </row>
    <row r="1942" spans="76:77" ht="19.899999999999999" customHeight="1">
      <c r="BX1942" s="61"/>
      <c r="BY1942" s="61"/>
    </row>
    <row r="1943" spans="76:77" ht="19.899999999999999" customHeight="1">
      <c r="BX1943" s="61"/>
      <c r="BY1943" s="61"/>
    </row>
    <row r="1944" spans="76:77" ht="19.899999999999999" customHeight="1">
      <c r="BX1944" s="61"/>
      <c r="BY1944" s="61"/>
    </row>
    <row r="1945" spans="76:77" ht="19.899999999999999" customHeight="1">
      <c r="BX1945" s="61"/>
      <c r="BY1945" s="61"/>
    </row>
    <row r="1946" spans="76:77" ht="19.899999999999999" customHeight="1">
      <c r="BX1946" s="61"/>
      <c r="BY1946" s="61"/>
    </row>
    <row r="1947" spans="76:77" ht="19.899999999999999" customHeight="1">
      <c r="BX1947" s="61"/>
      <c r="BY1947" s="61"/>
    </row>
    <row r="1948" spans="76:77" ht="19.899999999999999" customHeight="1">
      <c r="BX1948" s="61"/>
      <c r="BY1948" s="61"/>
    </row>
    <row r="1949" spans="76:77" ht="19.899999999999999" customHeight="1">
      <c r="BX1949" s="61"/>
      <c r="BY1949" s="61"/>
    </row>
    <row r="1950" spans="76:77" ht="19.899999999999999" customHeight="1">
      <c r="BX1950" s="61"/>
      <c r="BY1950" s="61"/>
    </row>
    <row r="1951" spans="76:77" ht="19.899999999999999" customHeight="1">
      <c r="BX1951" s="61"/>
      <c r="BY1951" s="61"/>
    </row>
    <row r="1952" spans="76:77" ht="19.899999999999999" customHeight="1">
      <c r="BX1952" s="61"/>
      <c r="BY1952" s="61"/>
    </row>
    <row r="1953" spans="76:77" ht="19.899999999999999" customHeight="1">
      <c r="BX1953" s="61"/>
      <c r="BY1953" s="61"/>
    </row>
    <row r="1954" spans="76:77" ht="19.899999999999999" customHeight="1">
      <c r="BX1954" s="61"/>
      <c r="BY1954" s="61"/>
    </row>
    <row r="1955" spans="76:77" ht="19.899999999999999" customHeight="1">
      <c r="BX1955" s="61"/>
      <c r="BY1955" s="61"/>
    </row>
    <row r="1956" spans="76:77" ht="19.899999999999999" customHeight="1">
      <c r="BX1956" s="61"/>
      <c r="BY1956" s="61"/>
    </row>
    <row r="1957" spans="76:77" ht="19.899999999999999" customHeight="1">
      <c r="BX1957" s="61"/>
      <c r="BY1957" s="61"/>
    </row>
    <row r="1958" spans="76:77" ht="19.899999999999999" customHeight="1">
      <c r="BX1958" s="61"/>
      <c r="BY1958" s="61"/>
    </row>
    <row r="1959" spans="76:77" ht="19.899999999999999" customHeight="1">
      <c r="BX1959" s="61"/>
      <c r="BY1959" s="61"/>
    </row>
    <row r="1960" spans="76:77" ht="19.899999999999999" customHeight="1">
      <c r="BX1960" s="61"/>
      <c r="BY1960" s="61"/>
    </row>
    <row r="1961" spans="76:77" ht="19.899999999999999" customHeight="1">
      <c r="BX1961" s="61"/>
      <c r="BY1961" s="61"/>
    </row>
    <row r="1962" spans="76:77" ht="19.899999999999999" customHeight="1">
      <c r="BX1962" s="61"/>
      <c r="BY1962" s="61"/>
    </row>
    <row r="1963" spans="76:77" ht="19.899999999999999" customHeight="1">
      <c r="BX1963" s="61"/>
      <c r="BY1963" s="61"/>
    </row>
    <row r="1964" spans="76:77" ht="19.899999999999999" customHeight="1">
      <c r="BX1964" s="61"/>
      <c r="BY1964" s="61"/>
    </row>
    <row r="1965" spans="76:77" ht="19.899999999999999" customHeight="1">
      <c r="BX1965" s="61"/>
      <c r="BY1965" s="61"/>
    </row>
    <row r="1966" spans="76:77" ht="19.899999999999999" customHeight="1">
      <c r="BX1966" s="61"/>
      <c r="BY1966" s="61"/>
    </row>
    <row r="1967" spans="76:77" ht="19.899999999999999" customHeight="1">
      <c r="BX1967" s="61"/>
      <c r="BY1967" s="61"/>
    </row>
    <row r="1968" spans="76:77" ht="19.899999999999999" customHeight="1">
      <c r="BX1968" s="61"/>
      <c r="BY1968" s="61"/>
    </row>
    <row r="1969" spans="76:77" ht="19.899999999999999" customHeight="1">
      <c r="BX1969" s="61"/>
      <c r="BY1969" s="61"/>
    </row>
    <row r="1970" spans="76:77" ht="19.899999999999999" customHeight="1">
      <c r="BX1970" s="61"/>
      <c r="BY1970" s="61"/>
    </row>
    <row r="1971" spans="76:77" ht="19.899999999999999" customHeight="1">
      <c r="BX1971" s="61"/>
      <c r="BY1971" s="61"/>
    </row>
    <row r="1972" spans="76:77" ht="19.899999999999999" customHeight="1">
      <c r="BX1972" s="61"/>
      <c r="BY1972" s="61"/>
    </row>
    <row r="1973" spans="76:77" ht="19.899999999999999" customHeight="1">
      <c r="BX1973" s="61"/>
      <c r="BY1973" s="61"/>
    </row>
    <row r="1974" spans="76:77" ht="19.899999999999999" customHeight="1">
      <c r="BX1974" s="61"/>
      <c r="BY1974" s="61"/>
    </row>
    <row r="1975" spans="76:77" ht="19.899999999999999" customHeight="1">
      <c r="BX1975" s="61"/>
      <c r="BY1975" s="61"/>
    </row>
    <row r="1976" spans="76:77" ht="19.899999999999999" customHeight="1">
      <c r="BX1976" s="61"/>
      <c r="BY1976" s="61"/>
    </row>
    <row r="1977" spans="76:77" ht="19.899999999999999" customHeight="1">
      <c r="BX1977" s="61"/>
      <c r="BY1977" s="61"/>
    </row>
    <row r="1978" spans="76:77" ht="19.899999999999999" customHeight="1">
      <c r="BX1978" s="61"/>
      <c r="BY1978" s="61"/>
    </row>
    <row r="1979" spans="76:77" ht="19.899999999999999" customHeight="1">
      <c r="BX1979" s="61"/>
      <c r="BY1979" s="61"/>
    </row>
    <row r="1980" spans="76:77" ht="19.899999999999999" customHeight="1">
      <c r="BX1980" s="61"/>
      <c r="BY1980" s="61"/>
    </row>
    <row r="1981" spans="76:77" ht="19.899999999999999" customHeight="1">
      <c r="BX1981" s="61"/>
      <c r="BY1981" s="61"/>
    </row>
    <row r="1982" spans="76:77" ht="19.899999999999999" customHeight="1">
      <c r="BX1982" s="61"/>
      <c r="BY1982" s="61"/>
    </row>
    <row r="1983" spans="76:77" ht="19.899999999999999" customHeight="1">
      <c r="BX1983" s="61"/>
      <c r="BY1983" s="61"/>
    </row>
    <row r="1984" spans="76:77" ht="19.899999999999999" customHeight="1">
      <c r="BX1984" s="61"/>
      <c r="BY1984" s="61"/>
    </row>
    <row r="1985" spans="76:77" ht="19.899999999999999" customHeight="1">
      <c r="BX1985" s="61"/>
      <c r="BY1985" s="61"/>
    </row>
    <row r="1986" spans="76:77" ht="19.899999999999999" customHeight="1">
      <c r="BX1986" s="61"/>
      <c r="BY1986" s="61"/>
    </row>
    <row r="1987" spans="76:77" ht="19.899999999999999" customHeight="1">
      <c r="BX1987" s="61"/>
      <c r="BY1987" s="61"/>
    </row>
    <row r="1988" spans="76:77" ht="19.899999999999999" customHeight="1">
      <c r="BX1988" s="61"/>
      <c r="BY1988" s="61"/>
    </row>
    <row r="1989" spans="76:77" ht="19.899999999999999" customHeight="1">
      <c r="BX1989" s="61"/>
      <c r="BY1989" s="61"/>
    </row>
    <row r="1990" spans="76:77" ht="19.899999999999999" customHeight="1">
      <c r="BX1990" s="61"/>
      <c r="BY1990" s="61"/>
    </row>
    <row r="1991" spans="76:77" ht="19.899999999999999" customHeight="1">
      <c r="BX1991" s="61"/>
      <c r="BY1991" s="61"/>
    </row>
    <row r="1992" spans="76:77" ht="19.899999999999999" customHeight="1">
      <c r="BX1992" s="61"/>
      <c r="BY1992" s="61"/>
    </row>
    <row r="1993" spans="76:77" ht="19.899999999999999" customHeight="1">
      <c r="BX1993" s="61"/>
      <c r="BY1993" s="61"/>
    </row>
    <row r="1994" spans="76:77" ht="19.899999999999999" customHeight="1">
      <c r="BX1994" s="61"/>
      <c r="BY1994" s="61"/>
    </row>
    <row r="1995" spans="76:77" ht="19.899999999999999" customHeight="1">
      <c r="BX1995" s="61"/>
      <c r="BY1995" s="61"/>
    </row>
    <row r="1996" spans="76:77" ht="19.899999999999999" customHeight="1">
      <c r="BX1996" s="61"/>
      <c r="BY1996" s="61"/>
    </row>
    <row r="1997" spans="76:77" ht="19.899999999999999" customHeight="1">
      <c r="BX1997" s="61"/>
      <c r="BY1997" s="61"/>
    </row>
    <row r="1998" spans="76:77" ht="19.899999999999999" customHeight="1">
      <c r="BX1998" s="61"/>
      <c r="BY1998" s="61"/>
    </row>
    <row r="1999" spans="76:77" ht="19.899999999999999" customHeight="1">
      <c r="BX1999" s="61"/>
      <c r="BY1999" s="61"/>
    </row>
    <row r="2000" spans="76:77" ht="19.899999999999999" customHeight="1">
      <c r="BX2000" s="61"/>
      <c r="BY2000" s="61"/>
    </row>
    <row r="2001" spans="76:77" ht="19.899999999999999" customHeight="1">
      <c r="BX2001" s="61"/>
      <c r="BY2001" s="61"/>
    </row>
    <row r="2002" spans="76:77" ht="19.899999999999999" customHeight="1">
      <c r="BX2002" s="61"/>
      <c r="BY2002" s="61"/>
    </row>
    <row r="2003" spans="76:77" ht="19.899999999999999" customHeight="1">
      <c r="BX2003" s="61"/>
      <c r="BY2003" s="61"/>
    </row>
    <row r="2004" spans="76:77" ht="19.899999999999999" customHeight="1">
      <c r="BX2004" s="61"/>
      <c r="BY2004" s="61"/>
    </row>
    <row r="2005" spans="76:77" ht="19.899999999999999" customHeight="1">
      <c r="BX2005" s="61"/>
      <c r="BY2005" s="61"/>
    </row>
    <row r="2006" spans="76:77" ht="19.899999999999999" customHeight="1">
      <c r="BX2006" s="61"/>
      <c r="BY2006" s="61"/>
    </row>
    <row r="2007" spans="76:77" ht="19.899999999999999" customHeight="1">
      <c r="BX2007" s="61"/>
      <c r="BY2007" s="61"/>
    </row>
    <row r="2008" spans="76:77" ht="19.899999999999999" customHeight="1">
      <c r="BX2008" s="61"/>
      <c r="BY2008" s="61"/>
    </row>
    <row r="2009" spans="76:77" ht="19.899999999999999" customHeight="1">
      <c r="BX2009" s="61"/>
      <c r="BY2009" s="61"/>
    </row>
    <row r="2010" spans="76:77" ht="19.899999999999999" customHeight="1">
      <c r="BX2010" s="61"/>
      <c r="BY2010" s="61"/>
    </row>
    <row r="2011" spans="76:77" ht="19.899999999999999" customHeight="1">
      <c r="BX2011" s="61"/>
      <c r="BY2011" s="61"/>
    </row>
    <row r="2012" spans="76:77" ht="19.899999999999999" customHeight="1">
      <c r="BX2012" s="61"/>
      <c r="BY2012" s="61"/>
    </row>
    <row r="2013" spans="76:77" ht="19.899999999999999" customHeight="1">
      <c r="BX2013" s="61"/>
      <c r="BY2013" s="61"/>
    </row>
    <row r="2014" spans="76:77" ht="19.899999999999999" customHeight="1">
      <c r="BX2014" s="61"/>
      <c r="BY2014" s="61"/>
    </row>
    <row r="2015" spans="76:77" ht="19.899999999999999" customHeight="1">
      <c r="BX2015" s="61"/>
      <c r="BY2015" s="61"/>
    </row>
    <row r="2016" spans="76:77" ht="19.899999999999999" customHeight="1">
      <c r="BX2016" s="61"/>
      <c r="BY2016" s="61"/>
    </row>
    <row r="2017" spans="76:77" ht="19.899999999999999" customHeight="1">
      <c r="BX2017" s="61"/>
      <c r="BY2017" s="61"/>
    </row>
    <row r="2018" spans="76:77" ht="19.899999999999999" customHeight="1">
      <c r="BX2018" s="61"/>
      <c r="BY2018" s="61"/>
    </row>
    <row r="2019" spans="76:77" ht="19.899999999999999" customHeight="1">
      <c r="BX2019" s="61"/>
      <c r="BY2019" s="61"/>
    </row>
    <row r="2020" spans="76:77" ht="19.899999999999999" customHeight="1">
      <c r="BX2020" s="61"/>
      <c r="BY2020" s="61"/>
    </row>
    <row r="2021" spans="76:77" ht="19.899999999999999" customHeight="1">
      <c r="BX2021" s="61"/>
      <c r="BY2021" s="61"/>
    </row>
    <row r="2022" spans="76:77" ht="19.899999999999999" customHeight="1">
      <c r="BX2022" s="61"/>
      <c r="BY2022" s="61"/>
    </row>
    <row r="2023" spans="76:77" ht="19.899999999999999" customHeight="1">
      <c r="BX2023" s="61"/>
      <c r="BY2023" s="61"/>
    </row>
    <row r="2024" spans="76:77" ht="19.899999999999999" customHeight="1">
      <c r="BX2024" s="61"/>
      <c r="BY2024" s="61"/>
    </row>
    <row r="2025" spans="76:77" ht="19.899999999999999" customHeight="1">
      <c r="BX2025" s="61"/>
      <c r="BY2025" s="61"/>
    </row>
    <row r="2026" spans="76:77" ht="19.899999999999999" customHeight="1">
      <c r="BX2026" s="61"/>
      <c r="BY2026" s="61"/>
    </row>
    <row r="2027" spans="76:77" ht="19.899999999999999" customHeight="1">
      <c r="BX2027" s="61"/>
      <c r="BY2027" s="61"/>
    </row>
    <row r="2028" spans="76:77" ht="19.899999999999999" customHeight="1">
      <c r="BX2028" s="61"/>
      <c r="BY2028" s="61"/>
    </row>
    <row r="2029" spans="76:77" ht="19.899999999999999" customHeight="1">
      <c r="BX2029" s="61"/>
      <c r="BY2029" s="61"/>
    </row>
    <row r="2030" spans="76:77" ht="19.899999999999999" customHeight="1">
      <c r="BX2030" s="61"/>
      <c r="BY2030" s="61"/>
    </row>
    <row r="2031" spans="76:77" ht="19.899999999999999" customHeight="1">
      <c r="BX2031" s="61"/>
      <c r="BY2031" s="61"/>
    </row>
    <row r="2032" spans="76:77" ht="19.899999999999999" customHeight="1">
      <c r="BX2032" s="61"/>
      <c r="BY2032" s="61"/>
    </row>
    <row r="2033" spans="76:77" ht="19.899999999999999" customHeight="1">
      <c r="BX2033" s="61"/>
      <c r="BY2033" s="61"/>
    </row>
    <row r="2034" spans="76:77" ht="19.899999999999999" customHeight="1">
      <c r="BX2034" s="61"/>
      <c r="BY2034" s="61"/>
    </row>
    <row r="2035" spans="76:77" ht="19.899999999999999" customHeight="1">
      <c r="BX2035" s="61"/>
      <c r="BY2035" s="61"/>
    </row>
    <row r="2036" spans="76:77" ht="19.899999999999999" customHeight="1">
      <c r="BX2036" s="61"/>
      <c r="BY2036" s="61"/>
    </row>
    <row r="2037" spans="76:77" ht="19.899999999999999" customHeight="1">
      <c r="BX2037" s="61"/>
      <c r="BY2037" s="61"/>
    </row>
    <row r="2038" spans="76:77" ht="19.899999999999999" customHeight="1">
      <c r="BX2038" s="61"/>
      <c r="BY2038" s="61"/>
    </row>
    <row r="2039" spans="76:77" ht="19.899999999999999" customHeight="1">
      <c r="BX2039" s="61"/>
      <c r="BY2039" s="61"/>
    </row>
    <row r="2040" spans="76:77" ht="19.899999999999999" customHeight="1">
      <c r="BX2040" s="61"/>
      <c r="BY2040" s="61"/>
    </row>
    <row r="2041" spans="76:77" ht="19.899999999999999" customHeight="1">
      <c r="BX2041" s="61"/>
      <c r="BY2041" s="61"/>
    </row>
    <row r="2042" spans="76:77" ht="19.899999999999999" customHeight="1">
      <c r="BX2042" s="61"/>
      <c r="BY2042" s="61"/>
    </row>
    <row r="2043" spans="76:77" ht="19.899999999999999" customHeight="1">
      <c r="BX2043" s="61"/>
      <c r="BY2043" s="61"/>
    </row>
    <row r="2044" spans="76:77" ht="19.899999999999999" customHeight="1">
      <c r="BX2044" s="61"/>
      <c r="BY2044" s="61"/>
    </row>
    <row r="2045" spans="76:77" ht="19.899999999999999" customHeight="1">
      <c r="BX2045" s="61"/>
      <c r="BY2045" s="61"/>
    </row>
    <row r="2046" spans="76:77" ht="19.899999999999999" customHeight="1">
      <c r="BX2046" s="61"/>
      <c r="BY2046" s="61"/>
    </row>
    <row r="2047" spans="76:77" ht="19.899999999999999" customHeight="1">
      <c r="BX2047" s="61"/>
      <c r="BY2047" s="61"/>
    </row>
    <row r="2048" spans="76:77" ht="19.899999999999999" customHeight="1">
      <c r="BX2048" s="61"/>
      <c r="BY2048" s="61"/>
    </row>
    <row r="2049" spans="76:77" ht="19.899999999999999" customHeight="1">
      <c r="BX2049" s="61"/>
      <c r="BY2049" s="61"/>
    </row>
    <row r="2050" spans="76:77" ht="19.899999999999999" customHeight="1">
      <c r="BX2050" s="61"/>
      <c r="BY2050" s="61"/>
    </row>
    <row r="2051" spans="76:77" ht="19.899999999999999" customHeight="1">
      <c r="BX2051" s="61"/>
      <c r="BY2051" s="61"/>
    </row>
    <row r="2052" spans="76:77" ht="19.899999999999999" customHeight="1">
      <c r="BX2052" s="61"/>
      <c r="BY2052" s="61"/>
    </row>
    <row r="2053" spans="76:77" ht="19.899999999999999" customHeight="1">
      <c r="BX2053" s="61"/>
      <c r="BY2053" s="61"/>
    </row>
    <row r="2054" spans="76:77" ht="19.899999999999999" customHeight="1">
      <c r="BX2054" s="61"/>
      <c r="BY2054" s="61"/>
    </row>
    <row r="2055" spans="76:77" ht="19.899999999999999" customHeight="1">
      <c r="BX2055" s="61"/>
      <c r="BY2055" s="61"/>
    </row>
    <row r="2056" spans="76:77" ht="19.899999999999999" customHeight="1">
      <c r="BX2056" s="61"/>
      <c r="BY2056" s="61"/>
    </row>
    <row r="2057" spans="76:77" ht="19.899999999999999" customHeight="1">
      <c r="BX2057" s="61"/>
      <c r="BY2057" s="61"/>
    </row>
    <row r="2058" spans="76:77" ht="19.899999999999999" customHeight="1">
      <c r="BX2058" s="61"/>
      <c r="BY2058" s="61"/>
    </row>
    <row r="2059" spans="76:77" ht="19.899999999999999" customHeight="1">
      <c r="BX2059" s="61"/>
      <c r="BY2059" s="61"/>
    </row>
    <row r="2060" spans="76:77" ht="19.899999999999999" customHeight="1">
      <c r="BX2060" s="61"/>
      <c r="BY2060" s="61"/>
    </row>
    <row r="2061" spans="76:77" ht="19.899999999999999" customHeight="1">
      <c r="BX2061" s="61"/>
      <c r="BY2061" s="61"/>
    </row>
    <row r="2062" spans="76:77" ht="19.899999999999999" customHeight="1">
      <c r="BX2062" s="61"/>
      <c r="BY2062" s="61"/>
    </row>
    <row r="2063" spans="76:77" ht="19.899999999999999" customHeight="1">
      <c r="BX2063" s="61"/>
      <c r="BY2063" s="61"/>
    </row>
    <row r="2064" spans="76:77" ht="19.899999999999999" customHeight="1">
      <c r="BX2064" s="61"/>
      <c r="BY2064" s="61"/>
    </row>
    <row r="2065" spans="76:77" ht="19.899999999999999" customHeight="1">
      <c r="BX2065" s="61"/>
      <c r="BY2065" s="61"/>
    </row>
    <row r="2066" spans="76:77" ht="19.899999999999999" customHeight="1">
      <c r="BX2066" s="61"/>
      <c r="BY2066" s="61"/>
    </row>
    <row r="2067" spans="76:77" ht="19.899999999999999" customHeight="1">
      <c r="BX2067" s="61"/>
      <c r="BY2067" s="61"/>
    </row>
    <row r="2068" spans="76:77" ht="19.899999999999999" customHeight="1">
      <c r="BX2068" s="61"/>
      <c r="BY2068" s="61"/>
    </row>
    <row r="2069" spans="76:77" ht="19.899999999999999" customHeight="1">
      <c r="BX2069" s="61"/>
      <c r="BY2069" s="61"/>
    </row>
    <row r="2070" spans="76:77" ht="19.899999999999999" customHeight="1">
      <c r="BX2070" s="61"/>
      <c r="BY2070" s="61"/>
    </row>
    <row r="2071" spans="76:77" ht="19.899999999999999" customHeight="1">
      <c r="BX2071" s="61"/>
      <c r="BY2071" s="61"/>
    </row>
    <row r="2072" spans="76:77" ht="19.899999999999999" customHeight="1">
      <c r="BX2072" s="61"/>
      <c r="BY2072" s="61"/>
    </row>
    <row r="2073" spans="76:77" ht="19.899999999999999" customHeight="1">
      <c r="BX2073" s="61"/>
      <c r="BY2073" s="61"/>
    </row>
    <row r="2074" spans="76:77" ht="19.899999999999999" customHeight="1">
      <c r="BX2074" s="61"/>
      <c r="BY2074" s="61"/>
    </row>
    <row r="2075" spans="76:77" ht="19.899999999999999" customHeight="1">
      <c r="BX2075" s="61"/>
      <c r="BY2075" s="61"/>
    </row>
    <row r="2076" spans="76:77" ht="19.899999999999999" customHeight="1">
      <c r="BX2076" s="61"/>
      <c r="BY2076" s="61"/>
    </row>
    <row r="2077" spans="76:77" ht="19.899999999999999" customHeight="1">
      <c r="BX2077" s="61"/>
      <c r="BY2077" s="61"/>
    </row>
    <row r="2078" spans="76:77" ht="19.899999999999999" customHeight="1">
      <c r="BX2078" s="61"/>
      <c r="BY2078" s="61"/>
    </row>
    <row r="2079" spans="76:77" ht="19.899999999999999" customHeight="1">
      <c r="BX2079" s="61"/>
      <c r="BY2079" s="61"/>
    </row>
    <row r="2080" spans="76:77" ht="19.899999999999999" customHeight="1">
      <c r="BX2080" s="61"/>
      <c r="BY2080" s="61"/>
    </row>
    <row r="2081" spans="76:77" ht="19.899999999999999" customHeight="1">
      <c r="BX2081" s="61"/>
      <c r="BY2081" s="61"/>
    </row>
    <row r="2082" spans="76:77" ht="19.899999999999999" customHeight="1">
      <c r="BX2082" s="61"/>
      <c r="BY2082" s="61"/>
    </row>
    <row r="2083" spans="76:77" ht="19.899999999999999" customHeight="1">
      <c r="BX2083" s="61"/>
      <c r="BY2083" s="61"/>
    </row>
    <row r="2084" spans="76:77" ht="19.899999999999999" customHeight="1">
      <c r="BX2084" s="61"/>
      <c r="BY2084" s="61"/>
    </row>
    <row r="2085" spans="76:77" ht="19.899999999999999" customHeight="1">
      <c r="BX2085" s="61"/>
      <c r="BY2085" s="61"/>
    </row>
    <row r="2086" spans="76:77" ht="19.899999999999999" customHeight="1">
      <c r="BX2086" s="61"/>
      <c r="BY2086" s="61"/>
    </row>
    <row r="2087" spans="76:77" ht="19.899999999999999" customHeight="1">
      <c r="BX2087" s="61"/>
      <c r="BY2087" s="61"/>
    </row>
    <row r="2088" spans="76:77" ht="19.899999999999999" customHeight="1">
      <c r="BX2088" s="61"/>
      <c r="BY2088" s="61"/>
    </row>
    <row r="2089" spans="76:77" ht="19.899999999999999" customHeight="1">
      <c r="BX2089" s="61"/>
      <c r="BY2089" s="61"/>
    </row>
    <row r="2090" spans="76:77" ht="19.899999999999999" customHeight="1">
      <c r="BX2090" s="61"/>
      <c r="BY2090" s="61"/>
    </row>
    <row r="2091" spans="76:77" ht="19.899999999999999" customHeight="1">
      <c r="BX2091" s="61"/>
      <c r="BY2091" s="61"/>
    </row>
    <row r="2092" spans="76:77" ht="19.899999999999999" customHeight="1">
      <c r="BX2092" s="61"/>
      <c r="BY2092" s="61"/>
    </row>
    <row r="2093" spans="76:77" ht="19.899999999999999" customHeight="1">
      <c r="BX2093" s="61"/>
      <c r="BY2093" s="61"/>
    </row>
    <row r="2094" spans="76:77" ht="19.899999999999999" customHeight="1">
      <c r="BX2094" s="61"/>
      <c r="BY2094" s="61"/>
    </row>
    <row r="2095" spans="76:77" ht="19.899999999999999" customHeight="1">
      <c r="BX2095" s="61"/>
      <c r="BY2095" s="61"/>
    </row>
    <row r="2096" spans="76:77" ht="19.899999999999999" customHeight="1">
      <c r="BX2096" s="61"/>
      <c r="BY2096" s="61"/>
    </row>
    <row r="2097" spans="76:77" ht="19.899999999999999" customHeight="1">
      <c r="BX2097" s="61"/>
      <c r="BY2097" s="61"/>
    </row>
    <row r="2098" spans="76:77" ht="19.899999999999999" customHeight="1">
      <c r="BX2098" s="61"/>
      <c r="BY2098" s="61"/>
    </row>
    <row r="2099" spans="76:77" ht="19.899999999999999" customHeight="1">
      <c r="BX2099" s="61"/>
      <c r="BY2099" s="61"/>
    </row>
    <row r="2100" spans="76:77" ht="19.899999999999999" customHeight="1">
      <c r="BX2100" s="61"/>
      <c r="BY2100" s="61"/>
    </row>
    <row r="2101" spans="76:77" ht="19.899999999999999" customHeight="1">
      <c r="BX2101" s="61"/>
      <c r="BY2101" s="61"/>
    </row>
    <row r="2102" spans="76:77" ht="19.899999999999999" customHeight="1">
      <c r="BX2102" s="61"/>
      <c r="BY2102" s="61"/>
    </row>
    <row r="2103" spans="76:77" ht="19.899999999999999" customHeight="1">
      <c r="BX2103" s="61"/>
      <c r="BY2103" s="61"/>
    </row>
    <row r="2104" spans="76:77" ht="19.899999999999999" customHeight="1">
      <c r="BX2104" s="61"/>
      <c r="BY2104" s="61"/>
    </row>
    <row r="2105" spans="76:77" ht="19.899999999999999" customHeight="1">
      <c r="BX2105" s="61"/>
      <c r="BY2105" s="61"/>
    </row>
    <row r="2106" spans="76:77" ht="19.899999999999999" customHeight="1">
      <c r="BX2106" s="61"/>
      <c r="BY2106" s="61"/>
    </row>
    <row r="2107" spans="76:77" ht="19.899999999999999" customHeight="1">
      <c r="BX2107" s="61"/>
      <c r="BY2107" s="61"/>
    </row>
    <row r="2108" spans="76:77" ht="19.899999999999999" customHeight="1">
      <c r="BX2108" s="61"/>
      <c r="BY2108" s="61"/>
    </row>
    <row r="2109" spans="76:77" ht="19.899999999999999" customHeight="1">
      <c r="BX2109" s="61"/>
      <c r="BY2109" s="61"/>
    </row>
    <row r="2110" spans="76:77" ht="19.899999999999999" customHeight="1">
      <c r="BX2110" s="61"/>
      <c r="BY2110" s="61"/>
    </row>
    <row r="2111" spans="76:77" ht="19.899999999999999" customHeight="1">
      <c r="BX2111" s="61"/>
      <c r="BY2111" s="61"/>
    </row>
    <row r="2112" spans="76:77" ht="19.899999999999999" customHeight="1">
      <c r="BX2112" s="61"/>
      <c r="BY2112" s="61"/>
    </row>
    <row r="2113" spans="76:77" ht="19.899999999999999" customHeight="1">
      <c r="BX2113" s="61"/>
      <c r="BY2113" s="61"/>
    </row>
    <row r="2114" spans="76:77" ht="19.899999999999999" customHeight="1">
      <c r="BX2114" s="61"/>
      <c r="BY2114" s="61"/>
    </row>
    <row r="2115" spans="76:77" ht="19.899999999999999" customHeight="1">
      <c r="BX2115" s="61"/>
      <c r="BY2115" s="61"/>
    </row>
    <row r="2116" spans="76:77" ht="19.899999999999999" customHeight="1">
      <c r="BX2116" s="61"/>
      <c r="BY2116" s="61"/>
    </row>
    <row r="2117" spans="76:77" ht="19.899999999999999" customHeight="1">
      <c r="BX2117" s="61"/>
      <c r="BY2117" s="61"/>
    </row>
    <row r="2118" spans="76:77" ht="19.899999999999999" customHeight="1">
      <c r="BX2118" s="61"/>
      <c r="BY2118" s="61"/>
    </row>
    <row r="2119" spans="76:77" ht="19.899999999999999" customHeight="1">
      <c r="BX2119" s="61"/>
      <c r="BY2119" s="61"/>
    </row>
    <row r="2120" spans="76:77" ht="19.899999999999999" customHeight="1">
      <c r="BX2120" s="61"/>
      <c r="BY2120" s="61"/>
    </row>
    <row r="2121" spans="76:77" ht="19.899999999999999" customHeight="1">
      <c r="BX2121" s="61"/>
      <c r="BY2121" s="61"/>
    </row>
    <row r="2122" spans="76:77" ht="19.899999999999999" customHeight="1">
      <c r="BX2122" s="61"/>
      <c r="BY2122" s="61"/>
    </row>
    <row r="2123" spans="76:77" ht="19.899999999999999" customHeight="1">
      <c r="BX2123" s="61"/>
      <c r="BY2123" s="61"/>
    </row>
    <row r="2124" spans="76:77" ht="19.899999999999999" customHeight="1">
      <c r="BX2124" s="61"/>
      <c r="BY2124" s="61"/>
    </row>
    <row r="2125" spans="76:77" ht="19.899999999999999" customHeight="1">
      <c r="BX2125" s="61"/>
      <c r="BY2125" s="61"/>
    </row>
    <row r="2126" spans="76:77" ht="19.899999999999999" customHeight="1">
      <c r="BX2126" s="61"/>
      <c r="BY2126" s="61"/>
    </row>
    <row r="2127" spans="76:77" ht="19.899999999999999" customHeight="1">
      <c r="BX2127" s="61"/>
      <c r="BY2127" s="61"/>
    </row>
    <row r="2128" spans="76:77" ht="19.899999999999999" customHeight="1">
      <c r="BX2128" s="61"/>
      <c r="BY2128" s="61"/>
    </row>
    <row r="2129" spans="76:77" ht="19.899999999999999" customHeight="1">
      <c r="BX2129" s="61"/>
      <c r="BY2129" s="61"/>
    </row>
    <row r="2130" spans="76:77" ht="19.899999999999999" customHeight="1">
      <c r="BX2130" s="61"/>
      <c r="BY2130" s="61"/>
    </row>
    <row r="2131" spans="76:77" ht="19.899999999999999" customHeight="1">
      <c r="BX2131" s="61"/>
      <c r="BY2131" s="61"/>
    </row>
    <row r="2132" spans="76:77" ht="19.899999999999999" customHeight="1">
      <c r="BX2132" s="61"/>
      <c r="BY2132" s="61"/>
    </row>
    <row r="2133" spans="76:77" ht="19.899999999999999" customHeight="1">
      <c r="BX2133" s="61"/>
      <c r="BY2133" s="61"/>
    </row>
    <row r="2134" spans="76:77" ht="19.899999999999999" customHeight="1">
      <c r="BX2134" s="61"/>
      <c r="BY2134" s="61"/>
    </row>
    <row r="2135" spans="76:77" ht="19.899999999999999" customHeight="1">
      <c r="BX2135" s="61"/>
      <c r="BY2135" s="61"/>
    </row>
    <row r="2136" spans="76:77" ht="19.899999999999999" customHeight="1">
      <c r="BX2136" s="61"/>
      <c r="BY2136" s="61"/>
    </row>
    <row r="2137" spans="76:77" ht="19.899999999999999" customHeight="1">
      <c r="BX2137" s="61"/>
      <c r="BY2137" s="61"/>
    </row>
    <row r="2138" spans="76:77" ht="19.899999999999999" customHeight="1">
      <c r="BX2138" s="61"/>
      <c r="BY2138" s="61"/>
    </row>
    <row r="2139" spans="76:77" ht="19.899999999999999" customHeight="1">
      <c r="BX2139" s="61"/>
      <c r="BY2139" s="61"/>
    </row>
    <row r="2140" spans="76:77" ht="19.899999999999999" customHeight="1">
      <c r="BX2140" s="61"/>
      <c r="BY2140" s="61"/>
    </row>
    <row r="2141" spans="76:77" ht="19.899999999999999" customHeight="1">
      <c r="BX2141" s="61"/>
      <c r="BY2141" s="61"/>
    </row>
    <row r="2142" spans="76:77" ht="19.899999999999999" customHeight="1">
      <c r="BX2142" s="61"/>
      <c r="BY2142" s="61"/>
    </row>
    <row r="2143" spans="76:77" ht="19.899999999999999" customHeight="1">
      <c r="BX2143" s="61"/>
      <c r="BY2143" s="61"/>
    </row>
    <row r="2144" spans="76:77" ht="19.899999999999999" customHeight="1">
      <c r="BX2144" s="61"/>
      <c r="BY2144" s="61"/>
    </row>
    <row r="2145" spans="76:77" ht="19.899999999999999" customHeight="1">
      <c r="BX2145" s="61"/>
      <c r="BY2145" s="61"/>
    </row>
    <row r="2146" spans="76:77" ht="19.899999999999999" customHeight="1">
      <c r="BX2146" s="61"/>
      <c r="BY2146" s="61"/>
    </row>
    <row r="2147" spans="76:77" ht="19.899999999999999" customHeight="1">
      <c r="BX2147" s="61"/>
      <c r="BY2147" s="61"/>
    </row>
    <row r="2148" spans="76:77" ht="19.899999999999999" customHeight="1">
      <c r="BX2148" s="61"/>
      <c r="BY2148" s="61"/>
    </row>
    <row r="2149" spans="76:77" ht="19.899999999999999" customHeight="1">
      <c r="BX2149" s="61"/>
      <c r="BY2149" s="61"/>
    </row>
    <row r="2150" spans="76:77" ht="19.899999999999999" customHeight="1">
      <c r="BX2150" s="61"/>
      <c r="BY2150" s="61"/>
    </row>
    <row r="2151" spans="76:77" ht="19.899999999999999" customHeight="1">
      <c r="BX2151" s="61"/>
      <c r="BY2151" s="61"/>
    </row>
    <row r="2152" spans="76:77" ht="19.899999999999999" customHeight="1">
      <c r="BX2152" s="61"/>
      <c r="BY2152" s="61"/>
    </row>
    <row r="2153" spans="76:77" ht="19.899999999999999" customHeight="1">
      <c r="BX2153" s="61"/>
      <c r="BY2153" s="61"/>
    </row>
    <row r="2154" spans="76:77" ht="19.899999999999999" customHeight="1">
      <c r="BX2154" s="61"/>
      <c r="BY2154" s="61"/>
    </row>
    <row r="2155" spans="76:77" ht="19.899999999999999" customHeight="1">
      <c r="BX2155" s="61"/>
      <c r="BY2155" s="61"/>
    </row>
    <row r="2156" spans="76:77" ht="19.899999999999999" customHeight="1">
      <c r="BX2156" s="61"/>
      <c r="BY2156" s="61"/>
    </row>
    <row r="2157" spans="76:77" ht="19.899999999999999" customHeight="1">
      <c r="BX2157" s="61"/>
      <c r="BY2157" s="61"/>
    </row>
    <row r="2158" spans="76:77" ht="19.899999999999999" customHeight="1">
      <c r="BX2158" s="61"/>
      <c r="BY2158" s="61"/>
    </row>
    <row r="2159" spans="76:77" ht="19.899999999999999" customHeight="1">
      <c r="BX2159" s="61"/>
      <c r="BY2159" s="61"/>
    </row>
    <row r="2160" spans="76:77" ht="19.899999999999999" customHeight="1">
      <c r="BX2160" s="61"/>
      <c r="BY2160" s="61"/>
    </row>
    <row r="2161" spans="76:77" ht="19.899999999999999" customHeight="1">
      <c r="BX2161" s="61"/>
      <c r="BY2161" s="61"/>
    </row>
    <row r="2162" spans="76:77" ht="19.899999999999999" customHeight="1">
      <c r="BX2162" s="61"/>
      <c r="BY2162" s="61"/>
    </row>
    <row r="2163" spans="76:77" ht="19.899999999999999" customHeight="1">
      <c r="BX2163" s="61"/>
      <c r="BY2163" s="61"/>
    </row>
    <row r="2164" spans="76:77" ht="19.899999999999999" customHeight="1">
      <c r="BX2164" s="61"/>
      <c r="BY2164" s="61"/>
    </row>
    <row r="2165" spans="76:77" ht="19.899999999999999" customHeight="1">
      <c r="BX2165" s="61"/>
      <c r="BY2165" s="61"/>
    </row>
    <row r="2166" spans="76:77" ht="19.899999999999999" customHeight="1">
      <c r="BX2166" s="61"/>
      <c r="BY2166" s="61"/>
    </row>
    <row r="2167" spans="76:77" ht="19.899999999999999" customHeight="1">
      <c r="BX2167" s="61"/>
      <c r="BY2167" s="61"/>
    </row>
    <row r="2168" spans="76:77" ht="19.899999999999999" customHeight="1">
      <c r="BX2168" s="61"/>
      <c r="BY2168" s="61"/>
    </row>
    <row r="2169" spans="76:77" ht="19.899999999999999" customHeight="1">
      <c r="BX2169" s="61"/>
      <c r="BY2169" s="61"/>
    </row>
    <row r="2170" spans="76:77" ht="19.899999999999999" customHeight="1">
      <c r="BX2170" s="61"/>
      <c r="BY2170" s="61"/>
    </row>
    <row r="2171" spans="76:77" ht="19.899999999999999" customHeight="1">
      <c r="BX2171" s="61"/>
      <c r="BY2171" s="61"/>
    </row>
    <row r="2172" spans="76:77" ht="19.899999999999999" customHeight="1">
      <c r="BX2172" s="61"/>
      <c r="BY2172" s="61"/>
    </row>
    <row r="2173" spans="76:77" ht="19.899999999999999" customHeight="1">
      <c r="BX2173" s="61"/>
      <c r="BY2173" s="61"/>
    </row>
    <row r="2174" spans="76:77" ht="19.899999999999999" customHeight="1">
      <c r="BX2174" s="61"/>
      <c r="BY2174" s="61"/>
    </row>
    <row r="2175" spans="76:77" ht="19.899999999999999" customHeight="1">
      <c r="BX2175" s="61"/>
      <c r="BY2175" s="61"/>
    </row>
    <row r="2176" spans="76:77" ht="19.899999999999999" customHeight="1">
      <c r="BX2176" s="61"/>
      <c r="BY2176" s="61"/>
    </row>
    <row r="2177" spans="76:77" ht="19.899999999999999" customHeight="1">
      <c r="BX2177" s="61"/>
      <c r="BY2177" s="61"/>
    </row>
    <row r="2178" spans="76:77" ht="19.899999999999999" customHeight="1">
      <c r="BX2178" s="61"/>
      <c r="BY2178" s="61"/>
    </row>
    <row r="2179" spans="76:77" ht="19.899999999999999" customHeight="1">
      <c r="BX2179" s="61"/>
      <c r="BY2179" s="61"/>
    </row>
    <row r="2180" spans="76:77" ht="19.899999999999999" customHeight="1">
      <c r="BX2180" s="61"/>
      <c r="BY2180" s="61"/>
    </row>
    <row r="2181" spans="76:77" ht="19.899999999999999" customHeight="1">
      <c r="BX2181" s="61"/>
      <c r="BY2181" s="61"/>
    </row>
    <row r="2182" spans="76:77" ht="19.899999999999999" customHeight="1">
      <c r="BX2182" s="61"/>
      <c r="BY2182" s="61"/>
    </row>
    <row r="2183" spans="76:77" ht="19.899999999999999" customHeight="1">
      <c r="BX2183" s="61"/>
      <c r="BY2183" s="61"/>
    </row>
    <row r="2184" spans="76:77" ht="19.899999999999999" customHeight="1">
      <c r="BX2184" s="61"/>
      <c r="BY2184" s="61"/>
    </row>
    <row r="2185" spans="76:77" ht="19.899999999999999" customHeight="1">
      <c r="BX2185" s="61"/>
      <c r="BY2185" s="61"/>
    </row>
    <row r="2186" spans="76:77" ht="19.899999999999999" customHeight="1">
      <c r="BX2186" s="61"/>
      <c r="BY2186" s="61"/>
    </row>
    <row r="2187" spans="76:77" ht="19.899999999999999" customHeight="1">
      <c r="BX2187" s="61"/>
      <c r="BY2187" s="61"/>
    </row>
    <row r="2188" spans="76:77" ht="19.899999999999999" customHeight="1">
      <c r="BX2188" s="61"/>
      <c r="BY2188" s="61"/>
    </row>
    <row r="2189" spans="76:77" ht="19.899999999999999" customHeight="1">
      <c r="BX2189" s="61"/>
      <c r="BY2189" s="61"/>
    </row>
    <row r="2190" spans="76:77" ht="19.899999999999999" customHeight="1">
      <c r="BX2190" s="61"/>
      <c r="BY2190" s="61"/>
    </row>
    <row r="2191" spans="76:77" ht="19.899999999999999" customHeight="1">
      <c r="BX2191" s="61"/>
      <c r="BY2191" s="61"/>
    </row>
    <row r="2192" spans="76:77" ht="19.899999999999999" customHeight="1">
      <c r="BX2192" s="61"/>
      <c r="BY2192" s="61"/>
    </row>
    <row r="2193" spans="76:77" ht="19.899999999999999" customHeight="1">
      <c r="BX2193" s="61"/>
      <c r="BY2193" s="61"/>
    </row>
    <row r="2194" spans="76:77" ht="19.899999999999999" customHeight="1">
      <c r="BX2194" s="61"/>
      <c r="BY2194" s="61"/>
    </row>
    <row r="2195" spans="76:77" ht="19.899999999999999" customHeight="1">
      <c r="BX2195" s="61"/>
      <c r="BY2195" s="61"/>
    </row>
    <row r="2196" spans="76:77" ht="19.899999999999999" customHeight="1">
      <c r="BX2196" s="61"/>
      <c r="BY2196" s="61"/>
    </row>
    <row r="2197" spans="76:77" ht="19.899999999999999" customHeight="1">
      <c r="BX2197" s="61"/>
      <c r="BY2197" s="61"/>
    </row>
    <row r="2198" spans="76:77" ht="19.899999999999999" customHeight="1">
      <c r="BX2198" s="61"/>
      <c r="BY2198" s="61"/>
    </row>
    <row r="2199" spans="76:77" ht="19.899999999999999" customHeight="1">
      <c r="BX2199" s="61"/>
      <c r="BY2199" s="61"/>
    </row>
    <row r="2200" spans="76:77" ht="19.899999999999999" customHeight="1">
      <c r="BX2200" s="61"/>
      <c r="BY2200" s="61"/>
    </row>
    <row r="2201" spans="76:77" ht="19.899999999999999" customHeight="1">
      <c r="BX2201" s="61"/>
      <c r="BY2201" s="61"/>
    </row>
    <row r="2202" spans="76:77" ht="19.899999999999999" customHeight="1">
      <c r="BX2202" s="61"/>
      <c r="BY2202" s="61"/>
    </row>
    <row r="2203" spans="76:77" ht="19.899999999999999" customHeight="1">
      <c r="BX2203" s="61"/>
      <c r="BY2203" s="61"/>
    </row>
    <row r="2204" spans="76:77" ht="19.899999999999999" customHeight="1">
      <c r="BX2204" s="61"/>
      <c r="BY2204" s="61"/>
    </row>
    <row r="2205" spans="76:77" ht="19.899999999999999" customHeight="1">
      <c r="BX2205" s="61"/>
      <c r="BY2205" s="61"/>
    </row>
    <row r="2206" spans="76:77" ht="19.899999999999999" customHeight="1">
      <c r="BX2206" s="61"/>
      <c r="BY2206" s="61"/>
    </row>
    <row r="2207" spans="76:77" ht="19.899999999999999" customHeight="1">
      <c r="BX2207" s="61"/>
      <c r="BY2207" s="61"/>
    </row>
    <row r="2208" spans="76:77" ht="19.899999999999999" customHeight="1">
      <c r="BX2208" s="61"/>
      <c r="BY2208" s="61"/>
    </row>
    <row r="2209" spans="76:77" ht="19.899999999999999" customHeight="1">
      <c r="BX2209" s="61"/>
      <c r="BY2209" s="61"/>
    </row>
    <row r="2210" spans="76:77" ht="19.899999999999999" customHeight="1">
      <c r="BX2210" s="61"/>
      <c r="BY2210" s="61"/>
    </row>
    <row r="2211" spans="76:77" ht="19.899999999999999" customHeight="1">
      <c r="BX2211" s="61"/>
      <c r="BY2211" s="61"/>
    </row>
    <row r="2212" spans="76:77" ht="19.899999999999999" customHeight="1">
      <c r="BX2212" s="61"/>
      <c r="BY2212" s="61"/>
    </row>
    <row r="2213" spans="76:77" ht="19.899999999999999" customHeight="1">
      <c r="BX2213" s="61"/>
      <c r="BY2213" s="61"/>
    </row>
    <row r="2214" spans="76:77" ht="19.899999999999999" customHeight="1">
      <c r="BX2214" s="61"/>
      <c r="BY2214" s="61"/>
    </row>
    <row r="2215" spans="76:77" ht="19.899999999999999" customHeight="1">
      <c r="BX2215" s="61"/>
      <c r="BY2215" s="61"/>
    </row>
    <row r="2216" spans="76:77" ht="19.899999999999999" customHeight="1">
      <c r="BX2216" s="61"/>
      <c r="BY2216" s="61"/>
    </row>
    <row r="2217" spans="76:77" ht="19.899999999999999" customHeight="1">
      <c r="BX2217" s="61"/>
      <c r="BY2217" s="61"/>
    </row>
    <row r="2218" spans="76:77" ht="19.899999999999999" customHeight="1">
      <c r="BX2218" s="61"/>
      <c r="BY2218" s="61"/>
    </row>
    <row r="2219" spans="76:77" ht="19.899999999999999" customHeight="1">
      <c r="BX2219" s="61"/>
      <c r="BY2219" s="61"/>
    </row>
    <row r="2220" spans="76:77" ht="19.899999999999999" customHeight="1">
      <c r="BX2220" s="61"/>
      <c r="BY2220" s="61"/>
    </row>
    <row r="2221" spans="76:77" ht="19.899999999999999" customHeight="1">
      <c r="BX2221" s="61"/>
      <c r="BY2221" s="61"/>
    </row>
    <row r="2222" spans="76:77" ht="19.899999999999999" customHeight="1">
      <c r="BX2222" s="61"/>
      <c r="BY2222" s="61"/>
    </row>
    <row r="2223" spans="76:77" ht="19.899999999999999" customHeight="1">
      <c r="BX2223" s="61"/>
      <c r="BY2223" s="61"/>
    </row>
    <row r="2224" spans="76:77" ht="19.899999999999999" customHeight="1">
      <c r="BX2224" s="61"/>
      <c r="BY2224" s="61"/>
    </row>
    <row r="2225" spans="76:77" ht="19.899999999999999" customHeight="1">
      <c r="BX2225" s="61"/>
      <c r="BY2225" s="61"/>
    </row>
    <row r="2226" spans="76:77" ht="19.899999999999999" customHeight="1">
      <c r="BX2226" s="61"/>
      <c r="BY2226" s="61"/>
    </row>
    <row r="2227" spans="76:77" ht="19.899999999999999" customHeight="1">
      <c r="BX2227" s="61"/>
      <c r="BY2227" s="61"/>
    </row>
    <row r="2228" spans="76:77" ht="19.899999999999999" customHeight="1">
      <c r="BX2228" s="61"/>
      <c r="BY2228" s="61"/>
    </row>
    <row r="2229" spans="76:77" ht="19.899999999999999" customHeight="1">
      <c r="BX2229" s="61"/>
      <c r="BY2229" s="61"/>
    </row>
    <row r="2230" spans="76:77" ht="19.899999999999999" customHeight="1">
      <c r="BX2230" s="61"/>
      <c r="BY2230" s="61"/>
    </row>
    <row r="2231" spans="76:77" ht="19.899999999999999" customHeight="1">
      <c r="BX2231" s="61"/>
      <c r="BY2231" s="61"/>
    </row>
    <row r="2232" spans="76:77" ht="19.899999999999999" customHeight="1">
      <c r="BX2232" s="61"/>
      <c r="BY2232" s="61"/>
    </row>
    <row r="2233" spans="76:77" ht="19.899999999999999" customHeight="1">
      <c r="BX2233" s="61"/>
      <c r="BY2233" s="61"/>
    </row>
    <row r="2234" spans="76:77" ht="19.899999999999999" customHeight="1">
      <c r="BX2234" s="61"/>
      <c r="BY2234" s="61"/>
    </row>
    <row r="2235" spans="76:77" ht="19.899999999999999" customHeight="1">
      <c r="BX2235" s="61"/>
      <c r="BY2235" s="61"/>
    </row>
    <row r="2236" spans="76:77" ht="19.899999999999999" customHeight="1">
      <c r="BX2236" s="61"/>
      <c r="BY2236" s="61"/>
    </row>
    <row r="2237" spans="76:77" ht="19.899999999999999" customHeight="1">
      <c r="BX2237" s="61"/>
      <c r="BY2237" s="61"/>
    </row>
    <row r="2238" spans="76:77" ht="19.899999999999999" customHeight="1">
      <c r="BX2238" s="61"/>
      <c r="BY2238" s="61"/>
    </row>
    <row r="2239" spans="76:77" ht="19.899999999999999" customHeight="1">
      <c r="BX2239" s="61"/>
      <c r="BY2239" s="61"/>
    </row>
    <row r="2240" spans="76:77" ht="19.899999999999999" customHeight="1">
      <c r="BX2240" s="61"/>
      <c r="BY2240" s="61"/>
    </row>
    <row r="2241" spans="76:77" ht="19.899999999999999" customHeight="1">
      <c r="BX2241" s="61"/>
      <c r="BY2241" s="61"/>
    </row>
    <row r="2242" spans="76:77" ht="19.899999999999999" customHeight="1">
      <c r="BX2242" s="61"/>
      <c r="BY2242" s="61"/>
    </row>
    <row r="2243" spans="76:77" ht="19.899999999999999" customHeight="1">
      <c r="BX2243" s="61"/>
      <c r="BY2243" s="61"/>
    </row>
    <row r="2244" spans="76:77" ht="19.899999999999999" customHeight="1">
      <c r="BX2244" s="61"/>
      <c r="BY2244" s="61"/>
    </row>
    <row r="2245" spans="76:77" ht="19.899999999999999" customHeight="1">
      <c r="BX2245" s="61"/>
      <c r="BY2245" s="61"/>
    </row>
    <row r="2246" spans="76:77" ht="19.899999999999999" customHeight="1">
      <c r="BX2246" s="61"/>
      <c r="BY2246" s="61"/>
    </row>
    <row r="2247" spans="76:77" ht="19.899999999999999" customHeight="1">
      <c r="BX2247" s="61"/>
      <c r="BY2247" s="61"/>
    </row>
    <row r="2248" spans="76:77" ht="19.899999999999999" customHeight="1">
      <c r="BX2248" s="61"/>
      <c r="BY2248" s="61"/>
    </row>
    <row r="2249" spans="76:77" ht="19.899999999999999" customHeight="1">
      <c r="BX2249" s="61"/>
      <c r="BY2249" s="61"/>
    </row>
    <row r="2250" spans="76:77" ht="19.899999999999999" customHeight="1">
      <c r="BX2250" s="61"/>
      <c r="BY2250" s="61"/>
    </row>
    <row r="2251" spans="76:77" ht="19.899999999999999" customHeight="1">
      <c r="BX2251" s="61"/>
      <c r="BY2251" s="61"/>
    </row>
    <row r="2252" spans="76:77" ht="19.899999999999999" customHeight="1">
      <c r="BX2252" s="61"/>
      <c r="BY2252" s="61"/>
    </row>
    <row r="2253" spans="76:77" ht="19.899999999999999" customHeight="1">
      <c r="BX2253" s="61"/>
      <c r="BY2253" s="61"/>
    </row>
    <row r="2254" spans="76:77" ht="19.899999999999999" customHeight="1">
      <c r="BX2254" s="61"/>
      <c r="BY2254" s="61"/>
    </row>
    <row r="2255" spans="76:77" ht="19.899999999999999" customHeight="1">
      <c r="BX2255" s="61"/>
      <c r="BY2255" s="61"/>
    </row>
    <row r="2256" spans="76:77" ht="19.899999999999999" customHeight="1">
      <c r="BX2256" s="61"/>
      <c r="BY2256" s="61"/>
    </row>
    <row r="2257" spans="76:77" ht="19.899999999999999" customHeight="1">
      <c r="BX2257" s="61"/>
      <c r="BY2257" s="61"/>
    </row>
    <row r="2258" spans="76:77" ht="19.899999999999999" customHeight="1">
      <c r="BX2258" s="61"/>
      <c r="BY2258" s="61"/>
    </row>
    <row r="2259" spans="76:77" ht="19.899999999999999" customHeight="1">
      <c r="BX2259" s="61"/>
      <c r="BY2259" s="61"/>
    </row>
    <row r="2260" spans="76:77" ht="19.899999999999999" customHeight="1">
      <c r="BX2260" s="61"/>
      <c r="BY2260" s="61"/>
    </row>
    <row r="2261" spans="76:77" ht="19.899999999999999" customHeight="1">
      <c r="BX2261" s="61"/>
      <c r="BY2261" s="61"/>
    </row>
    <row r="2262" spans="76:77" ht="19.899999999999999" customHeight="1">
      <c r="BX2262" s="61"/>
      <c r="BY2262" s="61"/>
    </row>
    <row r="2263" spans="76:77" ht="19.899999999999999" customHeight="1">
      <c r="BX2263" s="61"/>
      <c r="BY2263" s="61"/>
    </row>
    <row r="2264" spans="76:77" ht="19.899999999999999" customHeight="1">
      <c r="BX2264" s="61"/>
      <c r="BY2264" s="61"/>
    </row>
    <row r="2265" spans="76:77" ht="19.899999999999999" customHeight="1">
      <c r="BX2265" s="61"/>
      <c r="BY2265" s="61"/>
    </row>
    <row r="2266" spans="76:77" ht="19.899999999999999" customHeight="1">
      <c r="BX2266" s="61"/>
      <c r="BY2266" s="61"/>
    </row>
    <row r="2267" spans="76:77" ht="19.899999999999999" customHeight="1">
      <c r="BX2267" s="61"/>
      <c r="BY2267" s="61"/>
    </row>
    <row r="2268" spans="76:77" ht="19.899999999999999" customHeight="1">
      <c r="BX2268" s="61"/>
      <c r="BY2268" s="61"/>
    </row>
    <row r="2269" spans="76:77" ht="19.899999999999999" customHeight="1">
      <c r="BX2269" s="61"/>
      <c r="BY2269" s="61"/>
    </row>
    <row r="2270" spans="76:77" ht="19.899999999999999" customHeight="1">
      <c r="BX2270" s="61"/>
      <c r="BY2270" s="61"/>
    </row>
    <row r="2271" spans="76:77" ht="19.899999999999999" customHeight="1">
      <c r="BX2271" s="61"/>
      <c r="BY2271" s="61"/>
    </row>
    <row r="2272" spans="76:77" ht="19.899999999999999" customHeight="1">
      <c r="BX2272" s="61"/>
      <c r="BY2272" s="61"/>
    </row>
    <row r="2273" spans="76:77" ht="19.899999999999999" customHeight="1">
      <c r="BX2273" s="61"/>
      <c r="BY2273" s="61"/>
    </row>
    <row r="2274" spans="76:77" ht="19.899999999999999" customHeight="1">
      <c r="BX2274" s="61"/>
      <c r="BY2274" s="61"/>
    </row>
    <row r="2275" spans="76:77" ht="19.899999999999999" customHeight="1">
      <c r="BX2275" s="61"/>
      <c r="BY2275" s="61"/>
    </row>
    <row r="2276" spans="76:77" ht="19.899999999999999" customHeight="1">
      <c r="BX2276" s="61"/>
      <c r="BY2276" s="61"/>
    </row>
    <row r="2277" spans="76:77" ht="19.899999999999999" customHeight="1">
      <c r="BX2277" s="61"/>
      <c r="BY2277" s="61"/>
    </row>
    <row r="2278" spans="76:77" ht="19.899999999999999" customHeight="1">
      <c r="BX2278" s="61"/>
      <c r="BY2278" s="61"/>
    </row>
    <row r="2279" spans="76:77" ht="19.899999999999999" customHeight="1">
      <c r="BX2279" s="61"/>
      <c r="BY2279" s="61"/>
    </row>
    <row r="2280" spans="76:77" ht="19.899999999999999" customHeight="1">
      <c r="BX2280" s="61"/>
      <c r="BY2280" s="61"/>
    </row>
    <row r="2281" spans="76:77" ht="19.899999999999999" customHeight="1">
      <c r="BX2281" s="61"/>
      <c r="BY2281" s="61"/>
    </row>
    <row r="2282" spans="76:77" ht="19.899999999999999" customHeight="1">
      <c r="BX2282" s="61"/>
      <c r="BY2282" s="61"/>
    </row>
    <row r="2283" spans="76:77" ht="19.899999999999999" customHeight="1">
      <c r="BX2283" s="61"/>
      <c r="BY2283" s="61"/>
    </row>
    <row r="2284" spans="76:77" ht="19.899999999999999" customHeight="1">
      <c r="BX2284" s="61"/>
      <c r="BY2284" s="61"/>
    </row>
    <row r="2285" spans="76:77" ht="19.899999999999999" customHeight="1">
      <c r="BX2285" s="61"/>
      <c r="BY2285" s="61"/>
    </row>
    <row r="2286" spans="76:77" ht="19.899999999999999" customHeight="1">
      <c r="BX2286" s="61"/>
      <c r="BY2286" s="61"/>
    </row>
    <row r="2287" spans="76:77" ht="19.899999999999999" customHeight="1">
      <c r="BX2287" s="61"/>
      <c r="BY2287" s="61"/>
    </row>
    <row r="2288" spans="76:77" ht="19.899999999999999" customHeight="1">
      <c r="BX2288" s="61"/>
      <c r="BY2288" s="61"/>
    </row>
    <row r="2289" spans="76:77" ht="19.899999999999999" customHeight="1">
      <c r="BX2289" s="61"/>
      <c r="BY2289" s="61"/>
    </row>
    <row r="2290" spans="76:77" ht="19.899999999999999" customHeight="1">
      <c r="BX2290" s="61"/>
      <c r="BY2290" s="61"/>
    </row>
    <row r="2291" spans="76:77" ht="19.899999999999999" customHeight="1">
      <c r="BX2291" s="61"/>
      <c r="BY2291" s="61"/>
    </row>
    <row r="2292" spans="76:77" ht="19.899999999999999" customHeight="1">
      <c r="BX2292" s="61"/>
      <c r="BY2292" s="61"/>
    </row>
    <row r="2293" spans="76:77" ht="19.899999999999999" customHeight="1">
      <c r="BX2293" s="61"/>
      <c r="BY2293" s="61"/>
    </row>
    <row r="2294" spans="76:77" ht="19.899999999999999" customHeight="1">
      <c r="BX2294" s="61"/>
      <c r="BY2294" s="61"/>
    </row>
    <row r="2295" spans="76:77" ht="19.899999999999999" customHeight="1">
      <c r="BX2295" s="61"/>
      <c r="BY2295" s="61"/>
    </row>
    <row r="2296" spans="76:77" ht="19.899999999999999" customHeight="1">
      <c r="BX2296" s="61"/>
      <c r="BY2296" s="61"/>
    </row>
    <row r="2297" spans="76:77" ht="19.899999999999999" customHeight="1">
      <c r="BX2297" s="61"/>
      <c r="BY2297" s="61"/>
    </row>
    <row r="2298" spans="76:77" ht="19.899999999999999" customHeight="1">
      <c r="BX2298" s="61"/>
      <c r="BY2298" s="61"/>
    </row>
    <row r="2299" spans="76:77" ht="19.899999999999999" customHeight="1">
      <c r="BX2299" s="61"/>
      <c r="BY2299" s="61"/>
    </row>
    <row r="2300" spans="76:77" ht="19.899999999999999" customHeight="1">
      <c r="BX2300" s="61"/>
      <c r="BY2300" s="61"/>
    </row>
    <row r="2301" spans="76:77" ht="19.899999999999999" customHeight="1">
      <c r="BX2301" s="61"/>
      <c r="BY2301" s="61"/>
    </row>
    <row r="2302" spans="76:77" ht="19.899999999999999" customHeight="1">
      <c r="BX2302" s="61"/>
      <c r="BY2302" s="61"/>
    </row>
    <row r="2303" spans="76:77" ht="19.899999999999999" customHeight="1">
      <c r="BX2303" s="61"/>
      <c r="BY2303" s="61"/>
    </row>
    <row r="2304" spans="76:77" ht="19.899999999999999" customHeight="1">
      <c r="BX2304" s="61"/>
      <c r="BY2304" s="61"/>
    </row>
    <row r="2305" spans="76:77" ht="19.899999999999999" customHeight="1">
      <c r="BX2305" s="61"/>
      <c r="BY2305" s="61"/>
    </row>
    <row r="2306" spans="76:77" ht="19.899999999999999" customHeight="1">
      <c r="BX2306" s="61"/>
      <c r="BY2306" s="61"/>
    </row>
    <row r="2307" spans="76:77" ht="19.899999999999999" customHeight="1">
      <c r="BX2307" s="61"/>
      <c r="BY2307" s="61"/>
    </row>
    <row r="2308" spans="76:77" ht="19.899999999999999" customHeight="1">
      <c r="BX2308" s="61"/>
      <c r="BY2308" s="61"/>
    </row>
    <row r="2309" spans="76:77" ht="19.899999999999999" customHeight="1">
      <c r="BX2309" s="61"/>
      <c r="BY2309" s="61"/>
    </row>
    <row r="2310" spans="76:77" ht="19.899999999999999" customHeight="1">
      <c r="BX2310" s="61"/>
      <c r="BY2310" s="61"/>
    </row>
    <row r="2311" spans="76:77" ht="19.899999999999999" customHeight="1">
      <c r="BX2311" s="61"/>
      <c r="BY2311" s="61"/>
    </row>
    <row r="2312" spans="76:77" ht="19.899999999999999" customHeight="1">
      <c r="BX2312" s="61"/>
      <c r="BY2312" s="61"/>
    </row>
    <row r="2313" spans="76:77" ht="19.899999999999999" customHeight="1">
      <c r="BX2313" s="61"/>
      <c r="BY2313" s="61"/>
    </row>
    <row r="2314" spans="76:77" ht="19.899999999999999" customHeight="1">
      <c r="BX2314" s="61"/>
      <c r="BY2314" s="61"/>
    </row>
    <row r="2315" spans="76:77" ht="19.899999999999999" customHeight="1">
      <c r="BX2315" s="61"/>
      <c r="BY2315" s="61"/>
    </row>
    <row r="2316" spans="76:77" ht="19.899999999999999" customHeight="1">
      <c r="BX2316" s="61"/>
      <c r="BY2316" s="61"/>
    </row>
    <row r="2317" spans="76:77" ht="19.899999999999999" customHeight="1">
      <c r="BX2317" s="61"/>
      <c r="BY2317" s="61"/>
    </row>
    <row r="2318" spans="76:77" ht="19.899999999999999" customHeight="1">
      <c r="BX2318" s="61"/>
      <c r="BY2318" s="61"/>
    </row>
    <row r="2319" spans="76:77" ht="19.899999999999999" customHeight="1">
      <c r="BX2319" s="61"/>
      <c r="BY2319" s="61"/>
    </row>
    <row r="2320" spans="76:77" ht="19.899999999999999" customHeight="1">
      <c r="BX2320" s="61"/>
      <c r="BY2320" s="61"/>
    </row>
    <row r="2321" spans="76:77" ht="19.899999999999999" customHeight="1">
      <c r="BX2321" s="61"/>
      <c r="BY2321" s="61"/>
    </row>
    <row r="2322" spans="76:77" ht="19.899999999999999" customHeight="1">
      <c r="BX2322" s="61"/>
      <c r="BY2322" s="61"/>
    </row>
    <row r="2323" spans="76:77" ht="19.899999999999999" customHeight="1">
      <c r="BX2323" s="61"/>
      <c r="BY2323" s="61"/>
    </row>
    <row r="2324" spans="76:77" ht="19.899999999999999" customHeight="1">
      <c r="BX2324" s="61"/>
      <c r="BY2324" s="61"/>
    </row>
    <row r="2325" spans="76:77" ht="19.899999999999999" customHeight="1">
      <c r="BX2325" s="61"/>
      <c r="BY2325" s="61"/>
    </row>
    <row r="2326" spans="76:77" ht="19.899999999999999" customHeight="1">
      <c r="BX2326" s="61"/>
      <c r="BY2326" s="61"/>
    </row>
    <row r="2327" spans="76:77" ht="19.899999999999999" customHeight="1">
      <c r="BX2327" s="61"/>
      <c r="BY2327" s="61"/>
    </row>
    <row r="2328" spans="76:77" ht="19.899999999999999" customHeight="1">
      <c r="BX2328" s="61"/>
      <c r="BY2328" s="61"/>
    </row>
    <row r="2329" spans="76:77" ht="19.899999999999999" customHeight="1">
      <c r="BX2329" s="61"/>
      <c r="BY2329" s="61"/>
    </row>
    <row r="2330" spans="76:77" ht="19.899999999999999" customHeight="1">
      <c r="BX2330" s="61"/>
      <c r="BY2330" s="61"/>
    </row>
    <row r="2331" spans="76:77" ht="19.899999999999999" customHeight="1">
      <c r="BX2331" s="61"/>
      <c r="BY2331" s="61"/>
    </row>
    <row r="2332" spans="76:77" ht="19.899999999999999" customHeight="1">
      <c r="BX2332" s="61"/>
      <c r="BY2332" s="61"/>
    </row>
    <row r="2333" spans="76:77" ht="19.899999999999999" customHeight="1">
      <c r="BX2333" s="61"/>
      <c r="BY2333" s="61"/>
    </row>
    <row r="2334" spans="76:77" ht="19.899999999999999" customHeight="1">
      <c r="BX2334" s="61"/>
      <c r="BY2334" s="61"/>
    </row>
    <row r="2335" spans="76:77" ht="19.899999999999999" customHeight="1">
      <c r="BX2335" s="61"/>
      <c r="BY2335" s="61"/>
    </row>
    <row r="2336" spans="76:77" ht="19.899999999999999" customHeight="1">
      <c r="BX2336" s="61"/>
      <c r="BY2336" s="61"/>
    </row>
    <row r="2337" spans="76:77" ht="19.899999999999999" customHeight="1">
      <c r="BX2337" s="61"/>
      <c r="BY2337" s="61"/>
    </row>
    <row r="2338" spans="76:77" ht="19.899999999999999" customHeight="1">
      <c r="BX2338" s="61"/>
      <c r="BY2338" s="61"/>
    </row>
    <row r="2339" spans="76:77" ht="19.899999999999999" customHeight="1">
      <c r="BX2339" s="61"/>
      <c r="BY2339" s="61"/>
    </row>
    <row r="2340" spans="76:77" ht="19.899999999999999" customHeight="1">
      <c r="BX2340" s="61"/>
      <c r="BY2340" s="61"/>
    </row>
    <row r="2341" spans="76:77" ht="19.899999999999999" customHeight="1">
      <c r="BX2341" s="61"/>
      <c r="BY2341" s="61"/>
    </row>
    <row r="2342" spans="76:77" ht="19.899999999999999" customHeight="1">
      <c r="BX2342" s="61"/>
      <c r="BY2342" s="61"/>
    </row>
    <row r="2343" spans="76:77" ht="19.899999999999999" customHeight="1">
      <c r="BX2343" s="61"/>
      <c r="BY2343" s="61"/>
    </row>
    <row r="2344" spans="76:77" ht="19.899999999999999" customHeight="1">
      <c r="BX2344" s="61"/>
      <c r="BY2344" s="61"/>
    </row>
    <row r="2345" spans="76:77" ht="19.899999999999999" customHeight="1">
      <c r="BX2345" s="61"/>
      <c r="BY2345" s="61"/>
    </row>
    <row r="2346" spans="76:77" ht="19.899999999999999" customHeight="1">
      <c r="BX2346" s="61"/>
      <c r="BY2346" s="61"/>
    </row>
    <row r="2347" spans="76:77" ht="19.899999999999999" customHeight="1">
      <c r="BX2347" s="61"/>
      <c r="BY2347" s="61"/>
    </row>
    <row r="2348" spans="76:77" ht="19.899999999999999" customHeight="1">
      <c r="BX2348" s="61"/>
      <c r="BY2348" s="61"/>
    </row>
    <row r="2349" spans="76:77" ht="19.899999999999999" customHeight="1">
      <c r="BX2349" s="61"/>
      <c r="BY2349" s="61"/>
    </row>
    <row r="2350" spans="76:77" ht="19.899999999999999" customHeight="1">
      <c r="BX2350" s="61"/>
      <c r="BY2350" s="61"/>
    </row>
    <row r="2351" spans="76:77" ht="19.899999999999999" customHeight="1">
      <c r="BX2351" s="61"/>
      <c r="BY2351" s="61"/>
    </row>
    <row r="2352" spans="76:77" ht="19.899999999999999" customHeight="1">
      <c r="BX2352" s="61"/>
      <c r="BY2352" s="61"/>
    </row>
    <row r="2353" spans="76:77" ht="19.899999999999999" customHeight="1">
      <c r="BX2353" s="61"/>
      <c r="BY2353" s="61"/>
    </row>
    <row r="2354" spans="76:77" ht="19.899999999999999" customHeight="1">
      <c r="BX2354" s="61"/>
      <c r="BY2354" s="61"/>
    </row>
    <row r="2355" spans="76:77" ht="19.899999999999999" customHeight="1">
      <c r="BX2355" s="61"/>
      <c r="BY2355" s="61"/>
    </row>
    <row r="2356" spans="76:77" ht="19.899999999999999" customHeight="1">
      <c r="BX2356" s="61"/>
      <c r="BY2356" s="61"/>
    </row>
    <row r="2357" spans="76:77" ht="19.899999999999999" customHeight="1">
      <c r="BX2357" s="61"/>
      <c r="BY2357" s="61"/>
    </row>
    <row r="2358" spans="76:77" ht="19.899999999999999" customHeight="1">
      <c r="BX2358" s="61"/>
      <c r="BY2358" s="61"/>
    </row>
    <row r="2359" spans="76:77" ht="19.899999999999999" customHeight="1">
      <c r="BX2359" s="61"/>
      <c r="BY2359" s="61"/>
    </row>
    <row r="2360" spans="76:77" ht="19.899999999999999" customHeight="1">
      <c r="BX2360" s="61"/>
      <c r="BY2360" s="61"/>
    </row>
    <row r="2361" spans="76:77" ht="19.899999999999999" customHeight="1">
      <c r="BX2361" s="61"/>
      <c r="BY2361" s="61"/>
    </row>
    <row r="2362" spans="76:77" ht="19.899999999999999" customHeight="1">
      <c r="BX2362" s="61"/>
      <c r="BY2362" s="61"/>
    </row>
    <row r="2363" spans="76:77" ht="19.899999999999999" customHeight="1">
      <c r="BX2363" s="61"/>
      <c r="BY2363" s="61"/>
    </row>
    <row r="2364" spans="76:77" ht="19.899999999999999" customHeight="1">
      <c r="BX2364" s="61"/>
      <c r="BY2364" s="61"/>
    </row>
    <row r="2365" spans="76:77" ht="19.899999999999999" customHeight="1">
      <c r="BX2365" s="61"/>
      <c r="BY2365" s="61"/>
    </row>
    <row r="2366" spans="76:77" ht="19.899999999999999" customHeight="1">
      <c r="BX2366" s="61"/>
      <c r="BY2366" s="61"/>
    </row>
    <row r="2367" spans="76:77" ht="19.899999999999999" customHeight="1">
      <c r="BX2367" s="61"/>
      <c r="BY2367" s="61"/>
    </row>
    <row r="2368" spans="76:77" ht="19.899999999999999" customHeight="1">
      <c r="BX2368" s="61"/>
      <c r="BY2368" s="61"/>
    </row>
    <row r="2369" spans="76:77" ht="19.899999999999999" customHeight="1">
      <c r="BX2369" s="61"/>
      <c r="BY2369" s="61"/>
    </row>
    <row r="2370" spans="76:77" ht="19.899999999999999" customHeight="1">
      <c r="BX2370" s="61"/>
      <c r="BY2370" s="61"/>
    </row>
    <row r="2371" spans="76:77" ht="19.899999999999999" customHeight="1">
      <c r="BX2371" s="61"/>
      <c r="BY2371" s="61"/>
    </row>
    <row r="2372" spans="76:77" ht="19.899999999999999" customHeight="1">
      <c r="BX2372" s="61"/>
      <c r="BY2372" s="61"/>
    </row>
    <row r="2373" spans="76:77" ht="19.899999999999999" customHeight="1">
      <c r="BX2373" s="61"/>
      <c r="BY2373" s="61"/>
    </row>
    <row r="2374" spans="76:77" ht="19.899999999999999" customHeight="1">
      <c r="BX2374" s="61"/>
      <c r="BY2374" s="61"/>
    </row>
    <row r="2375" spans="76:77" ht="19.899999999999999" customHeight="1">
      <c r="BX2375" s="61"/>
      <c r="BY2375" s="61"/>
    </row>
    <row r="2376" spans="76:77" ht="19.899999999999999" customHeight="1">
      <c r="BX2376" s="61"/>
      <c r="BY2376" s="61"/>
    </row>
    <row r="2377" spans="76:77" ht="19.899999999999999" customHeight="1">
      <c r="BX2377" s="61"/>
      <c r="BY2377" s="61"/>
    </row>
    <row r="2378" spans="76:77" ht="19.899999999999999" customHeight="1">
      <c r="BX2378" s="61"/>
      <c r="BY2378" s="61"/>
    </row>
    <row r="2379" spans="76:77" ht="19.899999999999999" customHeight="1">
      <c r="BX2379" s="61"/>
      <c r="BY2379" s="61"/>
    </row>
    <row r="2380" spans="76:77" ht="19.899999999999999" customHeight="1">
      <c r="BX2380" s="61"/>
      <c r="BY2380" s="61"/>
    </row>
    <row r="2381" spans="76:77" ht="19.899999999999999" customHeight="1">
      <c r="BX2381" s="61"/>
      <c r="BY2381" s="61"/>
    </row>
    <row r="2382" spans="76:77" ht="19.899999999999999" customHeight="1">
      <c r="BX2382" s="61"/>
      <c r="BY2382" s="61"/>
    </row>
    <row r="2383" spans="76:77" ht="19.899999999999999" customHeight="1">
      <c r="BX2383" s="61"/>
      <c r="BY2383" s="61"/>
    </row>
    <row r="2384" spans="76:77" ht="19.899999999999999" customHeight="1">
      <c r="BX2384" s="61"/>
      <c r="BY2384" s="61"/>
    </row>
    <row r="2385" spans="76:77" ht="19.899999999999999" customHeight="1">
      <c r="BX2385" s="61"/>
      <c r="BY2385" s="61"/>
    </row>
    <row r="2386" spans="76:77" ht="19.899999999999999" customHeight="1">
      <c r="BX2386" s="61"/>
      <c r="BY2386" s="61"/>
    </row>
    <row r="2387" spans="76:77" ht="19.899999999999999" customHeight="1">
      <c r="BX2387" s="61"/>
      <c r="BY2387" s="61"/>
    </row>
    <row r="2388" spans="76:77" ht="19.899999999999999" customHeight="1">
      <c r="BX2388" s="61"/>
      <c r="BY2388" s="61"/>
    </row>
    <row r="2389" spans="76:77" ht="19.899999999999999" customHeight="1">
      <c r="BX2389" s="61"/>
      <c r="BY2389" s="61"/>
    </row>
    <row r="2390" spans="76:77" ht="19.899999999999999" customHeight="1">
      <c r="BX2390" s="61"/>
      <c r="BY2390" s="61"/>
    </row>
    <row r="2391" spans="76:77" ht="19.899999999999999" customHeight="1">
      <c r="BX2391" s="61"/>
      <c r="BY2391" s="61"/>
    </row>
    <row r="2392" spans="76:77" ht="19.899999999999999" customHeight="1">
      <c r="BX2392" s="61"/>
      <c r="BY2392" s="61"/>
    </row>
    <row r="2393" spans="76:77" ht="19.899999999999999" customHeight="1">
      <c r="BX2393" s="61"/>
      <c r="BY2393" s="61"/>
    </row>
    <row r="2394" spans="76:77" ht="19.899999999999999" customHeight="1">
      <c r="BX2394" s="61"/>
      <c r="BY2394" s="61"/>
    </row>
    <row r="2395" spans="76:77" ht="19.899999999999999" customHeight="1">
      <c r="BX2395" s="61"/>
      <c r="BY2395" s="61"/>
    </row>
    <row r="2396" spans="76:77" ht="19.899999999999999" customHeight="1">
      <c r="BX2396" s="61"/>
      <c r="BY2396" s="61"/>
    </row>
    <row r="2397" spans="76:77" ht="19.899999999999999" customHeight="1">
      <c r="BX2397" s="61"/>
      <c r="BY2397" s="61"/>
    </row>
    <row r="2398" spans="76:77" ht="19.899999999999999" customHeight="1">
      <c r="BX2398" s="61"/>
      <c r="BY2398" s="61"/>
    </row>
    <row r="2399" spans="76:77" ht="19.899999999999999" customHeight="1">
      <c r="BX2399" s="61"/>
      <c r="BY2399" s="61"/>
    </row>
    <row r="2400" spans="76:77" ht="19.899999999999999" customHeight="1">
      <c r="BX2400" s="61"/>
      <c r="BY2400" s="61"/>
    </row>
    <row r="2401" spans="76:77" ht="19.899999999999999" customHeight="1">
      <c r="BX2401" s="61"/>
      <c r="BY2401" s="61"/>
    </row>
    <row r="2402" spans="76:77" ht="19.899999999999999" customHeight="1">
      <c r="BX2402" s="61"/>
      <c r="BY2402" s="61"/>
    </row>
    <row r="2403" spans="76:77" ht="19.899999999999999" customHeight="1">
      <c r="BX2403" s="61"/>
      <c r="BY2403" s="61"/>
    </row>
    <row r="2404" spans="76:77" ht="19.899999999999999" customHeight="1">
      <c r="BX2404" s="61"/>
      <c r="BY2404" s="61"/>
    </row>
    <row r="2405" spans="76:77" ht="19.899999999999999" customHeight="1">
      <c r="BX2405" s="61"/>
      <c r="BY2405" s="61"/>
    </row>
    <row r="2406" spans="76:77" ht="19.899999999999999" customHeight="1">
      <c r="BX2406" s="61"/>
      <c r="BY2406" s="61"/>
    </row>
    <row r="2407" spans="76:77" ht="19.899999999999999" customHeight="1">
      <c r="BX2407" s="61"/>
      <c r="BY2407" s="61"/>
    </row>
    <row r="2408" spans="76:77" ht="19.899999999999999" customHeight="1">
      <c r="BX2408" s="61"/>
      <c r="BY2408" s="61"/>
    </row>
    <row r="2409" spans="76:77" ht="19.899999999999999" customHeight="1">
      <c r="BX2409" s="61"/>
      <c r="BY2409" s="61"/>
    </row>
    <row r="2410" spans="76:77" ht="19.899999999999999" customHeight="1">
      <c r="BX2410" s="61"/>
      <c r="BY2410" s="61"/>
    </row>
    <row r="2411" spans="76:77" ht="19.899999999999999" customHeight="1">
      <c r="BX2411" s="61"/>
      <c r="BY2411" s="61"/>
    </row>
    <row r="2412" spans="76:77" ht="19.899999999999999" customHeight="1">
      <c r="BX2412" s="61"/>
      <c r="BY2412" s="61"/>
    </row>
    <row r="2413" spans="76:77" ht="19.899999999999999" customHeight="1">
      <c r="BX2413" s="61"/>
      <c r="BY2413" s="61"/>
    </row>
    <row r="2414" spans="76:77" ht="19.899999999999999" customHeight="1">
      <c r="BX2414" s="61"/>
      <c r="BY2414" s="61"/>
    </row>
    <row r="2415" spans="76:77" ht="19.899999999999999" customHeight="1">
      <c r="BX2415" s="61"/>
      <c r="BY2415" s="61"/>
    </row>
    <row r="2416" spans="76:77" ht="19.899999999999999" customHeight="1">
      <c r="BX2416" s="61"/>
      <c r="BY2416" s="61"/>
    </row>
    <row r="2417" spans="76:77" ht="19.899999999999999" customHeight="1">
      <c r="BX2417" s="61"/>
      <c r="BY2417" s="61"/>
    </row>
    <row r="2418" spans="76:77" ht="19.899999999999999" customHeight="1">
      <c r="BX2418" s="61"/>
      <c r="BY2418" s="61"/>
    </row>
    <row r="2419" spans="76:77" ht="19.899999999999999" customHeight="1">
      <c r="BX2419" s="61"/>
      <c r="BY2419" s="61"/>
    </row>
    <row r="2420" spans="76:77" ht="19.899999999999999" customHeight="1">
      <c r="BX2420" s="61"/>
      <c r="BY2420" s="61"/>
    </row>
    <row r="2421" spans="76:77" ht="19.899999999999999" customHeight="1">
      <c r="BX2421" s="61"/>
      <c r="BY2421" s="61"/>
    </row>
    <row r="2422" spans="76:77" ht="19.899999999999999" customHeight="1">
      <c r="BX2422" s="61"/>
      <c r="BY2422" s="61"/>
    </row>
    <row r="2423" spans="76:77" ht="19.899999999999999" customHeight="1">
      <c r="BX2423" s="61"/>
      <c r="BY2423" s="61"/>
    </row>
    <row r="2424" spans="76:77" ht="19.899999999999999" customHeight="1">
      <c r="BX2424" s="61"/>
      <c r="BY2424" s="61"/>
    </row>
    <row r="2425" spans="76:77" ht="19.899999999999999" customHeight="1">
      <c r="BX2425" s="61"/>
      <c r="BY2425" s="61"/>
    </row>
    <row r="2426" spans="76:77" ht="19.899999999999999" customHeight="1">
      <c r="BX2426" s="61"/>
      <c r="BY2426" s="61"/>
    </row>
    <row r="2427" spans="76:77" ht="19.899999999999999" customHeight="1">
      <c r="BX2427" s="61"/>
      <c r="BY2427" s="61"/>
    </row>
    <row r="2428" spans="76:77" ht="19.899999999999999" customHeight="1">
      <c r="BX2428" s="61"/>
      <c r="BY2428" s="61"/>
    </row>
    <row r="2429" spans="76:77" ht="19.899999999999999" customHeight="1">
      <c r="BX2429" s="61"/>
      <c r="BY2429" s="61"/>
    </row>
    <row r="2430" spans="76:77" ht="19.899999999999999" customHeight="1">
      <c r="BX2430" s="61"/>
      <c r="BY2430" s="61"/>
    </row>
    <row r="2431" spans="76:77" ht="19.899999999999999" customHeight="1">
      <c r="BX2431" s="61"/>
      <c r="BY2431" s="61"/>
    </row>
    <row r="2432" spans="76:77" ht="19.899999999999999" customHeight="1">
      <c r="BX2432" s="61"/>
      <c r="BY2432" s="61"/>
    </row>
    <row r="2433" spans="76:77" ht="19.899999999999999" customHeight="1">
      <c r="BX2433" s="61"/>
      <c r="BY2433" s="61"/>
    </row>
    <row r="2434" spans="76:77" ht="19.899999999999999" customHeight="1">
      <c r="BX2434" s="61"/>
      <c r="BY2434" s="61"/>
    </row>
    <row r="2435" spans="76:77" ht="19.899999999999999" customHeight="1">
      <c r="BX2435" s="61"/>
      <c r="BY2435" s="61"/>
    </row>
    <row r="2436" spans="76:77" ht="19.899999999999999" customHeight="1">
      <c r="BX2436" s="61"/>
      <c r="BY2436" s="61"/>
    </row>
    <row r="2437" spans="76:77" ht="19.899999999999999" customHeight="1">
      <c r="BX2437" s="61"/>
      <c r="BY2437" s="61"/>
    </row>
    <row r="2438" spans="76:77" ht="19.899999999999999" customHeight="1">
      <c r="BX2438" s="61"/>
      <c r="BY2438" s="61"/>
    </row>
    <row r="2439" spans="76:77" ht="19.899999999999999" customHeight="1">
      <c r="BX2439" s="61"/>
      <c r="BY2439" s="61"/>
    </row>
    <row r="2440" spans="76:77" ht="19.899999999999999" customHeight="1">
      <c r="BX2440" s="61"/>
      <c r="BY2440" s="61"/>
    </row>
    <row r="2441" spans="76:77" ht="19.899999999999999" customHeight="1">
      <c r="BX2441" s="61"/>
      <c r="BY2441" s="61"/>
    </row>
    <row r="2442" spans="76:77" ht="19.899999999999999" customHeight="1">
      <c r="BX2442" s="61"/>
      <c r="BY2442" s="61"/>
    </row>
    <row r="2443" spans="76:77" ht="19.899999999999999" customHeight="1">
      <c r="BX2443" s="61"/>
      <c r="BY2443" s="61"/>
    </row>
    <row r="2444" spans="76:77" ht="19.899999999999999" customHeight="1">
      <c r="BX2444" s="61"/>
      <c r="BY2444" s="61"/>
    </row>
    <row r="2445" spans="76:77" ht="19.899999999999999" customHeight="1">
      <c r="BX2445" s="61"/>
      <c r="BY2445" s="61"/>
    </row>
    <row r="2446" spans="76:77" ht="19.899999999999999" customHeight="1">
      <c r="BX2446" s="61"/>
      <c r="BY2446" s="61"/>
    </row>
    <row r="2447" spans="76:77" ht="19.899999999999999" customHeight="1">
      <c r="BX2447" s="61"/>
      <c r="BY2447" s="61"/>
    </row>
    <row r="2448" spans="76:77" ht="19.899999999999999" customHeight="1">
      <c r="BX2448" s="61"/>
      <c r="BY2448" s="61"/>
    </row>
    <row r="2449" spans="76:77" ht="19.899999999999999" customHeight="1">
      <c r="BX2449" s="61"/>
      <c r="BY2449" s="61"/>
    </row>
    <row r="2450" spans="76:77" ht="19.899999999999999" customHeight="1">
      <c r="BX2450" s="61"/>
      <c r="BY2450" s="61"/>
    </row>
    <row r="2451" spans="76:77" ht="19.899999999999999" customHeight="1">
      <c r="BX2451" s="61"/>
      <c r="BY2451" s="61"/>
    </row>
    <row r="2452" spans="76:77" ht="19.899999999999999" customHeight="1">
      <c r="BX2452" s="61"/>
      <c r="BY2452" s="61"/>
    </row>
    <row r="2453" spans="76:77" ht="19.899999999999999" customHeight="1">
      <c r="BX2453" s="61"/>
      <c r="BY2453" s="61"/>
    </row>
    <row r="2454" spans="76:77" ht="19.899999999999999" customHeight="1">
      <c r="BX2454" s="61"/>
      <c r="BY2454" s="61"/>
    </row>
    <row r="2455" spans="76:77" ht="19.899999999999999" customHeight="1">
      <c r="BX2455" s="61"/>
      <c r="BY2455" s="61"/>
    </row>
    <row r="2456" spans="76:77" ht="19.899999999999999" customHeight="1">
      <c r="BX2456" s="61"/>
      <c r="BY2456" s="61"/>
    </row>
    <row r="2457" spans="76:77" ht="19.899999999999999" customHeight="1">
      <c r="BX2457" s="61"/>
      <c r="BY2457" s="61"/>
    </row>
    <row r="2458" spans="76:77" ht="19.899999999999999" customHeight="1">
      <c r="BX2458" s="61"/>
      <c r="BY2458" s="61"/>
    </row>
    <row r="2459" spans="76:77" ht="19.899999999999999" customHeight="1">
      <c r="BX2459" s="61"/>
      <c r="BY2459" s="61"/>
    </row>
    <row r="2460" spans="76:77" ht="19.899999999999999" customHeight="1">
      <c r="BX2460" s="61"/>
      <c r="BY2460" s="61"/>
    </row>
  </sheetData>
  <phoneticPr fontId="13" type="noConversion"/>
  <pageMargins left="1" right="1" top="1" bottom="1" header="0.25" footer="0.25"/>
  <pageSetup scale="10" orientation="portrait" r:id="rId1"/>
  <headerFooter>
    <oddFooter>&amp;C&amp;"Helvetica Neue,Regular"&amp;12&amp;K000000&amp;P</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17BF-6122-4D6F-87D5-7A6EC53CCF77}">
  <dimension ref="A1:DJ13"/>
  <sheetViews>
    <sheetView workbookViewId="0">
      <pane xSplit="1" topLeftCell="B1" activePane="topRight" state="frozen"/>
      <selection activeCell="A34" sqref="A34:XFD34"/>
      <selection pane="topRight" activeCell="A34" sqref="A34:XFD34"/>
    </sheetView>
  </sheetViews>
  <sheetFormatPr defaultColWidth="9.140625" defaultRowHeight="12.75" outlineLevelCol="1"/>
  <cols>
    <col min="1" max="1" width="10.7109375" style="24" customWidth="1"/>
    <col min="2" max="2" width="2.140625" style="24" customWidth="1"/>
    <col min="3" max="7" width="10.7109375" style="24" customWidth="1" outlineLevel="1"/>
    <col min="8" max="8" width="17.85546875" style="24" customWidth="1"/>
    <col min="9" max="13" width="10.7109375" style="24" customWidth="1" outlineLevel="1"/>
    <col min="14" max="14" width="17.85546875" style="24" customWidth="1"/>
    <col min="15" max="19" width="10.7109375" style="24" customWidth="1" outlineLevel="1"/>
    <col min="20" max="20" width="17.85546875" style="24" customWidth="1"/>
    <col min="21" max="25" width="10.7109375" style="24" customWidth="1" outlineLevel="1"/>
    <col min="26" max="26" width="17.85546875" style="24" customWidth="1"/>
    <col min="27" max="27" width="2.140625" style="24" customWidth="1"/>
    <col min="28" max="59" width="17.85546875" style="24" customWidth="1"/>
    <col min="60" max="60" width="2.140625" style="24" customWidth="1"/>
    <col min="61" max="67" width="10.7109375" style="24" customWidth="1" outlineLevel="1"/>
    <col min="68" max="68" width="17.85546875" style="24" customWidth="1"/>
    <col min="69" max="69" width="2.140625" style="24" customWidth="1"/>
    <col min="70" max="76" width="10.7109375" style="24" customWidth="1" outlineLevel="1"/>
    <col min="77" max="77" width="17.85546875" style="24" customWidth="1"/>
    <col min="78" max="78" width="2.140625" style="24" customWidth="1"/>
    <col min="79" max="85" width="10.7109375" style="24" customWidth="1" outlineLevel="1"/>
    <col min="86" max="86" width="17.85546875" style="24" customWidth="1"/>
    <col min="87" max="87" width="2.140625" style="24" customWidth="1"/>
    <col min="88" max="95" width="10.7109375" style="24" customWidth="1" outlineLevel="1"/>
    <col min="96" max="96" width="17.85546875" style="24" customWidth="1"/>
    <col min="97" max="16384" width="9.140625" style="24"/>
  </cols>
  <sheetData>
    <row r="1" spans="1:114" ht="15">
      <c r="B1" s="25"/>
      <c r="C1" s="24" t="s">
        <v>567</v>
      </c>
      <c r="H1" s="24" t="s">
        <v>568</v>
      </c>
      <c r="I1" s="24" t="s">
        <v>567</v>
      </c>
      <c r="N1" s="24" t="s">
        <v>567</v>
      </c>
      <c r="O1" s="24" t="s">
        <v>567</v>
      </c>
      <c r="T1" s="24" t="s">
        <v>567</v>
      </c>
      <c r="U1" s="24" t="s">
        <v>567</v>
      </c>
      <c r="Z1" s="24" t="s">
        <v>567</v>
      </c>
      <c r="AA1" s="25"/>
      <c r="AB1" s="24" t="s">
        <v>615</v>
      </c>
      <c r="AC1" s="24" t="s">
        <v>615</v>
      </c>
      <c r="BH1" s="25"/>
      <c r="BI1" s="24" t="s">
        <v>569</v>
      </c>
      <c r="BP1" s="24" t="s">
        <v>569</v>
      </c>
      <c r="BR1" s="24" t="s">
        <v>569</v>
      </c>
      <c r="BY1" s="24" t="s">
        <v>569</v>
      </c>
      <c r="CA1" s="24" t="s">
        <v>569</v>
      </c>
      <c r="CH1" s="24" t="s">
        <v>569</v>
      </c>
      <c r="CJ1" s="24" t="s">
        <v>569</v>
      </c>
      <c r="CR1" s="24" t="s">
        <v>569</v>
      </c>
      <c r="CX1" s="26"/>
      <c r="CY1" s="135" t="s">
        <v>570</v>
      </c>
      <c r="CZ1" s="135"/>
      <c r="DA1" s="135"/>
      <c r="DB1" s="135"/>
      <c r="DC1" s="135"/>
      <c r="DD1" s="136" t="s">
        <v>571</v>
      </c>
      <c r="DE1" s="136"/>
      <c r="DF1" s="136"/>
      <c r="DG1" s="136"/>
      <c r="DH1" s="135" t="s">
        <v>412</v>
      </c>
      <c r="DI1" s="135"/>
      <c r="DJ1" s="137"/>
    </row>
    <row r="2" spans="1:114" ht="15">
      <c r="B2" s="25"/>
      <c r="C2" s="24" t="s">
        <v>572</v>
      </c>
      <c r="H2" s="24" t="s">
        <v>572</v>
      </c>
      <c r="I2" s="24" t="s">
        <v>573</v>
      </c>
      <c r="N2" s="24" t="s">
        <v>573</v>
      </c>
      <c r="O2" s="27" t="s">
        <v>574</v>
      </c>
      <c r="T2" s="27" t="s">
        <v>574</v>
      </c>
      <c r="U2" s="24" t="s">
        <v>575</v>
      </c>
      <c r="V2" s="28"/>
      <c r="W2" s="28"/>
      <c r="X2" s="28"/>
      <c r="Y2" s="28"/>
      <c r="Z2" s="24" t="s">
        <v>575</v>
      </c>
      <c r="AA2" s="25"/>
      <c r="AB2" s="24" t="s">
        <v>572</v>
      </c>
      <c r="AC2" s="24" t="s">
        <v>573</v>
      </c>
      <c r="BH2" s="25"/>
      <c r="BI2" s="24" t="s">
        <v>572</v>
      </c>
      <c r="BP2" s="24" t="s">
        <v>572</v>
      </c>
      <c r="BR2" s="24" t="s">
        <v>573</v>
      </c>
      <c r="BY2" s="24" t="s">
        <v>573</v>
      </c>
      <c r="CA2" s="24" t="s">
        <v>574</v>
      </c>
      <c r="CH2" s="24" t="s">
        <v>574</v>
      </c>
      <c r="CJ2" s="24" t="s">
        <v>576</v>
      </c>
      <c r="CR2" s="24" t="s">
        <v>576</v>
      </c>
      <c r="CX2" s="29" t="s">
        <v>577</v>
      </c>
      <c r="CY2" s="30" t="s">
        <v>578</v>
      </c>
      <c r="CZ2" s="30" t="s">
        <v>579</v>
      </c>
      <c r="DA2" s="30" t="s">
        <v>580</v>
      </c>
      <c r="DB2" s="30" t="s">
        <v>581</v>
      </c>
      <c r="DC2" s="31" t="s">
        <v>582</v>
      </c>
      <c r="DD2" s="30" t="s">
        <v>583</v>
      </c>
      <c r="DE2" s="30" t="s">
        <v>584</v>
      </c>
      <c r="DF2" s="30" t="s">
        <v>585</v>
      </c>
      <c r="DG2" s="32" t="s">
        <v>586</v>
      </c>
      <c r="DH2" s="33" t="s">
        <v>587</v>
      </c>
      <c r="DI2" s="30" t="s">
        <v>588</v>
      </c>
      <c r="DJ2" s="34" t="s">
        <v>589</v>
      </c>
    </row>
    <row r="3" spans="1:114" ht="13.5" thickBot="1">
      <c r="B3" s="25"/>
      <c r="C3" s="35" t="s">
        <v>590</v>
      </c>
      <c r="D3" s="35" t="s">
        <v>591</v>
      </c>
      <c r="E3" s="35" t="s">
        <v>585</v>
      </c>
      <c r="F3" s="35" t="s">
        <v>592</v>
      </c>
      <c r="G3" s="35" t="s">
        <v>593</v>
      </c>
      <c r="I3" s="35" t="s">
        <v>590</v>
      </c>
      <c r="J3" s="35" t="s">
        <v>591</v>
      </c>
      <c r="K3" s="35" t="s">
        <v>585</v>
      </c>
      <c r="L3" s="35" t="s">
        <v>592</v>
      </c>
      <c r="M3" s="35" t="s">
        <v>593</v>
      </c>
      <c r="O3" s="35" t="s">
        <v>590</v>
      </c>
      <c r="P3" s="35" t="s">
        <v>591</v>
      </c>
      <c r="Q3" s="35" t="s">
        <v>585</v>
      </c>
      <c r="R3" s="35" t="s">
        <v>592</v>
      </c>
      <c r="S3" s="35" t="s">
        <v>593</v>
      </c>
      <c r="U3" s="35" t="s">
        <v>590</v>
      </c>
      <c r="V3" s="35" t="s">
        <v>591</v>
      </c>
      <c r="W3" s="35" t="s">
        <v>585</v>
      </c>
      <c r="X3" s="35" t="s">
        <v>592</v>
      </c>
      <c r="Y3" s="35" t="s">
        <v>593</v>
      </c>
      <c r="Z3" s="36"/>
      <c r="AA3" s="37"/>
      <c r="AC3" s="35" t="s">
        <v>590</v>
      </c>
      <c r="AD3" s="35" t="s">
        <v>591</v>
      </c>
      <c r="AE3" s="35" t="s">
        <v>585</v>
      </c>
      <c r="AF3" s="35" t="s">
        <v>592</v>
      </c>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7"/>
      <c r="BI3" s="38" t="s">
        <v>594</v>
      </c>
      <c r="BJ3" s="35" t="s">
        <v>579</v>
      </c>
      <c r="BK3" s="38" t="s">
        <v>595</v>
      </c>
      <c r="BL3" s="35" t="s">
        <v>580</v>
      </c>
      <c r="BM3" s="38" t="s">
        <v>596</v>
      </c>
      <c r="BN3" s="35" t="s">
        <v>581</v>
      </c>
      <c r="BO3" s="35" t="s">
        <v>582</v>
      </c>
      <c r="BR3" s="38" t="s">
        <v>594</v>
      </c>
      <c r="BS3" s="35" t="s">
        <v>579</v>
      </c>
      <c r="BT3" s="38" t="s">
        <v>595</v>
      </c>
      <c r="BU3" s="35" t="s">
        <v>580</v>
      </c>
      <c r="BV3" s="38" t="s">
        <v>596</v>
      </c>
      <c r="BW3" s="35" t="s">
        <v>581</v>
      </c>
      <c r="BX3" s="35" t="s">
        <v>582</v>
      </c>
      <c r="CA3" s="38" t="s">
        <v>594</v>
      </c>
      <c r="CB3" s="35" t="s">
        <v>579</v>
      </c>
      <c r="CC3" s="38" t="s">
        <v>595</v>
      </c>
      <c r="CD3" s="35" t="s">
        <v>580</v>
      </c>
      <c r="CE3" s="38" t="s">
        <v>596</v>
      </c>
      <c r="CF3" s="35" t="s">
        <v>581</v>
      </c>
      <c r="CG3" s="35" t="s">
        <v>582</v>
      </c>
      <c r="CJ3" s="38" t="s">
        <v>594</v>
      </c>
      <c r="CK3" s="35" t="s">
        <v>579</v>
      </c>
      <c r="CL3" s="38" t="s">
        <v>595</v>
      </c>
      <c r="CM3" s="35" t="s">
        <v>580</v>
      </c>
      <c r="CN3" s="38" t="s">
        <v>596</v>
      </c>
      <c r="CO3" s="38" t="s">
        <v>597</v>
      </c>
      <c r="CP3" s="35" t="s">
        <v>581</v>
      </c>
      <c r="CQ3" s="35" t="s">
        <v>582</v>
      </c>
      <c r="CX3" s="39" t="s">
        <v>598</v>
      </c>
      <c r="CY3" s="40">
        <v>22.556000000000001</v>
      </c>
      <c r="CZ3" s="40"/>
      <c r="DA3" s="40"/>
      <c r="DB3" s="40"/>
      <c r="DC3" s="41">
        <v>0.1</v>
      </c>
      <c r="DD3" s="40"/>
      <c r="DE3" s="40"/>
      <c r="DF3" s="40">
        <v>0.2</v>
      </c>
      <c r="DG3" s="42">
        <f>2*0.02</f>
        <v>0.04</v>
      </c>
      <c r="DH3" s="40"/>
      <c r="DI3" s="40"/>
      <c r="DJ3" s="43"/>
    </row>
    <row r="4" spans="1:114" ht="15">
      <c r="A4" s="24" t="s">
        <v>599</v>
      </c>
      <c r="B4" s="25"/>
      <c r="E4" s="24">
        <v>185.22</v>
      </c>
      <c r="F4" s="24">
        <v>9.11</v>
      </c>
      <c r="G4" s="24" t="s">
        <v>561</v>
      </c>
      <c r="K4" s="24">
        <v>1</v>
      </c>
      <c r="L4" s="24">
        <v>2</v>
      </c>
      <c r="M4" s="24">
        <v>1</v>
      </c>
      <c r="Q4" s="27" t="s">
        <v>597</v>
      </c>
      <c r="R4" s="27" t="s">
        <v>600</v>
      </c>
      <c r="S4" s="27" t="s">
        <v>597</v>
      </c>
      <c r="W4" s="24">
        <f>K4*E4</f>
        <v>185.22</v>
      </c>
      <c r="X4" s="24">
        <f>L4*F4</f>
        <v>18.22</v>
      </c>
      <c r="Y4" s="24" t="e">
        <f>M4*G4</f>
        <v>#VALUE!</v>
      </c>
      <c r="AA4" s="25"/>
      <c r="BH4" s="25"/>
      <c r="BI4" s="24">
        <v>22.56</v>
      </c>
      <c r="BM4" s="24">
        <v>257.38</v>
      </c>
      <c r="BO4" s="24">
        <v>137</v>
      </c>
      <c r="BR4" s="24">
        <v>1</v>
      </c>
      <c r="BV4" s="24">
        <v>1</v>
      </c>
      <c r="BX4" s="24">
        <v>1</v>
      </c>
      <c r="CA4" s="24" t="s">
        <v>578</v>
      </c>
      <c r="CE4" s="24" t="s">
        <v>597</v>
      </c>
      <c r="CG4" s="24" t="s">
        <v>559</v>
      </c>
      <c r="CJ4" s="24">
        <f>BI4*BR4</f>
        <v>22.56</v>
      </c>
      <c r="CN4" s="24">
        <f t="shared" ref="CN4:CN6" si="0">BM4*BV4</f>
        <v>257.38</v>
      </c>
      <c r="CO4" s="24">
        <f>CN4</f>
        <v>257.38</v>
      </c>
      <c r="CP4" s="24">
        <f t="shared" ref="CP4:CQ6" si="1">BN4*BW4</f>
        <v>0</v>
      </c>
      <c r="CQ4" s="24">
        <f t="shared" si="1"/>
        <v>137</v>
      </c>
      <c r="CX4" s="39" t="s">
        <v>601</v>
      </c>
      <c r="CY4" s="40">
        <v>22.556000000000001</v>
      </c>
      <c r="CZ4" s="40"/>
      <c r="DA4" s="40"/>
      <c r="DB4" s="40"/>
      <c r="DC4" s="41"/>
      <c r="DD4" s="40"/>
      <c r="DE4" s="40"/>
      <c r="DF4" s="40"/>
      <c r="DG4" s="41"/>
      <c r="DH4" s="44">
        <v>1.1000000000000001</v>
      </c>
      <c r="DI4" s="40"/>
      <c r="DJ4" s="43"/>
    </row>
    <row r="5" spans="1:114" ht="15">
      <c r="A5" s="24" t="s">
        <v>602</v>
      </c>
      <c r="B5" s="25"/>
      <c r="E5" s="24">
        <v>156.91999999999999</v>
      </c>
      <c r="K5" s="24">
        <v>1</v>
      </c>
      <c r="Q5" s="27" t="s">
        <v>597</v>
      </c>
      <c r="S5" s="27" t="s">
        <v>597</v>
      </c>
      <c r="W5" s="24">
        <f>K5*E5</f>
        <v>156.91999999999999</v>
      </c>
      <c r="AA5" s="25"/>
      <c r="BH5" s="25"/>
      <c r="BI5" s="24">
        <v>22.56</v>
      </c>
      <c r="BM5" s="24">
        <v>257.38</v>
      </c>
      <c r="BO5" s="24">
        <v>135</v>
      </c>
      <c r="BR5" s="24">
        <v>1</v>
      </c>
      <c r="BV5" s="24">
        <v>1</v>
      </c>
      <c r="BX5" s="24">
        <v>1</v>
      </c>
      <c r="CA5" s="24" t="s">
        <v>578</v>
      </c>
      <c r="CE5" s="24" t="s">
        <v>597</v>
      </c>
      <c r="CG5" s="24" t="s">
        <v>559</v>
      </c>
      <c r="CJ5" s="24">
        <f t="shared" ref="CJ5:CM12" si="2">BI5*BR5</f>
        <v>22.56</v>
      </c>
      <c r="CN5" s="24">
        <f t="shared" si="0"/>
        <v>257.38</v>
      </c>
      <c r="CO5" s="24">
        <f>CN5</f>
        <v>257.38</v>
      </c>
      <c r="CP5" s="24">
        <f t="shared" si="1"/>
        <v>0</v>
      </c>
      <c r="CQ5" s="24">
        <f t="shared" si="1"/>
        <v>135</v>
      </c>
      <c r="CX5" s="39" t="s">
        <v>603</v>
      </c>
      <c r="CY5" s="40">
        <v>22.556000000000001</v>
      </c>
      <c r="CZ5" s="40"/>
      <c r="DA5" s="40"/>
      <c r="DB5" s="40"/>
      <c r="DC5" s="41"/>
      <c r="DD5" s="40"/>
      <c r="DE5" s="40"/>
      <c r="DF5" s="40"/>
      <c r="DG5" s="41"/>
      <c r="DH5" s="45">
        <v>0.624</v>
      </c>
      <c r="DI5" s="40"/>
      <c r="DJ5" s="43"/>
    </row>
    <row r="6" spans="1:114" ht="15">
      <c r="A6" s="24" t="s">
        <v>604</v>
      </c>
      <c r="B6" s="25"/>
      <c r="E6" s="24">
        <v>92.18</v>
      </c>
      <c r="K6" s="24">
        <v>1</v>
      </c>
      <c r="Q6" s="27" t="s">
        <v>597</v>
      </c>
      <c r="S6" s="27" t="s">
        <v>597</v>
      </c>
      <c r="W6" s="24">
        <f>K6*E6</f>
        <v>92.18</v>
      </c>
      <c r="AA6" s="25"/>
      <c r="BH6" s="25"/>
      <c r="BI6" s="24">
        <v>22.56</v>
      </c>
      <c r="BM6" s="24">
        <v>257.38</v>
      </c>
      <c r="BO6" s="24">
        <v>135</v>
      </c>
      <c r="BR6" s="24">
        <v>1</v>
      </c>
      <c r="BV6" s="24">
        <v>1</v>
      </c>
      <c r="BX6" s="24">
        <v>1</v>
      </c>
      <c r="CA6" s="24" t="s">
        <v>578</v>
      </c>
      <c r="CE6" s="24" t="s">
        <v>597</v>
      </c>
      <c r="CG6" s="24" t="s">
        <v>559</v>
      </c>
      <c r="CJ6" s="24">
        <f t="shared" si="2"/>
        <v>22.56</v>
      </c>
      <c r="CN6" s="24">
        <f t="shared" si="0"/>
        <v>257.38</v>
      </c>
      <c r="CO6" s="24">
        <f t="shared" ref="CO6" si="3">CN6</f>
        <v>257.38</v>
      </c>
      <c r="CP6" s="24">
        <f t="shared" si="1"/>
        <v>0</v>
      </c>
      <c r="CQ6" s="24">
        <f t="shared" si="1"/>
        <v>135</v>
      </c>
      <c r="CX6" s="39" t="s">
        <v>605</v>
      </c>
      <c r="CY6" s="40">
        <v>22.556000000000001</v>
      </c>
      <c r="CZ6" s="40">
        <f>4*0.3756</f>
        <v>1.5024</v>
      </c>
      <c r="DA6" s="40">
        <f>2*0.74</f>
        <v>1.48</v>
      </c>
      <c r="DB6" s="46">
        <f>1*0.17</f>
        <v>0.17</v>
      </c>
      <c r="DC6" s="47">
        <v>0.4</v>
      </c>
      <c r="DD6" s="40">
        <f>0.08</f>
        <v>0.08</v>
      </c>
      <c r="DE6" s="40">
        <f>2*0.01</f>
        <v>0.02</v>
      </c>
      <c r="DF6" s="40"/>
      <c r="DG6" s="41"/>
      <c r="DH6" s="40"/>
      <c r="DI6" s="40"/>
      <c r="DJ6" s="43"/>
    </row>
    <row r="7" spans="1:114" ht="15">
      <c r="A7" s="24" t="s">
        <v>605</v>
      </c>
      <c r="B7" s="25"/>
      <c r="C7" s="24">
        <v>80.739999999999995</v>
      </c>
      <c r="D7" s="24">
        <v>2.61</v>
      </c>
      <c r="I7" s="24">
        <v>1</v>
      </c>
      <c r="J7" s="24">
        <v>2</v>
      </c>
      <c r="O7" s="27" t="s">
        <v>597</v>
      </c>
      <c r="P7" s="27" t="s">
        <v>560</v>
      </c>
      <c r="U7" s="24">
        <f t="shared" ref="U7:V10" si="4">I7*C7</f>
        <v>80.739999999999995</v>
      </c>
      <c r="V7" s="24">
        <f t="shared" si="4"/>
        <v>5.22</v>
      </c>
      <c r="AA7" s="25"/>
      <c r="BH7" s="25"/>
      <c r="BI7" s="24">
        <v>22.56</v>
      </c>
      <c r="BJ7" s="24">
        <v>142.22999999999999</v>
      </c>
      <c r="BK7" s="24">
        <v>383.01</v>
      </c>
      <c r="BL7" s="24">
        <v>730.88</v>
      </c>
      <c r="BN7" s="24">
        <v>33.4</v>
      </c>
      <c r="BO7" s="24">
        <v>175.14</v>
      </c>
      <c r="BR7" s="24">
        <v>1</v>
      </c>
      <c r="BS7" s="24">
        <v>4</v>
      </c>
      <c r="BT7" s="24">
        <v>2</v>
      </c>
      <c r="BU7" s="24">
        <v>2</v>
      </c>
      <c r="BW7" s="24">
        <v>2</v>
      </c>
      <c r="BX7" s="24">
        <v>1</v>
      </c>
      <c r="CA7" s="24" t="s">
        <v>578</v>
      </c>
      <c r="CB7" s="24" t="s">
        <v>597</v>
      </c>
      <c r="CC7" s="24" t="s">
        <v>597</v>
      </c>
      <c r="CD7" s="24" t="s">
        <v>597</v>
      </c>
      <c r="CF7" s="24" t="s">
        <v>562</v>
      </c>
      <c r="CG7" s="24" t="s">
        <v>559</v>
      </c>
      <c r="CJ7" s="24">
        <f t="shared" si="2"/>
        <v>22.56</v>
      </c>
      <c r="CK7" s="24">
        <f t="shared" si="2"/>
        <v>568.91999999999996</v>
      </c>
      <c r="CL7" s="24">
        <f t="shared" si="2"/>
        <v>766.02</v>
      </c>
      <c r="CM7" s="24">
        <f t="shared" si="2"/>
        <v>1461.76</v>
      </c>
      <c r="CO7" s="24">
        <f>CK7+CL7+CM7</f>
        <v>2796.7</v>
      </c>
      <c r="CP7" s="24">
        <f t="shared" ref="CP7:CQ12" si="5">BN7*BW7</f>
        <v>66.8</v>
      </c>
      <c r="CQ7" s="24">
        <f t="shared" si="5"/>
        <v>175.14</v>
      </c>
      <c r="CX7" s="39" t="s">
        <v>607</v>
      </c>
      <c r="CY7" s="40">
        <v>22.556000000000001</v>
      </c>
      <c r="CZ7" s="40">
        <f>4*0.3756</f>
        <v>1.5024</v>
      </c>
      <c r="DA7" s="40">
        <f>2*0.74</f>
        <v>1.48</v>
      </c>
      <c r="DB7" s="46">
        <f>1*0.17</f>
        <v>0.17</v>
      </c>
      <c r="DC7" s="47">
        <v>1.4</v>
      </c>
      <c r="DD7" s="45">
        <f>0.04</f>
        <v>0.04</v>
      </c>
      <c r="DE7" s="40">
        <f>2*0.01</f>
        <v>0.02</v>
      </c>
      <c r="DF7" s="40"/>
      <c r="DG7" s="41"/>
      <c r="DH7" s="40"/>
      <c r="DI7" s="40"/>
      <c r="DJ7" s="43"/>
    </row>
    <row r="8" spans="1:114" ht="15">
      <c r="A8" s="24" t="s">
        <v>608</v>
      </c>
      <c r="B8" s="25"/>
      <c r="C8" s="24">
        <v>61.97</v>
      </c>
      <c r="D8" s="24">
        <v>2.61</v>
      </c>
      <c r="I8" s="24">
        <v>1</v>
      </c>
      <c r="J8" s="24">
        <v>2</v>
      </c>
      <c r="O8" s="27" t="s">
        <v>597</v>
      </c>
      <c r="P8" s="27" t="s">
        <v>560</v>
      </c>
      <c r="U8" s="24">
        <f t="shared" si="4"/>
        <v>61.97</v>
      </c>
      <c r="V8" s="24">
        <f t="shared" si="4"/>
        <v>5.22</v>
      </c>
      <c r="AA8" s="25"/>
      <c r="BH8" s="25"/>
      <c r="BI8" s="24">
        <v>22.56</v>
      </c>
      <c r="BJ8" s="24">
        <v>142.22999999999999</v>
      </c>
      <c r="BK8" s="24">
        <v>383.01</v>
      </c>
      <c r="BL8" s="24">
        <v>730.88</v>
      </c>
      <c r="BN8" s="24">
        <v>33.4</v>
      </c>
      <c r="BO8" s="24">
        <v>175.14</v>
      </c>
      <c r="BR8" s="24">
        <v>1</v>
      </c>
      <c r="BS8" s="24">
        <v>4</v>
      </c>
      <c r="BT8" s="24">
        <v>2</v>
      </c>
      <c r="BU8" s="24">
        <v>2</v>
      </c>
      <c r="BW8" s="24">
        <v>2</v>
      </c>
      <c r="BX8" s="24">
        <v>1</v>
      </c>
      <c r="CA8" s="24" t="s">
        <v>578</v>
      </c>
      <c r="CB8" s="24" t="s">
        <v>597</v>
      </c>
      <c r="CC8" s="24" t="s">
        <v>597</v>
      </c>
      <c r="CD8" s="24" t="s">
        <v>597</v>
      </c>
      <c r="CF8" s="24" t="s">
        <v>562</v>
      </c>
      <c r="CG8" s="24" t="s">
        <v>559</v>
      </c>
      <c r="CJ8" s="24">
        <f t="shared" si="2"/>
        <v>22.56</v>
      </c>
      <c r="CK8" s="24">
        <f t="shared" si="2"/>
        <v>568.91999999999996</v>
      </c>
      <c r="CL8" s="24">
        <f t="shared" si="2"/>
        <v>766.02</v>
      </c>
      <c r="CM8" s="24">
        <f t="shared" si="2"/>
        <v>1461.76</v>
      </c>
      <c r="CO8" s="24">
        <f t="shared" ref="CO8:CO10" si="6">CK8+CL8+CM8</f>
        <v>2796.7</v>
      </c>
      <c r="CP8" s="24">
        <f t="shared" si="5"/>
        <v>66.8</v>
      </c>
      <c r="CQ8" s="24">
        <f t="shared" si="5"/>
        <v>175.14</v>
      </c>
      <c r="CX8" s="39" t="s">
        <v>609</v>
      </c>
      <c r="CY8" s="40">
        <v>22.556000000000001</v>
      </c>
      <c r="CZ8" s="40"/>
      <c r="DA8" s="40"/>
      <c r="DB8" s="40"/>
      <c r="DC8" s="41"/>
      <c r="DD8" s="40"/>
      <c r="DE8" s="40"/>
      <c r="DF8" s="40"/>
      <c r="DG8" s="41"/>
      <c r="DH8" s="40"/>
      <c r="DI8" s="40"/>
      <c r="DJ8" s="43"/>
    </row>
    <row r="9" spans="1:114" ht="15.75" thickBot="1">
      <c r="A9" s="24" t="s">
        <v>607</v>
      </c>
      <c r="B9" s="25"/>
      <c r="C9" s="24">
        <v>43.19</v>
      </c>
      <c r="D9" s="24">
        <v>2.61</v>
      </c>
      <c r="I9" s="24">
        <v>1</v>
      </c>
      <c r="J9" s="24">
        <v>2</v>
      </c>
      <c r="O9" s="27" t="s">
        <v>597</v>
      </c>
      <c r="P9" s="27" t="s">
        <v>560</v>
      </c>
      <c r="U9" s="24">
        <f t="shared" si="4"/>
        <v>43.19</v>
      </c>
      <c r="V9" s="24">
        <f t="shared" si="4"/>
        <v>5.22</v>
      </c>
      <c r="AA9" s="25"/>
      <c r="BH9" s="25"/>
      <c r="BI9" s="24">
        <v>22.56</v>
      </c>
      <c r="BJ9" s="24">
        <v>142.22999999999999</v>
      </c>
      <c r="BK9" s="24">
        <v>383.01</v>
      </c>
      <c r="BL9" s="24">
        <v>730.88</v>
      </c>
      <c r="BN9" s="24">
        <v>33.4</v>
      </c>
      <c r="BO9" s="24">
        <v>175.14</v>
      </c>
      <c r="BR9" s="24">
        <v>1</v>
      </c>
      <c r="BS9" s="24">
        <v>4</v>
      </c>
      <c r="BT9" s="24">
        <v>2</v>
      </c>
      <c r="BU9" s="24">
        <v>2</v>
      </c>
      <c r="BW9" s="24">
        <v>2</v>
      </c>
      <c r="BX9" s="24">
        <v>1</v>
      </c>
      <c r="CA9" s="24" t="s">
        <v>578</v>
      </c>
      <c r="CB9" s="24" t="s">
        <v>597</v>
      </c>
      <c r="CC9" s="24" t="s">
        <v>597</v>
      </c>
      <c r="CD9" s="24" t="s">
        <v>597</v>
      </c>
      <c r="CF9" s="24" t="s">
        <v>562</v>
      </c>
      <c r="CG9" s="24" t="s">
        <v>559</v>
      </c>
      <c r="CJ9" s="24">
        <f t="shared" si="2"/>
        <v>22.56</v>
      </c>
      <c r="CK9" s="24">
        <f t="shared" si="2"/>
        <v>568.91999999999996</v>
      </c>
      <c r="CL9" s="24">
        <f t="shared" si="2"/>
        <v>766.02</v>
      </c>
      <c r="CM9" s="24">
        <f t="shared" si="2"/>
        <v>1461.76</v>
      </c>
      <c r="CO9" s="24">
        <f t="shared" si="6"/>
        <v>2796.7</v>
      </c>
      <c r="CP9" s="24">
        <f t="shared" si="5"/>
        <v>66.8</v>
      </c>
      <c r="CQ9" s="24">
        <f t="shared" si="5"/>
        <v>175.14</v>
      </c>
      <c r="CX9" s="48" t="s">
        <v>610</v>
      </c>
      <c r="CY9" s="49">
        <v>22.556000000000001</v>
      </c>
      <c r="CZ9" s="49"/>
      <c r="DA9" s="49">
        <f>3*0.25</f>
        <v>0.75</v>
      </c>
      <c r="DB9" s="49"/>
      <c r="DC9" s="50">
        <v>0.2</v>
      </c>
      <c r="DD9" s="49"/>
      <c r="DE9" s="49"/>
      <c r="DF9" s="49">
        <v>0.13</v>
      </c>
      <c r="DG9" s="51">
        <f>2*0.018</f>
        <v>3.5999999999999997E-2</v>
      </c>
      <c r="DH9" s="49"/>
      <c r="DI9" s="49"/>
      <c r="DJ9" s="52"/>
    </row>
    <row r="10" spans="1:114" ht="15">
      <c r="A10" s="24" t="s">
        <v>611</v>
      </c>
      <c r="B10" s="25"/>
      <c r="C10" s="24">
        <v>71.260000000000005</v>
      </c>
      <c r="D10" s="24">
        <v>3.89</v>
      </c>
      <c r="I10" s="24">
        <v>1</v>
      </c>
      <c r="J10" s="24">
        <v>2</v>
      </c>
      <c r="O10" s="27" t="s">
        <v>597</v>
      </c>
      <c r="P10" s="27" t="s">
        <v>560</v>
      </c>
      <c r="U10" s="24">
        <f t="shared" si="4"/>
        <v>71.260000000000005</v>
      </c>
      <c r="V10" s="24">
        <f t="shared" si="4"/>
        <v>7.78</v>
      </c>
      <c r="AA10" s="25"/>
      <c r="BH10" s="25"/>
      <c r="BI10" s="24">
        <v>22.56</v>
      </c>
      <c r="BJ10" s="24">
        <v>142.22999999999999</v>
      </c>
      <c r="BK10" s="24">
        <v>383.01</v>
      </c>
      <c r="BL10" s="24">
        <v>730.88</v>
      </c>
      <c r="BN10" s="24">
        <v>33.4</v>
      </c>
      <c r="BO10" s="24">
        <v>160.74</v>
      </c>
      <c r="BR10" s="24">
        <v>1</v>
      </c>
      <c r="BS10" s="24">
        <v>4</v>
      </c>
      <c r="BT10" s="24">
        <v>2</v>
      </c>
      <c r="BU10" s="24">
        <v>2</v>
      </c>
      <c r="BW10" s="24">
        <v>2</v>
      </c>
      <c r="BX10" s="24">
        <v>1</v>
      </c>
      <c r="CA10" s="24" t="s">
        <v>578</v>
      </c>
      <c r="CB10" s="24" t="s">
        <v>597</v>
      </c>
      <c r="CC10" s="24" t="s">
        <v>597</v>
      </c>
      <c r="CD10" s="24" t="s">
        <v>597</v>
      </c>
      <c r="CF10" s="24" t="s">
        <v>562</v>
      </c>
      <c r="CG10" s="24" t="s">
        <v>559</v>
      </c>
      <c r="CJ10" s="24">
        <f t="shared" si="2"/>
        <v>22.56</v>
      </c>
      <c r="CK10" s="24">
        <f t="shared" si="2"/>
        <v>568.91999999999996</v>
      </c>
      <c r="CL10" s="24">
        <f t="shared" si="2"/>
        <v>766.02</v>
      </c>
      <c r="CM10" s="24">
        <f t="shared" si="2"/>
        <v>1461.76</v>
      </c>
      <c r="CO10" s="24">
        <f t="shared" si="6"/>
        <v>2796.7</v>
      </c>
      <c r="CP10" s="24">
        <f t="shared" si="5"/>
        <v>66.8</v>
      </c>
      <c r="CQ10" s="24">
        <f t="shared" si="5"/>
        <v>160.74</v>
      </c>
    </row>
    <row r="11" spans="1:114" ht="15">
      <c r="A11" s="24" t="s">
        <v>612</v>
      </c>
      <c r="B11" s="25"/>
      <c r="E11" s="24">
        <v>182.41</v>
      </c>
      <c r="G11" s="24" t="s">
        <v>561</v>
      </c>
      <c r="K11" s="24">
        <v>1</v>
      </c>
      <c r="M11" s="24">
        <v>1</v>
      </c>
      <c r="Q11" s="27" t="s">
        <v>597</v>
      </c>
      <c r="S11" s="27" t="s">
        <v>597</v>
      </c>
      <c r="W11" s="24">
        <f>K11*E11</f>
        <v>182.41</v>
      </c>
      <c r="Y11" s="24" t="e">
        <f>M11*G11</f>
        <v>#VALUE!</v>
      </c>
      <c r="AA11" s="25"/>
      <c r="BH11" s="25"/>
      <c r="BI11" s="24">
        <v>22.56</v>
      </c>
      <c r="BM11" s="24">
        <v>257.38</v>
      </c>
      <c r="BR11" s="24">
        <v>1</v>
      </c>
      <c r="BV11" s="24">
        <v>2</v>
      </c>
      <c r="CA11" s="24" t="s">
        <v>578</v>
      </c>
      <c r="CE11" s="24" t="s">
        <v>597</v>
      </c>
      <c r="CG11" s="24" t="s">
        <v>559</v>
      </c>
      <c r="CJ11" s="24">
        <f t="shared" si="2"/>
        <v>22.56</v>
      </c>
      <c r="CN11" s="24">
        <f>BM11*BV11</f>
        <v>514.76</v>
      </c>
      <c r="CO11" s="24">
        <f t="shared" ref="CO11:CO12" si="7">CN11</f>
        <v>514.76</v>
      </c>
      <c r="CP11" s="24">
        <f t="shared" si="5"/>
        <v>0</v>
      </c>
      <c r="CQ11" s="24">
        <v>156.29</v>
      </c>
    </row>
    <row r="12" spans="1:114" ht="15.75" thickBot="1">
      <c r="A12" s="24" t="s">
        <v>613</v>
      </c>
      <c r="B12" s="25"/>
      <c r="C12" s="35"/>
      <c r="D12" s="35"/>
      <c r="E12" s="35">
        <v>110</v>
      </c>
      <c r="F12" s="35"/>
      <c r="G12" s="35" t="s">
        <v>561</v>
      </c>
      <c r="I12" s="35"/>
      <c r="J12" s="35"/>
      <c r="K12" s="35">
        <v>1</v>
      </c>
      <c r="L12" s="35"/>
      <c r="M12" s="35">
        <v>1</v>
      </c>
      <c r="O12" s="35"/>
      <c r="P12" s="35"/>
      <c r="Q12" s="53" t="s">
        <v>597</v>
      </c>
      <c r="R12" s="35"/>
      <c r="S12" s="53" t="s">
        <v>597</v>
      </c>
      <c r="U12" s="35"/>
      <c r="V12" s="35"/>
      <c r="W12" s="35">
        <f>K12*E12</f>
        <v>110</v>
      </c>
      <c r="X12" s="35"/>
      <c r="Y12" s="35" t="e">
        <f>M12*G12</f>
        <v>#VALUE!</v>
      </c>
      <c r="AA12" s="25"/>
      <c r="AC12" s="35"/>
      <c r="AD12" s="35"/>
      <c r="AE12" s="35"/>
      <c r="AF12" s="35"/>
      <c r="BH12" s="25"/>
      <c r="BI12" s="35">
        <v>22.56</v>
      </c>
      <c r="BJ12" s="35"/>
      <c r="BK12" s="35"/>
      <c r="BL12" s="35"/>
      <c r="BM12" s="35">
        <v>257.38</v>
      </c>
      <c r="BN12" s="35"/>
      <c r="BO12" s="35"/>
      <c r="BR12" s="35">
        <v>1</v>
      </c>
      <c r="BS12" s="35"/>
      <c r="BT12" s="35"/>
      <c r="BU12" s="35"/>
      <c r="BV12" s="35">
        <v>2</v>
      </c>
      <c r="BW12" s="35"/>
      <c r="BX12" s="35"/>
      <c r="CA12" s="35" t="s">
        <v>578</v>
      </c>
      <c r="CB12" s="35"/>
      <c r="CC12" s="35"/>
      <c r="CD12" s="35"/>
      <c r="CE12" s="35" t="s">
        <v>597</v>
      </c>
      <c r="CF12" s="35"/>
      <c r="CG12" s="35" t="s">
        <v>559</v>
      </c>
      <c r="CJ12" s="35">
        <f t="shared" si="2"/>
        <v>22.56</v>
      </c>
      <c r="CK12" s="35"/>
      <c r="CL12" s="35"/>
      <c r="CM12" s="35"/>
      <c r="CN12" s="35">
        <f>BM12*BV12</f>
        <v>514.76</v>
      </c>
      <c r="CO12" s="35">
        <f t="shared" si="7"/>
        <v>514.76</v>
      </c>
      <c r="CP12" s="35">
        <f t="shared" si="5"/>
        <v>0</v>
      </c>
      <c r="CQ12" s="35">
        <v>100</v>
      </c>
    </row>
    <row r="13" spans="1:114">
      <c r="BH13" s="28"/>
    </row>
  </sheetData>
  <mergeCells count="3">
    <mergeCell ref="CY1:DC1"/>
    <mergeCell ref="DD1:DG1"/>
    <mergeCell ref="DH1:DJ1"/>
  </mergeCells>
  <phoneticPr fontId="13"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ADD94-66E6-46FE-8112-D163C5E852BA}">
  <dimension ref="A1:CX43"/>
  <sheetViews>
    <sheetView workbookViewId="0">
      <pane xSplit="2" ySplit="3" topLeftCell="C19" activePane="bottomRight" state="frozen"/>
      <selection activeCell="A34" sqref="A34:XFD34"/>
      <selection pane="topRight" activeCell="A34" sqref="A34:XFD34"/>
      <selection pane="bottomLeft" activeCell="A34" sqref="A34:XFD34"/>
      <selection pane="bottomRight" activeCell="A34" sqref="A34:XFD34"/>
    </sheetView>
  </sheetViews>
  <sheetFormatPr defaultColWidth="9.140625" defaultRowHeight="12.75" outlineLevelCol="1"/>
  <cols>
    <col min="1" max="1" width="23.42578125" style="24" customWidth="1"/>
    <col min="2" max="2" width="2.140625" style="24" customWidth="1"/>
    <col min="3" max="4" width="10.7109375" style="24" customWidth="1" outlineLevel="1"/>
    <col min="5" max="5" width="17.85546875" style="24" customWidth="1"/>
    <col min="6" max="7" width="10.7109375" style="24" customWidth="1" outlineLevel="1"/>
    <col min="8" max="8" width="17.85546875" style="24" customWidth="1"/>
    <col min="9" max="13" width="10.7109375" style="24" customWidth="1" outlineLevel="1"/>
    <col min="14" max="14" width="17.85546875" style="24" customWidth="1"/>
    <col min="15" max="16" width="10.7109375" style="24" customWidth="1" outlineLevel="1"/>
    <col min="17" max="17" width="17.85546875" style="24" customWidth="1"/>
    <col min="18" max="18" width="2.140625" style="24" customWidth="1"/>
    <col min="19" max="47" width="17.85546875" style="24" customWidth="1"/>
    <col min="48" max="48" width="2.140625" style="24" customWidth="1"/>
    <col min="49" max="55" width="10.7109375" style="24" customWidth="1" outlineLevel="1"/>
    <col min="56" max="56" width="17.85546875" style="24" customWidth="1"/>
    <col min="57" max="57" width="2.140625" style="24" customWidth="1"/>
    <col min="58" max="64" width="10.7109375" style="24" customWidth="1" outlineLevel="1"/>
    <col min="65" max="65" width="17.85546875" style="24" customWidth="1"/>
    <col min="66" max="66" width="2.140625" style="24" customWidth="1"/>
    <col min="67" max="73" width="10.7109375" style="24" customWidth="1" outlineLevel="1"/>
    <col min="74" max="74" width="17.85546875" style="24" customWidth="1"/>
    <col min="75" max="75" width="2.140625" style="24" customWidth="1"/>
    <col min="76" max="83" width="10.7109375" style="24" customWidth="1" outlineLevel="1"/>
    <col min="84" max="84" width="17.85546875" style="24" customWidth="1"/>
    <col min="85" max="16384" width="9.140625" style="24"/>
  </cols>
  <sheetData>
    <row r="1" spans="1:102" ht="15">
      <c r="B1" s="25"/>
      <c r="C1" s="24" t="s">
        <v>567</v>
      </c>
      <c r="E1" s="24" t="s">
        <v>568</v>
      </c>
      <c r="F1" s="24" t="s">
        <v>567</v>
      </c>
      <c r="H1" s="24" t="s">
        <v>567</v>
      </c>
      <c r="I1" s="24" t="s">
        <v>567</v>
      </c>
      <c r="N1" s="24" t="s">
        <v>567</v>
      </c>
      <c r="O1" s="24" t="s">
        <v>567</v>
      </c>
      <c r="Q1" s="24" t="s">
        <v>567</v>
      </c>
      <c r="R1" s="25"/>
      <c r="S1" s="24" t="s">
        <v>615</v>
      </c>
      <c r="V1" s="24" t="s">
        <v>615</v>
      </c>
      <c r="Y1" s="24" t="s">
        <v>615</v>
      </c>
      <c r="AV1" s="25"/>
      <c r="AW1" s="24" t="s">
        <v>569</v>
      </c>
      <c r="BD1" s="24" t="s">
        <v>569</v>
      </c>
      <c r="BF1" s="24" t="s">
        <v>569</v>
      </c>
      <c r="BM1" s="24" t="s">
        <v>569</v>
      </c>
      <c r="BO1" s="24" t="s">
        <v>569</v>
      </c>
      <c r="BV1" s="24" t="s">
        <v>569</v>
      </c>
      <c r="BX1" s="24" t="s">
        <v>569</v>
      </c>
      <c r="CF1" s="24" t="s">
        <v>569</v>
      </c>
      <c r="CL1" s="26"/>
      <c r="CM1" s="135" t="s">
        <v>570</v>
      </c>
      <c r="CN1" s="135"/>
      <c r="CO1" s="135"/>
      <c r="CP1" s="135"/>
      <c r="CQ1" s="135"/>
      <c r="CR1" s="136" t="s">
        <v>571</v>
      </c>
      <c r="CS1" s="136"/>
      <c r="CT1" s="136"/>
      <c r="CU1" s="136"/>
      <c r="CV1" s="135" t="s">
        <v>412</v>
      </c>
      <c r="CW1" s="135"/>
      <c r="CX1" s="137"/>
    </row>
    <row r="2" spans="1:102" ht="15">
      <c r="B2" s="25"/>
      <c r="C2" s="24" t="s">
        <v>572</v>
      </c>
      <c r="E2" s="24" t="s">
        <v>572</v>
      </c>
      <c r="F2" s="24" t="s">
        <v>573</v>
      </c>
      <c r="H2" s="24" t="s">
        <v>573</v>
      </c>
      <c r="I2" s="27" t="s">
        <v>574</v>
      </c>
      <c r="N2" s="27" t="s">
        <v>574</v>
      </c>
      <c r="O2" s="24" t="s">
        <v>575</v>
      </c>
      <c r="P2" s="28"/>
      <c r="Q2" s="24" t="s">
        <v>575</v>
      </c>
      <c r="R2" s="25"/>
      <c r="S2" s="24" t="s">
        <v>572</v>
      </c>
      <c r="V2" s="24" t="s">
        <v>573</v>
      </c>
      <c r="Y2" s="24" t="s">
        <v>643</v>
      </c>
      <c r="AV2" s="25"/>
      <c r="AW2" s="24" t="s">
        <v>572</v>
      </c>
      <c r="BD2" s="24" t="s">
        <v>572</v>
      </c>
      <c r="BF2" s="24" t="s">
        <v>573</v>
      </c>
      <c r="BM2" s="24" t="s">
        <v>573</v>
      </c>
      <c r="BO2" s="24" t="s">
        <v>574</v>
      </c>
      <c r="BV2" s="24" t="s">
        <v>574</v>
      </c>
      <c r="BX2" s="24" t="s">
        <v>576</v>
      </c>
      <c r="CF2" s="24" t="s">
        <v>576</v>
      </c>
      <c r="CL2" s="29" t="s">
        <v>577</v>
      </c>
      <c r="CM2" s="30" t="s">
        <v>578</v>
      </c>
      <c r="CN2" s="30" t="s">
        <v>579</v>
      </c>
      <c r="CO2" s="30" t="s">
        <v>580</v>
      </c>
      <c r="CP2" s="30" t="s">
        <v>581</v>
      </c>
      <c r="CQ2" s="31" t="s">
        <v>582</v>
      </c>
      <c r="CR2" s="30" t="s">
        <v>583</v>
      </c>
      <c r="CS2" s="30" t="s">
        <v>584</v>
      </c>
      <c r="CT2" s="30" t="s">
        <v>585</v>
      </c>
      <c r="CU2" s="32" t="s">
        <v>586</v>
      </c>
      <c r="CV2" s="33" t="s">
        <v>587</v>
      </c>
      <c r="CW2" s="30" t="s">
        <v>588</v>
      </c>
      <c r="CX2" s="34" t="s">
        <v>589</v>
      </c>
    </row>
    <row r="3" spans="1:102" ht="13.5" thickBot="1">
      <c r="B3" s="25"/>
      <c r="C3" s="35" t="s">
        <v>621</v>
      </c>
      <c r="D3" s="35" t="s">
        <v>614</v>
      </c>
      <c r="F3" s="35" t="s">
        <v>621</v>
      </c>
      <c r="G3" s="35" t="s">
        <v>614</v>
      </c>
      <c r="I3" s="35" t="s">
        <v>590</v>
      </c>
      <c r="J3" s="35" t="s">
        <v>591</v>
      </c>
      <c r="K3" s="35" t="s">
        <v>585</v>
      </c>
      <c r="L3" s="35" t="s">
        <v>592</v>
      </c>
      <c r="M3" s="35" t="s">
        <v>593</v>
      </c>
      <c r="O3" s="35" t="s">
        <v>621</v>
      </c>
      <c r="P3" s="35" t="s">
        <v>614</v>
      </c>
      <c r="Q3" s="36"/>
      <c r="R3" s="37"/>
      <c r="S3" s="35" t="s">
        <v>614</v>
      </c>
      <c r="T3" s="35" t="s">
        <v>642</v>
      </c>
      <c r="U3" s="36"/>
      <c r="V3" s="35" t="s">
        <v>614</v>
      </c>
      <c r="W3" s="35" t="s">
        <v>642</v>
      </c>
      <c r="X3" s="36"/>
      <c r="Y3" s="35" t="s">
        <v>614</v>
      </c>
      <c r="Z3" s="35" t="s">
        <v>642</v>
      </c>
      <c r="AA3" s="36"/>
      <c r="AB3" s="36"/>
      <c r="AC3" s="36"/>
      <c r="AD3" s="36"/>
      <c r="AE3" s="36"/>
      <c r="AF3" s="36"/>
      <c r="AG3" s="36"/>
      <c r="AH3" s="36"/>
      <c r="AI3" s="36"/>
      <c r="AJ3" s="36"/>
      <c r="AK3" s="36"/>
      <c r="AL3" s="36"/>
      <c r="AM3" s="36"/>
      <c r="AN3" s="36"/>
      <c r="AO3" s="36"/>
      <c r="AP3" s="36"/>
      <c r="AQ3" s="36"/>
      <c r="AR3" s="36"/>
      <c r="AS3" s="36"/>
      <c r="AT3" s="36"/>
      <c r="AU3" s="36"/>
      <c r="AV3" s="37"/>
      <c r="AW3" s="38" t="s">
        <v>594</v>
      </c>
      <c r="AX3" s="35" t="s">
        <v>579</v>
      </c>
      <c r="AY3" s="38" t="s">
        <v>595</v>
      </c>
      <c r="AZ3" s="35" t="s">
        <v>580</v>
      </c>
      <c r="BA3" s="38" t="s">
        <v>596</v>
      </c>
      <c r="BB3" s="35" t="s">
        <v>581</v>
      </c>
      <c r="BC3" s="35" t="s">
        <v>582</v>
      </c>
      <c r="BF3" s="38" t="s">
        <v>594</v>
      </c>
      <c r="BG3" s="35" t="s">
        <v>579</v>
      </c>
      <c r="BH3" s="38" t="s">
        <v>595</v>
      </c>
      <c r="BI3" s="35" t="s">
        <v>580</v>
      </c>
      <c r="BJ3" s="38" t="s">
        <v>596</v>
      </c>
      <c r="BK3" s="35" t="s">
        <v>581</v>
      </c>
      <c r="BL3" s="35" t="s">
        <v>582</v>
      </c>
      <c r="BO3" s="38" t="s">
        <v>594</v>
      </c>
      <c r="BP3" s="35" t="s">
        <v>579</v>
      </c>
      <c r="BQ3" s="38" t="s">
        <v>595</v>
      </c>
      <c r="BR3" s="35" t="s">
        <v>580</v>
      </c>
      <c r="BS3" s="38" t="s">
        <v>596</v>
      </c>
      <c r="BT3" s="35" t="s">
        <v>581</v>
      </c>
      <c r="BU3" s="35" t="s">
        <v>582</v>
      </c>
      <c r="BX3" s="38" t="s">
        <v>594</v>
      </c>
      <c r="BY3" s="35" t="s">
        <v>579</v>
      </c>
      <c r="BZ3" s="38" t="s">
        <v>595</v>
      </c>
      <c r="CA3" s="35" t="s">
        <v>580</v>
      </c>
      <c r="CB3" s="38" t="s">
        <v>596</v>
      </c>
      <c r="CC3" s="38" t="s">
        <v>597</v>
      </c>
      <c r="CD3" s="35" t="s">
        <v>581</v>
      </c>
      <c r="CE3" s="35" t="s">
        <v>582</v>
      </c>
      <c r="CL3" s="39" t="s">
        <v>598</v>
      </c>
      <c r="CM3" s="40">
        <v>22.556000000000001</v>
      </c>
      <c r="CN3" s="40"/>
      <c r="CO3" s="40"/>
      <c r="CP3" s="40"/>
      <c r="CQ3" s="41">
        <v>0.1</v>
      </c>
      <c r="CR3" s="40"/>
      <c r="CS3" s="40"/>
      <c r="CT3" s="40">
        <v>0.2</v>
      </c>
      <c r="CU3" s="42">
        <f>2*0.02</f>
        <v>0.04</v>
      </c>
      <c r="CV3" s="40"/>
      <c r="CW3" s="40"/>
      <c r="CX3" s="43"/>
    </row>
    <row r="4" spans="1:102" ht="15">
      <c r="A4" s="24" t="s">
        <v>644</v>
      </c>
      <c r="B4" s="25"/>
      <c r="C4" s="81">
        <v>4.4401500000000009</v>
      </c>
      <c r="D4" s="81"/>
      <c r="F4" s="24">
        <v>125</v>
      </c>
      <c r="K4" s="27" t="s">
        <v>597</v>
      </c>
      <c r="L4" s="27" t="s">
        <v>600</v>
      </c>
      <c r="M4" s="27" t="s">
        <v>597</v>
      </c>
      <c r="O4" s="83">
        <f>C4*F4</f>
        <v>555.01875000000007</v>
      </c>
      <c r="R4" s="25"/>
      <c r="S4" s="24">
        <v>0.65400000000000003</v>
      </c>
      <c r="V4" s="24">
        <v>44</v>
      </c>
      <c r="Y4" s="24">
        <f>S4*V4</f>
        <v>28.776</v>
      </c>
      <c r="AV4" s="25"/>
      <c r="AW4" s="24">
        <v>22.56</v>
      </c>
      <c r="BA4" s="24">
        <v>257.38</v>
      </c>
      <c r="BC4" s="24">
        <v>137</v>
      </c>
      <c r="BF4" s="24">
        <v>1</v>
      </c>
      <c r="BJ4" s="24">
        <v>1</v>
      </c>
      <c r="BL4" s="24">
        <v>1</v>
      </c>
      <c r="BO4" s="24" t="s">
        <v>578</v>
      </c>
      <c r="BS4" s="24" t="s">
        <v>597</v>
      </c>
      <c r="BU4" s="24" t="s">
        <v>559</v>
      </c>
      <c r="BX4" s="24">
        <f>AW4*BF4</f>
        <v>22.56</v>
      </c>
      <c r="CB4" s="24">
        <f t="shared" ref="CB4:CB6" si="0">BA4*BJ4</f>
        <v>257.38</v>
      </c>
      <c r="CC4" s="24">
        <f>CB4*BJ4</f>
        <v>257.38</v>
      </c>
      <c r="CD4" s="24">
        <f t="shared" ref="CD4:CE10" si="1">BB4*BK4</f>
        <v>0</v>
      </c>
      <c r="CE4" s="24">
        <f t="shared" si="1"/>
        <v>137</v>
      </c>
      <c r="CL4" s="39" t="s">
        <v>601</v>
      </c>
      <c r="CM4" s="40">
        <v>22.556000000000001</v>
      </c>
      <c r="CN4" s="40"/>
      <c r="CO4" s="40"/>
      <c r="CP4" s="40"/>
      <c r="CQ4" s="41"/>
      <c r="CR4" s="40"/>
      <c r="CS4" s="40"/>
      <c r="CT4" s="40"/>
      <c r="CU4" s="41"/>
      <c r="CV4" s="44">
        <v>1.1000000000000001</v>
      </c>
      <c r="CW4" s="40"/>
      <c r="CX4" s="43"/>
    </row>
    <row r="5" spans="1:102" ht="15">
      <c r="A5" s="24" t="s">
        <v>645</v>
      </c>
      <c r="B5" s="25"/>
      <c r="C5" s="81">
        <v>5.2123500000000007</v>
      </c>
      <c r="D5" s="81"/>
      <c r="F5" s="24">
        <v>70</v>
      </c>
      <c r="K5" s="27" t="s">
        <v>597</v>
      </c>
      <c r="M5" s="27" t="s">
        <v>597</v>
      </c>
      <c r="O5" s="83">
        <f t="shared" ref="O5:O17" si="2">C5*F5</f>
        <v>364.86450000000002</v>
      </c>
      <c r="R5" s="25"/>
      <c r="S5" s="24">
        <v>0.65400000000000003</v>
      </c>
      <c r="V5" s="24">
        <v>44</v>
      </c>
      <c r="Y5" s="24">
        <f t="shared" ref="Y5:Y10" si="3">S5*V5</f>
        <v>28.776</v>
      </c>
      <c r="AV5" s="25"/>
      <c r="AW5" s="24">
        <v>22.56</v>
      </c>
      <c r="BA5" s="24">
        <v>257.38</v>
      </c>
      <c r="BC5" s="24">
        <v>135</v>
      </c>
      <c r="BF5" s="24">
        <v>1</v>
      </c>
      <c r="BJ5" s="24">
        <v>1</v>
      </c>
      <c r="BL5" s="24">
        <v>1</v>
      </c>
      <c r="BO5" s="24" t="s">
        <v>578</v>
      </c>
      <c r="BS5" s="24" t="s">
        <v>597</v>
      </c>
      <c r="BU5" s="24" t="s">
        <v>559</v>
      </c>
      <c r="BX5" s="24">
        <f t="shared" ref="BX5:CA10" si="4">AW5*BF5</f>
        <v>22.56</v>
      </c>
      <c r="CB5" s="24">
        <f t="shared" si="0"/>
        <v>257.38</v>
      </c>
      <c r="CC5" s="24">
        <f>CB5</f>
        <v>257.38</v>
      </c>
      <c r="CD5" s="24">
        <f t="shared" si="1"/>
        <v>0</v>
      </c>
      <c r="CE5" s="24">
        <f t="shared" si="1"/>
        <v>135</v>
      </c>
      <c r="CL5" s="39" t="s">
        <v>603</v>
      </c>
      <c r="CM5" s="40">
        <v>22.556000000000001</v>
      </c>
      <c r="CN5" s="40"/>
      <c r="CO5" s="40"/>
      <c r="CP5" s="40"/>
      <c r="CQ5" s="41"/>
      <c r="CR5" s="40"/>
      <c r="CS5" s="40"/>
      <c r="CT5" s="40"/>
      <c r="CU5" s="41"/>
      <c r="CV5" s="45">
        <v>0.624</v>
      </c>
      <c r="CW5" s="40"/>
      <c r="CX5" s="43"/>
    </row>
    <row r="6" spans="1:102" ht="15">
      <c r="A6" s="82" t="s">
        <v>646</v>
      </c>
      <c r="B6" s="25"/>
      <c r="C6" s="81">
        <v>6.7567499999999994</v>
      </c>
      <c r="D6" s="81"/>
      <c r="K6" s="27" t="s">
        <v>597</v>
      </c>
      <c r="M6" s="27" t="s">
        <v>597</v>
      </c>
      <c r="O6" s="83">
        <f t="shared" si="2"/>
        <v>0</v>
      </c>
      <c r="R6" s="25"/>
      <c r="S6" s="24">
        <v>0.65400000000000003</v>
      </c>
      <c r="V6" s="24">
        <v>44</v>
      </c>
      <c r="Y6" s="24">
        <f t="shared" si="3"/>
        <v>28.776</v>
      </c>
      <c r="AV6" s="25"/>
      <c r="AW6" s="24">
        <v>22.56</v>
      </c>
      <c r="BA6" s="24">
        <v>257.38</v>
      </c>
      <c r="BC6" s="24">
        <v>135</v>
      </c>
      <c r="BF6" s="24">
        <v>1</v>
      </c>
      <c r="BJ6" s="24">
        <v>1</v>
      </c>
      <c r="BL6" s="24">
        <v>1</v>
      </c>
      <c r="BO6" s="24" t="s">
        <v>578</v>
      </c>
      <c r="BS6" s="24" t="s">
        <v>597</v>
      </c>
      <c r="BU6" s="24" t="s">
        <v>559</v>
      </c>
      <c r="BX6" s="24">
        <f t="shared" si="4"/>
        <v>22.56</v>
      </c>
      <c r="CB6" s="24">
        <f t="shared" si="0"/>
        <v>257.38</v>
      </c>
      <c r="CC6" s="24">
        <f t="shared" ref="CC6" si="5">CB6</f>
        <v>257.38</v>
      </c>
      <c r="CD6" s="24">
        <f t="shared" si="1"/>
        <v>0</v>
      </c>
      <c r="CE6" s="24">
        <f t="shared" si="1"/>
        <v>135</v>
      </c>
      <c r="CL6" s="39" t="s">
        <v>605</v>
      </c>
      <c r="CM6" s="40">
        <v>22.556000000000001</v>
      </c>
      <c r="CN6" s="40">
        <f>4*0.3756</f>
        <v>1.5024</v>
      </c>
      <c r="CO6" s="40">
        <f>2*0.74</f>
        <v>1.48</v>
      </c>
      <c r="CP6" s="46">
        <f>1*0.17</f>
        <v>0.17</v>
      </c>
      <c r="CQ6" s="47">
        <v>0.4</v>
      </c>
      <c r="CR6" s="40">
        <f>0.08</f>
        <v>0.08</v>
      </c>
      <c r="CS6" s="40">
        <f>2*0.01</f>
        <v>0.02</v>
      </c>
      <c r="CT6" s="40"/>
      <c r="CU6" s="41"/>
      <c r="CV6" s="40"/>
      <c r="CW6" s="40"/>
      <c r="CX6" s="43"/>
    </row>
    <row r="7" spans="1:102" ht="15">
      <c r="A7" s="24" t="s">
        <v>647</v>
      </c>
      <c r="B7" s="25"/>
      <c r="C7" s="81">
        <v>7.9150499999999999</v>
      </c>
      <c r="D7" s="81"/>
      <c r="F7" s="24">
        <v>40</v>
      </c>
      <c r="I7" s="27" t="s">
        <v>597</v>
      </c>
      <c r="J7" s="27" t="s">
        <v>560</v>
      </c>
      <c r="O7" s="83">
        <f t="shared" si="2"/>
        <v>316.60199999999998</v>
      </c>
      <c r="R7" s="25"/>
      <c r="S7" s="24">
        <v>0.65400000000000003</v>
      </c>
      <c r="V7" s="24">
        <v>44</v>
      </c>
      <c r="Y7" s="24">
        <f t="shared" si="3"/>
        <v>28.776</v>
      </c>
      <c r="AV7" s="25"/>
      <c r="AW7" s="24">
        <v>22.56</v>
      </c>
      <c r="AX7" s="24">
        <v>142.22999999999999</v>
      </c>
      <c r="AY7" s="24">
        <v>383.01</v>
      </c>
      <c r="AZ7" s="24">
        <v>730.88</v>
      </c>
      <c r="BB7" s="24">
        <v>33.4</v>
      </c>
      <c r="BC7" s="24">
        <v>175.14</v>
      </c>
      <c r="BF7" s="24">
        <v>1</v>
      </c>
      <c r="BG7" s="24">
        <v>4</v>
      </c>
      <c r="BH7" s="24">
        <v>2</v>
      </c>
      <c r="BI7" s="24">
        <v>2</v>
      </c>
      <c r="BK7" s="24">
        <v>2</v>
      </c>
      <c r="BL7" s="24">
        <v>1</v>
      </c>
      <c r="BO7" s="24" t="s">
        <v>578</v>
      </c>
      <c r="BP7" s="24" t="s">
        <v>597</v>
      </c>
      <c r="BQ7" s="24" t="s">
        <v>597</v>
      </c>
      <c r="BR7" s="24" t="s">
        <v>597</v>
      </c>
      <c r="BT7" s="24" t="s">
        <v>562</v>
      </c>
      <c r="BU7" s="24" t="s">
        <v>559</v>
      </c>
      <c r="BX7" s="24">
        <f t="shared" si="4"/>
        <v>22.56</v>
      </c>
      <c r="BY7" s="24">
        <f t="shared" si="4"/>
        <v>568.91999999999996</v>
      </c>
      <c r="BZ7" s="24">
        <f t="shared" si="4"/>
        <v>766.02</v>
      </c>
      <c r="CA7" s="24">
        <f t="shared" si="4"/>
        <v>1461.76</v>
      </c>
      <c r="CC7" s="24">
        <f>BY7+BZ7+CA7</f>
        <v>2796.7</v>
      </c>
      <c r="CD7" s="24">
        <f t="shared" si="1"/>
        <v>66.8</v>
      </c>
      <c r="CE7" s="24">
        <f t="shared" si="1"/>
        <v>175.14</v>
      </c>
      <c r="CL7" s="39" t="s">
        <v>607</v>
      </c>
      <c r="CM7" s="40">
        <v>22.556000000000001</v>
      </c>
      <c r="CN7" s="40">
        <f>4*0.3756</f>
        <v>1.5024</v>
      </c>
      <c r="CO7" s="40">
        <f>2*0.74</f>
        <v>1.48</v>
      </c>
      <c r="CP7" s="46">
        <f>1*0.17</f>
        <v>0.17</v>
      </c>
      <c r="CQ7" s="47">
        <v>1.4</v>
      </c>
      <c r="CR7" s="45">
        <f>0.04</f>
        <v>0.04</v>
      </c>
      <c r="CS7" s="40">
        <f>2*0.01</f>
        <v>0.02</v>
      </c>
      <c r="CT7" s="40"/>
      <c r="CU7" s="41"/>
      <c r="CV7" s="40"/>
      <c r="CW7" s="40"/>
      <c r="CX7" s="43"/>
    </row>
    <row r="8" spans="1:102" ht="15">
      <c r="A8" s="24" t="s">
        <v>648</v>
      </c>
      <c r="B8" s="25"/>
      <c r="C8" s="81">
        <v>8.6872500000000006</v>
      </c>
      <c r="D8" s="81"/>
      <c r="F8" s="24">
        <v>32</v>
      </c>
      <c r="I8" s="27" t="s">
        <v>597</v>
      </c>
      <c r="J8" s="27" t="s">
        <v>560</v>
      </c>
      <c r="O8" s="83">
        <f t="shared" si="2"/>
        <v>277.99200000000002</v>
      </c>
      <c r="R8" s="25"/>
      <c r="S8" s="24">
        <v>0.65400000000000003</v>
      </c>
      <c r="V8" s="24">
        <v>44</v>
      </c>
      <c r="Y8" s="24">
        <f t="shared" si="3"/>
        <v>28.776</v>
      </c>
      <c r="AV8" s="25"/>
      <c r="AW8" s="24">
        <v>22.56</v>
      </c>
      <c r="AX8" s="24">
        <v>142.22999999999999</v>
      </c>
      <c r="AY8" s="24">
        <v>383.01</v>
      </c>
      <c r="AZ8" s="24">
        <v>730.88</v>
      </c>
      <c r="BB8" s="24">
        <v>33.4</v>
      </c>
      <c r="BC8" s="24">
        <v>175.14</v>
      </c>
      <c r="BF8" s="24">
        <v>1</v>
      </c>
      <c r="BG8" s="24">
        <v>4</v>
      </c>
      <c r="BH8" s="24">
        <v>2</v>
      </c>
      <c r="BI8" s="24">
        <v>2</v>
      </c>
      <c r="BK8" s="24">
        <v>2</v>
      </c>
      <c r="BL8" s="24">
        <v>1</v>
      </c>
      <c r="BO8" s="24" t="s">
        <v>578</v>
      </c>
      <c r="BP8" s="24" t="s">
        <v>597</v>
      </c>
      <c r="BQ8" s="24" t="s">
        <v>597</v>
      </c>
      <c r="BR8" s="24" t="s">
        <v>597</v>
      </c>
      <c r="BT8" s="24" t="s">
        <v>562</v>
      </c>
      <c r="BU8" s="24" t="s">
        <v>559</v>
      </c>
      <c r="BX8" s="24">
        <f t="shared" si="4"/>
        <v>22.56</v>
      </c>
      <c r="BY8" s="24">
        <f t="shared" si="4"/>
        <v>568.91999999999996</v>
      </c>
      <c r="BZ8" s="24">
        <f t="shared" si="4"/>
        <v>766.02</v>
      </c>
      <c r="CA8" s="24">
        <f t="shared" si="4"/>
        <v>1461.76</v>
      </c>
      <c r="CC8" s="24">
        <f t="shared" ref="CC8:CC10" si="6">BY8+BZ8+CA8</f>
        <v>2796.7</v>
      </c>
      <c r="CD8" s="24">
        <f t="shared" si="1"/>
        <v>66.8</v>
      </c>
      <c r="CE8" s="24">
        <f t="shared" si="1"/>
        <v>175.14</v>
      </c>
      <c r="CL8" s="39" t="s">
        <v>609</v>
      </c>
      <c r="CM8" s="40">
        <v>22.556000000000001</v>
      </c>
      <c r="CN8" s="40"/>
      <c r="CO8" s="40"/>
      <c r="CP8" s="40"/>
      <c r="CQ8" s="41"/>
      <c r="CR8" s="40"/>
      <c r="CS8" s="40"/>
      <c r="CT8" s="40"/>
      <c r="CU8" s="41"/>
      <c r="CV8" s="40"/>
      <c r="CW8" s="40"/>
      <c r="CX8" s="43"/>
    </row>
    <row r="9" spans="1:102" ht="15.75" thickBot="1">
      <c r="A9" s="24" t="s">
        <v>649</v>
      </c>
      <c r="B9" s="25"/>
      <c r="C9" s="81">
        <v>9.4594500000000004</v>
      </c>
      <c r="D9" s="81"/>
      <c r="F9" s="24">
        <v>24</v>
      </c>
      <c r="I9" s="27" t="s">
        <v>597</v>
      </c>
      <c r="J9" s="27" t="s">
        <v>560</v>
      </c>
      <c r="O9" s="83">
        <f t="shared" si="2"/>
        <v>227.02680000000001</v>
      </c>
      <c r="R9" s="25"/>
      <c r="S9" s="24">
        <v>0.65400000000000003</v>
      </c>
      <c r="V9" s="24">
        <v>44</v>
      </c>
      <c r="Y9" s="24">
        <f t="shared" si="3"/>
        <v>28.776</v>
      </c>
      <c r="AV9" s="25"/>
      <c r="AW9" s="24">
        <v>22.56</v>
      </c>
      <c r="AX9" s="24">
        <v>142.22999999999999</v>
      </c>
      <c r="AY9" s="24">
        <v>383.01</v>
      </c>
      <c r="AZ9" s="24">
        <v>730.88</v>
      </c>
      <c r="BB9" s="24">
        <v>33.4</v>
      </c>
      <c r="BC9" s="24">
        <v>175.14</v>
      </c>
      <c r="BF9" s="24">
        <v>1</v>
      </c>
      <c r="BG9" s="24">
        <v>4</v>
      </c>
      <c r="BH9" s="24">
        <v>2</v>
      </c>
      <c r="BI9" s="24">
        <v>2</v>
      </c>
      <c r="BK9" s="24">
        <v>2</v>
      </c>
      <c r="BL9" s="24">
        <v>1</v>
      </c>
      <c r="BO9" s="24" t="s">
        <v>578</v>
      </c>
      <c r="BP9" s="24" t="s">
        <v>597</v>
      </c>
      <c r="BQ9" s="24" t="s">
        <v>597</v>
      </c>
      <c r="BR9" s="24" t="s">
        <v>597</v>
      </c>
      <c r="BT9" s="24" t="s">
        <v>562</v>
      </c>
      <c r="BU9" s="24" t="s">
        <v>559</v>
      </c>
      <c r="BX9" s="24">
        <f t="shared" si="4"/>
        <v>22.56</v>
      </c>
      <c r="BY9" s="24">
        <f t="shared" si="4"/>
        <v>568.91999999999996</v>
      </c>
      <c r="BZ9" s="24">
        <f t="shared" si="4"/>
        <v>766.02</v>
      </c>
      <c r="CA9" s="24">
        <f t="shared" si="4"/>
        <v>1461.76</v>
      </c>
      <c r="CC9" s="24">
        <f t="shared" si="6"/>
        <v>2796.7</v>
      </c>
      <c r="CD9" s="24">
        <f t="shared" si="1"/>
        <v>66.8</v>
      </c>
      <c r="CE9" s="24">
        <f t="shared" si="1"/>
        <v>175.14</v>
      </c>
      <c r="CL9" s="48" t="s">
        <v>610</v>
      </c>
      <c r="CM9" s="49">
        <v>22.556000000000001</v>
      </c>
      <c r="CN9" s="49"/>
      <c r="CO9" s="49">
        <f>3*0.25</f>
        <v>0.75</v>
      </c>
      <c r="CP9" s="49"/>
      <c r="CQ9" s="50">
        <v>0.2</v>
      </c>
      <c r="CR9" s="49"/>
      <c r="CS9" s="49"/>
      <c r="CT9" s="49">
        <v>0.13</v>
      </c>
      <c r="CU9" s="51">
        <f>2*0.018</f>
        <v>3.5999999999999997E-2</v>
      </c>
      <c r="CV9" s="49"/>
      <c r="CW9" s="49"/>
      <c r="CX9" s="52"/>
    </row>
    <row r="10" spans="1:102" ht="15">
      <c r="A10" s="82" t="s">
        <v>650</v>
      </c>
      <c r="B10" s="25"/>
      <c r="C10" s="81">
        <v>13.33215</v>
      </c>
      <c r="D10" s="81"/>
      <c r="I10" s="27" t="s">
        <v>597</v>
      </c>
      <c r="J10" s="27" t="s">
        <v>560</v>
      </c>
      <c r="O10" s="83">
        <f t="shared" si="2"/>
        <v>0</v>
      </c>
      <c r="R10" s="25"/>
      <c r="S10" s="24">
        <v>0.65400000000000003</v>
      </c>
      <c r="V10" s="24">
        <v>44</v>
      </c>
      <c r="Y10" s="24">
        <f t="shared" si="3"/>
        <v>28.776</v>
      </c>
      <c r="AV10" s="25"/>
      <c r="AW10" s="24">
        <v>22.56</v>
      </c>
      <c r="AX10" s="24">
        <v>142.22999999999999</v>
      </c>
      <c r="AY10" s="24">
        <v>383.01</v>
      </c>
      <c r="AZ10" s="24">
        <v>730.88</v>
      </c>
      <c r="BB10" s="24">
        <v>33.4</v>
      </c>
      <c r="BC10" s="24">
        <v>160.74</v>
      </c>
      <c r="BF10" s="24">
        <v>1</v>
      </c>
      <c r="BG10" s="24">
        <v>4</v>
      </c>
      <c r="BH10" s="24">
        <v>2</v>
      </c>
      <c r="BI10" s="24">
        <v>2</v>
      </c>
      <c r="BK10" s="24">
        <v>2</v>
      </c>
      <c r="BL10" s="24">
        <v>1</v>
      </c>
      <c r="BO10" s="24" t="s">
        <v>578</v>
      </c>
      <c r="BP10" s="24" t="s">
        <v>597</v>
      </c>
      <c r="BQ10" s="24" t="s">
        <v>597</v>
      </c>
      <c r="BR10" s="24" t="s">
        <v>597</v>
      </c>
      <c r="BT10" s="24" t="s">
        <v>562</v>
      </c>
      <c r="BU10" s="24" t="s">
        <v>559</v>
      </c>
      <c r="BX10" s="24">
        <f t="shared" si="4"/>
        <v>22.56</v>
      </c>
      <c r="BY10" s="24">
        <f t="shared" si="4"/>
        <v>568.91999999999996</v>
      </c>
      <c r="BZ10" s="24">
        <f t="shared" si="4"/>
        <v>766.02</v>
      </c>
      <c r="CA10" s="24">
        <f t="shared" si="4"/>
        <v>1461.76</v>
      </c>
      <c r="CC10" s="24">
        <f t="shared" si="6"/>
        <v>2796.7</v>
      </c>
      <c r="CD10" s="24">
        <f t="shared" si="1"/>
        <v>66.8</v>
      </c>
      <c r="CE10" s="24">
        <f t="shared" si="1"/>
        <v>160.74</v>
      </c>
    </row>
    <row r="11" spans="1:102" ht="15">
      <c r="A11" s="24" t="s">
        <v>651</v>
      </c>
      <c r="B11" s="25"/>
      <c r="C11" s="81">
        <v>4.4401500000000009</v>
      </c>
      <c r="D11" s="81"/>
      <c r="F11" s="24">
        <v>125</v>
      </c>
      <c r="K11" s="27" t="s">
        <v>597</v>
      </c>
      <c r="L11" s="27" t="s">
        <v>600</v>
      </c>
      <c r="M11" s="27" t="s">
        <v>597</v>
      </c>
      <c r="O11" s="83">
        <f t="shared" si="2"/>
        <v>555.01875000000007</v>
      </c>
      <c r="R11" s="25"/>
      <c r="T11" s="24">
        <v>1.5</v>
      </c>
      <c r="W11" s="24">
        <v>40</v>
      </c>
      <c r="Z11" s="24">
        <f t="shared" ref="Z11:Z17" si="7">T11*W11</f>
        <v>60</v>
      </c>
      <c r="AV11" s="25"/>
      <c r="AW11" s="24">
        <v>22.56</v>
      </c>
      <c r="BA11" s="24">
        <v>257.38</v>
      </c>
      <c r="BC11" s="24">
        <v>137</v>
      </c>
      <c r="BF11" s="24">
        <v>1</v>
      </c>
      <c r="BJ11" s="24">
        <v>1</v>
      </c>
      <c r="BL11" s="24">
        <v>1</v>
      </c>
      <c r="BO11" s="24" t="s">
        <v>578</v>
      </c>
      <c r="BS11" s="24" t="s">
        <v>597</v>
      </c>
      <c r="BU11" s="24" t="s">
        <v>559</v>
      </c>
      <c r="BX11" s="24">
        <f>AW11*BF11</f>
        <v>22.56</v>
      </c>
      <c r="CB11" s="24">
        <f t="shared" ref="CB11:CB13" si="8">BA11*BJ11</f>
        <v>257.38</v>
      </c>
      <c r="CC11" s="24">
        <f>CB11</f>
        <v>257.38</v>
      </c>
      <c r="CD11" s="24">
        <f t="shared" ref="CD11:CD24" si="9">BB11*BK11</f>
        <v>0</v>
      </c>
      <c r="CE11" s="24">
        <f t="shared" ref="CE11:CE24" si="10">BC11*BL11</f>
        <v>137</v>
      </c>
      <c r="CL11" s="39" t="s">
        <v>601</v>
      </c>
      <c r="CM11" s="40">
        <v>22.556000000000001</v>
      </c>
      <c r="CN11" s="40"/>
      <c r="CO11" s="40"/>
      <c r="CP11" s="40"/>
      <c r="CQ11" s="41"/>
      <c r="CR11" s="40"/>
      <c r="CS11" s="40"/>
      <c r="CT11" s="40"/>
      <c r="CU11" s="41"/>
      <c r="CV11" s="44">
        <v>1.1000000000000001</v>
      </c>
      <c r="CW11" s="40"/>
      <c r="CX11" s="43"/>
    </row>
    <row r="12" spans="1:102" ht="15">
      <c r="A12" s="24" t="s">
        <v>652</v>
      </c>
      <c r="B12" s="25"/>
      <c r="C12" s="81">
        <v>5.2123500000000007</v>
      </c>
      <c r="D12" s="81"/>
      <c r="F12" s="24">
        <v>70</v>
      </c>
      <c r="K12" s="27" t="s">
        <v>597</v>
      </c>
      <c r="M12" s="27" t="s">
        <v>597</v>
      </c>
      <c r="O12" s="83">
        <f t="shared" si="2"/>
        <v>364.86450000000002</v>
      </c>
      <c r="R12" s="25"/>
      <c r="T12" s="24">
        <v>1.5</v>
      </c>
      <c r="W12" s="24">
        <v>40</v>
      </c>
      <c r="Z12" s="24">
        <f t="shared" si="7"/>
        <v>60</v>
      </c>
      <c r="AV12" s="25"/>
      <c r="AW12" s="24">
        <v>22.56</v>
      </c>
      <c r="BA12" s="24">
        <v>257.38</v>
      </c>
      <c r="BC12" s="24">
        <v>135</v>
      </c>
      <c r="BF12" s="24">
        <v>1</v>
      </c>
      <c r="BJ12" s="24">
        <v>1</v>
      </c>
      <c r="BL12" s="24">
        <v>1</v>
      </c>
      <c r="BO12" s="24" t="s">
        <v>578</v>
      </c>
      <c r="BS12" s="24" t="s">
        <v>597</v>
      </c>
      <c r="BU12" s="24" t="s">
        <v>559</v>
      </c>
      <c r="BX12" s="24">
        <f t="shared" ref="BX12:BX17" si="11">AW12*BF12</f>
        <v>22.56</v>
      </c>
      <c r="CB12" s="24">
        <f t="shared" si="8"/>
        <v>257.38</v>
      </c>
      <c r="CC12" s="24">
        <f>CB12</f>
        <v>257.38</v>
      </c>
      <c r="CD12" s="24">
        <f t="shared" si="9"/>
        <v>0</v>
      </c>
      <c r="CE12" s="24">
        <f t="shared" si="10"/>
        <v>135</v>
      </c>
      <c r="CL12" s="39" t="s">
        <v>603</v>
      </c>
      <c r="CM12" s="40">
        <v>22.556000000000001</v>
      </c>
      <c r="CN12" s="40"/>
      <c r="CO12" s="40"/>
      <c r="CP12" s="40"/>
      <c r="CQ12" s="41"/>
      <c r="CR12" s="40"/>
      <c r="CS12" s="40"/>
      <c r="CT12" s="40"/>
      <c r="CU12" s="41"/>
      <c r="CV12" s="45">
        <v>0.624</v>
      </c>
      <c r="CW12" s="40"/>
      <c r="CX12" s="43"/>
    </row>
    <row r="13" spans="1:102" ht="15">
      <c r="A13" s="82" t="s">
        <v>653</v>
      </c>
      <c r="B13" s="25"/>
      <c r="C13" s="81">
        <v>6.7567499999999994</v>
      </c>
      <c r="D13" s="81"/>
      <c r="K13" s="27" t="s">
        <v>597</v>
      </c>
      <c r="M13" s="27" t="s">
        <v>597</v>
      </c>
      <c r="O13" s="83">
        <f t="shared" si="2"/>
        <v>0</v>
      </c>
      <c r="R13" s="25"/>
      <c r="T13" s="24">
        <v>1.5</v>
      </c>
      <c r="W13" s="24">
        <v>40</v>
      </c>
      <c r="Z13" s="24">
        <f t="shared" si="7"/>
        <v>60</v>
      </c>
      <c r="AV13" s="25"/>
      <c r="AW13" s="24">
        <v>22.56</v>
      </c>
      <c r="BA13" s="24">
        <v>257.38</v>
      </c>
      <c r="BC13" s="24">
        <v>135</v>
      </c>
      <c r="BF13" s="24">
        <v>1</v>
      </c>
      <c r="BJ13" s="24">
        <v>1</v>
      </c>
      <c r="BL13" s="24">
        <v>1</v>
      </c>
      <c r="BO13" s="24" t="s">
        <v>578</v>
      </c>
      <c r="BS13" s="24" t="s">
        <v>597</v>
      </c>
      <c r="BU13" s="24" t="s">
        <v>559</v>
      </c>
      <c r="BX13" s="24">
        <f t="shared" si="11"/>
        <v>22.56</v>
      </c>
      <c r="CB13" s="24">
        <f t="shared" si="8"/>
        <v>257.38</v>
      </c>
      <c r="CC13" s="24">
        <f t="shared" ref="CC13" si="12">CB13</f>
        <v>257.38</v>
      </c>
      <c r="CD13" s="24">
        <f t="shared" si="9"/>
        <v>0</v>
      </c>
      <c r="CE13" s="24">
        <f t="shared" si="10"/>
        <v>135</v>
      </c>
      <c r="CL13" s="39" t="s">
        <v>605</v>
      </c>
      <c r="CM13" s="40">
        <v>22.556000000000001</v>
      </c>
      <c r="CN13" s="40">
        <f>4*0.3756</f>
        <v>1.5024</v>
      </c>
      <c r="CO13" s="40">
        <f>2*0.74</f>
        <v>1.48</v>
      </c>
      <c r="CP13" s="46">
        <f>1*0.17</f>
        <v>0.17</v>
      </c>
      <c r="CQ13" s="47">
        <v>0.4</v>
      </c>
      <c r="CR13" s="40">
        <f>0.08</f>
        <v>0.08</v>
      </c>
      <c r="CS13" s="40">
        <f>2*0.01</f>
        <v>0.02</v>
      </c>
      <c r="CT13" s="40"/>
      <c r="CU13" s="41"/>
      <c r="CV13" s="40"/>
      <c r="CW13" s="40"/>
      <c r="CX13" s="43"/>
    </row>
    <row r="14" spans="1:102" ht="15">
      <c r="A14" s="24" t="s">
        <v>654</v>
      </c>
      <c r="B14" s="25"/>
      <c r="C14" s="81">
        <v>7.9150499999999999</v>
      </c>
      <c r="D14" s="81"/>
      <c r="F14" s="24">
        <v>40</v>
      </c>
      <c r="I14" s="27" t="s">
        <v>597</v>
      </c>
      <c r="J14" s="27" t="s">
        <v>560</v>
      </c>
      <c r="O14" s="83">
        <f t="shared" si="2"/>
        <v>316.60199999999998</v>
      </c>
      <c r="R14" s="25"/>
      <c r="T14" s="24">
        <v>1.5</v>
      </c>
      <c r="W14" s="24">
        <v>40</v>
      </c>
      <c r="Z14" s="24">
        <f t="shared" si="7"/>
        <v>60</v>
      </c>
      <c r="AV14" s="25"/>
      <c r="AW14" s="24">
        <v>22.56</v>
      </c>
      <c r="AX14" s="24">
        <v>142.22999999999999</v>
      </c>
      <c r="AY14" s="24">
        <v>383.01</v>
      </c>
      <c r="AZ14" s="24">
        <v>730.88</v>
      </c>
      <c r="BB14" s="24">
        <v>33.4</v>
      </c>
      <c r="BC14" s="24">
        <v>175.14</v>
      </c>
      <c r="BF14" s="24">
        <v>1</v>
      </c>
      <c r="BG14" s="24">
        <v>4</v>
      </c>
      <c r="BH14" s="24">
        <v>2</v>
      </c>
      <c r="BI14" s="24">
        <v>2</v>
      </c>
      <c r="BK14" s="24">
        <v>2</v>
      </c>
      <c r="BL14" s="24">
        <v>1</v>
      </c>
      <c r="BO14" s="24" t="s">
        <v>578</v>
      </c>
      <c r="BP14" s="24" t="s">
        <v>597</v>
      </c>
      <c r="BQ14" s="24" t="s">
        <v>597</v>
      </c>
      <c r="BR14" s="24" t="s">
        <v>597</v>
      </c>
      <c r="BT14" s="24" t="s">
        <v>562</v>
      </c>
      <c r="BU14" s="24" t="s">
        <v>559</v>
      </c>
      <c r="BX14" s="24">
        <f t="shared" si="11"/>
        <v>22.56</v>
      </c>
      <c r="BY14" s="24">
        <f t="shared" ref="BY14:BY17" si="13">AX14*BG14</f>
        <v>568.91999999999996</v>
      </c>
      <c r="BZ14" s="24">
        <f t="shared" ref="BZ14:BZ17" si="14">AY14*BH14</f>
        <v>766.02</v>
      </c>
      <c r="CA14" s="24">
        <f t="shared" ref="CA14:CA17" si="15">AZ14*BI14</f>
        <v>1461.76</v>
      </c>
      <c r="CC14" s="24">
        <f>BY14+BZ14+CA14</f>
        <v>2796.7</v>
      </c>
      <c r="CD14" s="24">
        <f t="shared" si="9"/>
        <v>66.8</v>
      </c>
      <c r="CE14" s="24">
        <f t="shared" si="10"/>
        <v>175.14</v>
      </c>
      <c r="CL14" s="39" t="s">
        <v>607</v>
      </c>
      <c r="CM14" s="40">
        <v>22.556000000000001</v>
      </c>
      <c r="CN14" s="40">
        <f>4*0.3756</f>
        <v>1.5024</v>
      </c>
      <c r="CO14" s="40">
        <f>2*0.74</f>
        <v>1.48</v>
      </c>
      <c r="CP14" s="46">
        <f>1*0.17</f>
        <v>0.17</v>
      </c>
      <c r="CQ14" s="47">
        <v>1.4</v>
      </c>
      <c r="CR14" s="45">
        <f>0.04</f>
        <v>0.04</v>
      </c>
      <c r="CS14" s="40">
        <f>2*0.01</f>
        <v>0.02</v>
      </c>
      <c r="CT14" s="40"/>
      <c r="CU14" s="41"/>
      <c r="CV14" s="40"/>
      <c r="CW14" s="40"/>
      <c r="CX14" s="43"/>
    </row>
    <row r="15" spans="1:102" ht="15">
      <c r="A15" s="24" t="s">
        <v>655</v>
      </c>
      <c r="B15" s="25"/>
      <c r="C15" s="81">
        <v>8.6872500000000006</v>
      </c>
      <c r="D15" s="81"/>
      <c r="F15" s="24">
        <v>32</v>
      </c>
      <c r="I15" s="27" t="s">
        <v>597</v>
      </c>
      <c r="J15" s="27" t="s">
        <v>560</v>
      </c>
      <c r="O15" s="83">
        <f t="shared" si="2"/>
        <v>277.99200000000002</v>
      </c>
      <c r="R15" s="25"/>
      <c r="T15" s="24">
        <v>1.5</v>
      </c>
      <c r="W15" s="24">
        <v>40</v>
      </c>
      <c r="Z15" s="24">
        <f t="shared" si="7"/>
        <v>60</v>
      </c>
      <c r="AV15" s="25"/>
      <c r="AW15" s="24">
        <v>22.56</v>
      </c>
      <c r="AX15" s="24">
        <v>142.22999999999999</v>
      </c>
      <c r="AY15" s="24">
        <v>383.01</v>
      </c>
      <c r="AZ15" s="24">
        <v>730.88</v>
      </c>
      <c r="BB15" s="24">
        <v>33.4</v>
      </c>
      <c r="BC15" s="24">
        <v>175.14</v>
      </c>
      <c r="BF15" s="24">
        <v>1</v>
      </c>
      <c r="BG15" s="24">
        <v>4</v>
      </c>
      <c r="BH15" s="24">
        <v>2</v>
      </c>
      <c r="BI15" s="24">
        <v>2</v>
      </c>
      <c r="BK15" s="24">
        <v>2</v>
      </c>
      <c r="BL15" s="24">
        <v>1</v>
      </c>
      <c r="BO15" s="24" t="s">
        <v>578</v>
      </c>
      <c r="BP15" s="24" t="s">
        <v>597</v>
      </c>
      <c r="BQ15" s="24" t="s">
        <v>597</v>
      </c>
      <c r="BR15" s="24" t="s">
        <v>597</v>
      </c>
      <c r="BT15" s="24" t="s">
        <v>562</v>
      </c>
      <c r="BU15" s="24" t="s">
        <v>559</v>
      </c>
      <c r="BX15" s="24">
        <f t="shared" si="11"/>
        <v>22.56</v>
      </c>
      <c r="BY15" s="24">
        <f t="shared" si="13"/>
        <v>568.91999999999996</v>
      </c>
      <c r="BZ15" s="24">
        <f t="shared" si="14"/>
        <v>766.02</v>
      </c>
      <c r="CA15" s="24">
        <f t="shared" si="15"/>
        <v>1461.76</v>
      </c>
      <c r="CC15" s="24">
        <f t="shared" ref="CC15:CC17" si="16">BY15+BZ15+CA15</f>
        <v>2796.7</v>
      </c>
      <c r="CD15" s="24">
        <f t="shared" si="9"/>
        <v>66.8</v>
      </c>
      <c r="CE15" s="24">
        <f t="shared" si="10"/>
        <v>175.14</v>
      </c>
      <c r="CL15" s="39" t="s">
        <v>609</v>
      </c>
      <c r="CM15" s="40">
        <v>22.556000000000001</v>
      </c>
      <c r="CN15" s="40"/>
      <c r="CO15" s="40"/>
      <c r="CP15" s="40"/>
      <c r="CQ15" s="41"/>
      <c r="CR15" s="40"/>
      <c r="CS15" s="40"/>
      <c r="CT15" s="40"/>
      <c r="CU15" s="41"/>
      <c r="CV15" s="40"/>
      <c r="CW15" s="40"/>
      <c r="CX15" s="43"/>
    </row>
    <row r="16" spans="1:102" ht="15.75" thickBot="1">
      <c r="A16" s="24" t="s">
        <v>656</v>
      </c>
      <c r="B16" s="25"/>
      <c r="C16" s="81">
        <v>9.4594500000000004</v>
      </c>
      <c r="D16" s="81"/>
      <c r="F16" s="24">
        <v>24</v>
      </c>
      <c r="I16" s="27" t="s">
        <v>597</v>
      </c>
      <c r="J16" s="27" t="s">
        <v>560</v>
      </c>
      <c r="O16" s="83">
        <f t="shared" si="2"/>
        <v>227.02680000000001</v>
      </c>
      <c r="R16" s="25"/>
      <c r="T16" s="24">
        <v>1.5</v>
      </c>
      <c r="W16" s="24">
        <v>40</v>
      </c>
      <c r="Z16" s="24">
        <f t="shared" si="7"/>
        <v>60</v>
      </c>
      <c r="AV16" s="25"/>
      <c r="AW16" s="24">
        <v>22.56</v>
      </c>
      <c r="AX16" s="24">
        <v>142.22999999999999</v>
      </c>
      <c r="AY16" s="24">
        <v>383.01</v>
      </c>
      <c r="AZ16" s="24">
        <v>730.88</v>
      </c>
      <c r="BB16" s="24">
        <v>33.4</v>
      </c>
      <c r="BC16" s="24">
        <v>175.14</v>
      </c>
      <c r="BF16" s="24">
        <v>1</v>
      </c>
      <c r="BG16" s="24">
        <v>4</v>
      </c>
      <c r="BH16" s="24">
        <v>2</v>
      </c>
      <c r="BI16" s="24">
        <v>2</v>
      </c>
      <c r="BK16" s="24">
        <v>2</v>
      </c>
      <c r="BL16" s="24">
        <v>1</v>
      </c>
      <c r="BO16" s="24" t="s">
        <v>578</v>
      </c>
      <c r="BP16" s="24" t="s">
        <v>597</v>
      </c>
      <c r="BQ16" s="24" t="s">
        <v>597</v>
      </c>
      <c r="BR16" s="24" t="s">
        <v>597</v>
      </c>
      <c r="BT16" s="24" t="s">
        <v>562</v>
      </c>
      <c r="BU16" s="24" t="s">
        <v>559</v>
      </c>
      <c r="BX16" s="24">
        <f t="shared" si="11"/>
        <v>22.56</v>
      </c>
      <c r="BY16" s="24">
        <f t="shared" si="13"/>
        <v>568.91999999999996</v>
      </c>
      <c r="BZ16" s="24">
        <f t="shared" si="14"/>
        <v>766.02</v>
      </c>
      <c r="CA16" s="24">
        <f t="shared" si="15"/>
        <v>1461.76</v>
      </c>
      <c r="CC16" s="24">
        <f t="shared" si="16"/>
        <v>2796.7</v>
      </c>
      <c r="CD16" s="24">
        <f t="shared" si="9"/>
        <v>66.8</v>
      </c>
      <c r="CE16" s="24">
        <f t="shared" si="10"/>
        <v>175.14</v>
      </c>
      <c r="CL16" s="48" t="s">
        <v>610</v>
      </c>
      <c r="CM16" s="49">
        <v>22.556000000000001</v>
      </c>
      <c r="CN16" s="49"/>
      <c r="CO16" s="49">
        <f>3*0.25</f>
        <v>0.75</v>
      </c>
      <c r="CP16" s="49"/>
      <c r="CQ16" s="50">
        <v>0.2</v>
      </c>
      <c r="CR16" s="49"/>
      <c r="CS16" s="49"/>
      <c r="CT16" s="49">
        <v>0.13</v>
      </c>
      <c r="CU16" s="51">
        <f>2*0.018</f>
        <v>3.5999999999999997E-2</v>
      </c>
      <c r="CV16" s="49"/>
      <c r="CW16" s="49"/>
      <c r="CX16" s="52"/>
    </row>
    <row r="17" spans="1:102" ht="15">
      <c r="A17" s="82" t="s">
        <v>657</v>
      </c>
      <c r="B17" s="25"/>
      <c r="C17" s="81">
        <v>13.33215</v>
      </c>
      <c r="D17" s="81"/>
      <c r="I17" s="27" t="s">
        <v>597</v>
      </c>
      <c r="J17" s="27" t="s">
        <v>560</v>
      </c>
      <c r="O17" s="83">
        <f t="shared" si="2"/>
        <v>0</v>
      </c>
      <c r="R17" s="25"/>
      <c r="T17" s="24">
        <v>1.5</v>
      </c>
      <c r="W17" s="24">
        <v>40</v>
      </c>
      <c r="Z17" s="24">
        <f t="shared" si="7"/>
        <v>60</v>
      </c>
      <c r="AV17" s="25"/>
      <c r="AW17" s="24">
        <v>22.56</v>
      </c>
      <c r="AX17" s="24">
        <v>142.22999999999999</v>
      </c>
      <c r="AY17" s="24">
        <v>383.01</v>
      </c>
      <c r="AZ17" s="24">
        <v>730.88</v>
      </c>
      <c r="BB17" s="24">
        <v>33.4</v>
      </c>
      <c r="BC17" s="24">
        <v>160.74</v>
      </c>
      <c r="BF17" s="24">
        <v>1</v>
      </c>
      <c r="BG17" s="24">
        <v>4</v>
      </c>
      <c r="BH17" s="24">
        <v>2</v>
      </c>
      <c r="BI17" s="24">
        <v>2</v>
      </c>
      <c r="BK17" s="24">
        <v>2</v>
      </c>
      <c r="BL17" s="24">
        <v>1</v>
      </c>
      <c r="BO17" s="24" t="s">
        <v>578</v>
      </c>
      <c r="BP17" s="24" t="s">
        <v>597</v>
      </c>
      <c r="BQ17" s="24" t="s">
        <v>597</v>
      </c>
      <c r="BR17" s="24" t="s">
        <v>597</v>
      </c>
      <c r="BT17" s="24" t="s">
        <v>562</v>
      </c>
      <c r="BU17" s="24" t="s">
        <v>559</v>
      </c>
      <c r="BX17" s="24">
        <f t="shared" si="11"/>
        <v>22.56</v>
      </c>
      <c r="BY17" s="24">
        <f t="shared" si="13"/>
        <v>568.91999999999996</v>
      </c>
      <c r="BZ17" s="24">
        <f t="shared" si="14"/>
        <v>766.02</v>
      </c>
      <c r="CA17" s="24">
        <f t="shared" si="15"/>
        <v>1461.76</v>
      </c>
      <c r="CC17" s="24">
        <f t="shared" si="16"/>
        <v>2796.7</v>
      </c>
      <c r="CD17" s="24">
        <f t="shared" si="9"/>
        <v>66.8</v>
      </c>
      <c r="CE17" s="24">
        <f t="shared" si="10"/>
        <v>160.74</v>
      </c>
    </row>
    <row r="18" spans="1:102" ht="15">
      <c r="A18" s="24" t="s">
        <v>658</v>
      </c>
      <c r="B18" s="25"/>
      <c r="C18" s="81">
        <v>4.4401500000000009</v>
      </c>
      <c r="D18" s="81"/>
      <c r="F18" s="24">
        <v>125</v>
      </c>
      <c r="K18" s="27" t="s">
        <v>597</v>
      </c>
      <c r="L18" s="27" t="s">
        <v>600</v>
      </c>
      <c r="M18" s="27" t="s">
        <v>597</v>
      </c>
      <c r="O18" s="83">
        <f>C18*F18</f>
        <v>555.01875000000007</v>
      </c>
      <c r="R18" s="25"/>
      <c r="S18" s="24">
        <v>0.65400000000000003</v>
      </c>
      <c r="V18" s="24">
        <v>50</v>
      </c>
      <c r="Y18" s="24">
        <f t="shared" ref="Y18:Y23" si="17">S18*V18</f>
        <v>32.700000000000003</v>
      </c>
      <c r="AV18" s="25"/>
      <c r="AW18" s="24">
        <v>22.56</v>
      </c>
      <c r="BA18" s="24">
        <v>257.38</v>
      </c>
      <c r="BC18" s="24">
        <v>137</v>
      </c>
      <c r="BF18" s="24">
        <v>1</v>
      </c>
      <c r="BJ18" s="24">
        <v>1</v>
      </c>
      <c r="BL18" s="24">
        <v>1</v>
      </c>
      <c r="BO18" s="24" t="s">
        <v>578</v>
      </c>
      <c r="BS18" s="24" t="s">
        <v>597</v>
      </c>
      <c r="BU18" s="24" t="s">
        <v>559</v>
      </c>
      <c r="BX18" s="24">
        <f>AW18*BF18</f>
        <v>22.56</v>
      </c>
      <c r="CB18" s="24">
        <f t="shared" ref="CB18:CB20" si="18">BA18*BJ18</f>
        <v>257.38</v>
      </c>
      <c r="CC18" s="24">
        <f>CB18</f>
        <v>257.38</v>
      </c>
      <c r="CD18" s="24">
        <f t="shared" si="9"/>
        <v>0</v>
      </c>
      <c r="CE18" s="24">
        <f t="shared" si="10"/>
        <v>137</v>
      </c>
      <c r="CL18" s="39" t="s">
        <v>601</v>
      </c>
      <c r="CM18" s="40">
        <v>22.556000000000001</v>
      </c>
      <c r="CN18" s="40"/>
      <c r="CO18" s="40"/>
      <c r="CP18" s="40"/>
      <c r="CQ18" s="41"/>
      <c r="CR18" s="40"/>
      <c r="CS18" s="40"/>
      <c r="CT18" s="40"/>
      <c r="CU18" s="41"/>
      <c r="CV18" s="44">
        <v>1.1000000000000001</v>
      </c>
      <c r="CW18" s="40"/>
      <c r="CX18" s="43"/>
    </row>
    <row r="19" spans="1:102" ht="15">
      <c r="A19" s="24" t="s">
        <v>659</v>
      </c>
      <c r="B19" s="25"/>
      <c r="C19" s="81">
        <v>5.2123500000000007</v>
      </c>
      <c r="D19" s="81"/>
      <c r="F19" s="24">
        <v>70</v>
      </c>
      <c r="K19" s="27" t="s">
        <v>597</v>
      </c>
      <c r="M19" s="27" t="s">
        <v>597</v>
      </c>
      <c r="O19" s="83">
        <f t="shared" ref="O19:O31" si="19">C19*F19</f>
        <v>364.86450000000002</v>
      </c>
      <c r="R19" s="25"/>
      <c r="S19" s="24">
        <v>0.65400000000000003</v>
      </c>
      <c r="V19" s="24">
        <v>50</v>
      </c>
      <c r="Y19" s="24">
        <f t="shared" si="17"/>
        <v>32.700000000000003</v>
      </c>
      <c r="AV19" s="25"/>
      <c r="AW19" s="24">
        <v>22.56</v>
      </c>
      <c r="BA19" s="24">
        <v>257.38</v>
      </c>
      <c r="BC19" s="24">
        <v>135</v>
      </c>
      <c r="BF19" s="24">
        <v>1</v>
      </c>
      <c r="BJ19" s="24">
        <v>1</v>
      </c>
      <c r="BL19" s="24">
        <v>1</v>
      </c>
      <c r="BO19" s="24" t="s">
        <v>578</v>
      </c>
      <c r="BS19" s="24" t="s">
        <v>597</v>
      </c>
      <c r="BU19" s="24" t="s">
        <v>559</v>
      </c>
      <c r="BX19" s="24">
        <f t="shared" ref="BX19:BX24" si="20">AW19*BF19</f>
        <v>22.56</v>
      </c>
      <c r="CB19" s="24">
        <f t="shared" si="18"/>
        <v>257.38</v>
      </c>
      <c r="CC19" s="24">
        <f>CB19</f>
        <v>257.38</v>
      </c>
      <c r="CD19" s="24">
        <f t="shared" si="9"/>
        <v>0</v>
      </c>
      <c r="CE19" s="24">
        <f t="shared" si="10"/>
        <v>135</v>
      </c>
      <c r="CL19" s="39" t="s">
        <v>603</v>
      </c>
      <c r="CM19" s="40">
        <v>22.556000000000001</v>
      </c>
      <c r="CN19" s="40"/>
      <c r="CO19" s="40"/>
      <c r="CP19" s="40"/>
      <c r="CQ19" s="41"/>
      <c r="CR19" s="40"/>
      <c r="CS19" s="40"/>
      <c r="CT19" s="40"/>
      <c r="CU19" s="41"/>
      <c r="CV19" s="45">
        <v>0.624</v>
      </c>
      <c r="CW19" s="40"/>
      <c r="CX19" s="43"/>
    </row>
    <row r="20" spans="1:102" ht="15">
      <c r="A20" s="82" t="s">
        <v>660</v>
      </c>
      <c r="B20" s="25"/>
      <c r="C20" s="81">
        <v>6.7567499999999994</v>
      </c>
      <c r="D20" s="81"/>
      <c r="K20" s="27" t="s">
        <v>597</v>
      </c>
      <c r="M20" s="27" t="s">
        <v>597</v>
      </c>
      <c r="O20" s="83">
        <f t="shared" si="19"/>
        <v>0</v>
      </c>
      <c r="R20" s="25"/>
      <c r="S20" s="24">
        <v>0.65400000000000003</v>
      </c>
      <c r="V20" s="24">
        <v>50</v>
      </c>
      <c r="Y20" s="24">
        <f t="shared" si="17"/>
        <v>32.700000000000003</v>
      </c>
      <c r="AV20" s="25"/>
      <c r="AW20" s="24">
        <v>22.56</v>
      </c>
      <c r="BA20" s="24">
        <v>257.38</v>
      </c>
      <c r="BC20" s="24">
        <v>135</v>
      </c>
      <c r="BF20" s="24">
        <v>1</v>
      </c>
      <c r="BJ20" s="24">
        <v>1</v>
      </c>
      <c r="BL20" s="24">
        <v>1</v>
      </c>
      <c r="BO20" s="24" t="s">
        <v>578</v>
      </c>
      <c r="BS20" s="24" t="s">
        <v>597</v>
      </c>
      <c r="BU20" s="24" t="s">
        <v>559</v>
      </c>
      <c r="BX20" s="24">
        <f t="shared" si="20"/>
        <v>22.56</v>
      </c>
      <c r="CB20" s="24">
        <f t="shared" si="18"/>
        <v>257.38</v>
      </c>
      <c r="CC20" s="24">
        <f t="shared" ref="CC20" si="21">CB20</f>
        <v>257.38</v>
      </c>
      <c r="CD20" s="24">
        <f t="shared" si="9"/>
        <v>0</v>
      </c>
      <c r="CE20" s="24">
        <f t="shared" si="10"/>
        <v>135</v>
      </c>
      <c r="CL20" s="39" t="s">
        <v>605</v>
      </c>
      <c r="CM20" s="40">
        <v>22.556000000000001</v>
      </c>
      <c r="CN20" s="40">
        <f>4*0.3756</f>
        <v>1.5024</v>
      </c>
      <c r="CO20" s="40">
        <f>2*0.74</f>
        <v>1.48</v>
      </c>
      <c r="CP20" s="46">
        <f>1*0.17</f>
        <v>0.17</v>
      </c>
      <c r="CQ20" s="47">
        <v>0.4</v>
      </c>
      <c r="CR20" s="40">
        <f>0.08</f>
        <v>0.08</v>
      </c>
      <c r="CS20" s="40">
        <f>2*0.01</f>
        <v>0.02</v>
      </c>
      <c r="CT20" s="40"/>
      <c r="CU20" s="41"/>
      <c r="CV20" s="40"/>
      <c r="CW20" s="40"/>
      <c r="CX20" s="43"/>
    </row>
    <row r="21" spans="1:102" ht="15">
      <c r="A21" s="24" t="s">
        <v>661</v>
      </c>
      <c r="B21" s="25"/>
      <c r="C21" s="81">
        <v>7.9150499999999999</v>
      </c>
      <c r="D21" s="81"/>
      <c r="F21" s="24">
        <v>40</v>
      </c>
      <c r="I21" s="27" t="s">
        <v>597</v>
      </c>
      <c r="J21" s="27" t="s">
        <v>560</v>
      </c>
      <c r="O21" s="83">
        <f t="shared" si="19"/>
        <v>316.60199999999998</v>
      </c>
      <c r="R21" s="25"/>
      <c r="S21" s="24">
        <v>0.65400000000000003</v>
      </c>
      <c r="V21" s="24">
        <v>50</v>
      </c>
      <c r="Y21" s="24">
        <f t="shared" si="17"/>
        <v>32.700000000000003</v>
      </c>
      <c r="AV21" s="25"/>
      <c r="AW21" s="24">
        <v>22.56</v>
      </c>
      <c r="AX21" s="24">
        <v>142.22999999999999</v>
      </c>
      <c r="AY21" s="24">
        <v>383.01</v>
      </c>
      <c r="AZ21" s="24">
        <v>730.88</v>
      </c>
      <c r="BB21" s="24">
        <v>33.4</v>
      </c>
      <c r="BC21" s="24">
        <v>175.14</v>
      </c>
      <c r="BF21" s="24">
        <v>1</v>
      </c>
      <c r="BG21" s="24">
        <v>4</v>
      </c>
      <c r="BH21" s="24">
        <v>2</v>
      </c>
      <c r="BI21" s="24">
        <v>2</v>
      </c>
      <c r="BK21" s="24">
        <v>2</v>
      </c>
      <c r="BL21" s="24">
        <v>1</v>
      </c>
      <c r="BO21" s="24" t="s">
        <v>578</v>
      </c>
      <c r="BP21" s="24" t="s">
        <v>597</v>
      </c>
      <c r="BQ21" s="24" t="s">
        <v>597</v>
      </c>
      <c r="BR21" s="24" t="s">
        <v>597</v>
      </c>
      <c r="BT21" s="24" t="s">
        <v>562</v>
      </c>
      <c r="BU21" s="24" t="s">
        <v>559</v>
      </c>
      <c r="BX21" s="24">
        <f t="shared" si="20"/>
        <v>22.56</v>
      </c>
      <c r="BY21" s="24">
        <f t="shared" ref="BY21:BY24" si="22">AX21*BG21</f>
        <v>568.91999999999996</v>
      </c>
      <c r="BZ21" s="24">
        <f t="shared" ref="BZ21:BZ24" si="23">AY21*BH21</f>
        <v>766.02</v>
      </c>
      <c r="CA21" s="24">
        <f t="shared" ref="CA21:CA24" si="24">AZ21*BI21</f>
        <v>1461.76</v>
      </c>
      <c r="CC21" s="24">
        <f>BY21+BZ21+CA21</f>
        <v>2796.7</v>
      </c>
      <c r="CD21" s="24">
        <f t="shared" si="9"/>
        <v>66.8</v>
      </c>
      <c r="CE21" s="24">
        <f t="shared" si="10"/>
        <v>175.14</v>
      </c>
      <c r="CL21" s="39" t="s">
        <v>607</v>
      </c>
      <c r="CM21" s="40">
        <v>22.556000000000001</v>
      </c>
      <c r="CN21" s="40">
        <f>4*0.3756</f>
        <v>1.5024</v>
      </c>
      <c r="CO21" s="40">
        <f>2*0.74</f>
        <v>1.48</v>
      </c>
      <c r="CP21" s="46">
        <f>1*0.17</f>
        <v>0.17</v>
      </c>
      <c r="CQ21" s="47">
        <v>1.4</v>
      </c>
      <c r="CR21" s="45">
        <f>0.04</f>
        <v>0.04</v>
      </c>
      <c r="CS21" s="40">
        <f>2*0.01</f>
        <v>0.02</v>
      </c>
      <c r="CT21" s="40"/>
      <c r="CU21" s="41"/>
      <c r="CV21" s="40"/>
      <c r="CW21" s="40"/>
      <c r="CX21" s="43"/>
    </row>
    <row r="22" spans="1:102" ht="15">
      <c r="A22" s="24" t="s">
        <v>662</v>
      </c>
      <c r="B22" s="25"/>
      <c r="C22" s="81">
        <v>8.6872500000000006</v>
      </c>
      <c r="D22" s="81"/>
      <c r="F22" s="24">
        <v>32</v>
      </c>
      <c r="I22" s="27" t="s">
        <v>597</v>
      </c>
      <c r="J22" s="27" t="s">
        <v>560</v>
      </c>
      <c r="O22" s="83">
        <f t="shared" si="19"/>
        <v>277.99200000000002</v>
      </c>
      <c r="R22" s="25"/>
      <c r="S22" s="24">
        <v>0.65400000000000003</v>
      </c>
      <c r="V22" s="24">
        <v>50</v>
      </c>
      <c r="Y22" s="24">
        <f t="shared" si="17"/>
        <v>32.700000000000003</v>
      </c>
      <c r="AV22" s="25"/>
      <c r="AW22" s="24">
        <v>22.56</v>
      </c>
      <c r="AX22" s="24">
        <v>142.22999999999999</v>
      </c>
      <c r="AY22" s="24">
        <v>383.01</v>
      </c>
      <c r="AZ22" s="24">
        <v>730.88</v>
      </c>
      <c r="BB22" s="24">
        <v>33.4</v>
      </c>
      <c r="BC22" s="24">
        <v>175.14</v>
      </c>
      <c r="BF22" s="24">
        <v>1</v>
      </c>
      <c r="BG22" s="24">
        <v>4</v>
      </c>
      <c r="BH22" s="24">
        <v>2</v>
      </c>
      <c r="BI22" s="24">
        <v>2</v>
      </c>
      <c r="BK22" s="24">
        <v>2</v>
      </c>
      <c r="BL22" s="24">
        <v>1</v>
      </c>
      <c r="BO22" s="24" t="s">
        <v>578</v>
      </c>
      <c r="BP22" s="24" t="s">
        <v>597</v>
      </c>
      <c r="BQ22" s="24" t="s">
        <v>597</v>
      </c>
      <c r="BR22" s="24" t="s">
        <v>597</v>
      </c>
      <c r="BT22" s="24" t="s">
        <v>562</v>
      </c>
      <c r="BU22" s="24" t="s">
        <v>559</v>
      </c>
      <c r="BX22" s="24">
        <f t="shared" si="20"/>
        <v>22.56</v>
      </c>
      <c r="BY22" s="24">
        <f t="shared" si="22"/>
        <v>568.91999999999996</v>
      </c>
      <c r="BZ22" s="24">
        <f t="shared" si="23"/>
        <v>766.02</v>
      </c>
      <c r="CA22" s="24">
        <f t="shared" si="24"/>
        <v>1461.76</v>
      </c>
      <c r="CC22" s="24">
        <f t="shared" ref="CC22:CC24" si="25">BY22+BZ22+CA22</f>
        <v>2796.7</v>
      </c>
      <c r="CD22" s="24">
        <f t="shared" si="9"/>
        <v>66.8</v>
      </c>
      <c r="CE22" s="24">
        <f t="shared" si="10"/>
        <v>175.14</v>
      </c>
      <c r="CL22" s="39" t="s">
        <v>609</v>
      </c>
      <c r="CM22" s="40">
        <v>22.556000000000001</v>
      </c>
      <c r="CN22" s="40"/>
      <c r="CO22" s="40"/>
      <c r="CP22" s="40"/>
      <c r="CQ22" s="41"/>
      <c r="CR22" s="40"/>
      <c r="CS22" s="40"/>
      <c r="CT22" s="40"/>
      <c r="CU22" s="41"/>
      <c r="CV22" s="40"/>
      <c r="CW22" s="40"/>
      <c r="CX22" s="43"/>
    </row>
    <row r="23" spans="1:102" ht="15.75" thickBot="1">
      <c r="A23" s="24" t="s">
        <v>663</v>
      </c>
      <c r="B23" s="25"/>
      <c r="C23" s="81">
        <v>9.4594500000000004</v>
      </c>
      <c r="D23" s="81"/>
      <c r="F23" s="24">
        <v>24</v>
      </c>
      <c r="I23" s="27" t="s">
        <v>597</v>
      </c>
      <c r="J23" s="27" t="s">
        <v>560</v>
      </c>
      <c r="O23" s="83">
        <f t="shared" si="19"/>
        <v>227.02680000000001</v>
      </c>
      <c r="R23" s="25"/>
      <c r="S23" s="24">
        <v>0.65400000000000003</v>
      </c>
      <c r="V23" s="24">
        <v>50</v>
      </c>
      <c r="Y23" s="24">
        <f t="shared" si="17"/>
        <v>32.700000000000003</v>
      </c>
      <c r="AV23" s="25"/>
      <c r="AW23" s="24">
        <v>22.56</v>
      </c>
      <c r="AX23" s="24">
        <v>142.22999999999999</v>
      </c>
      <c r="AY23" s="24">
        <v>383.01</v>
      </c>
      <c r="AZ23" s="24">
        <v>730.88</v>
      </c>
      <c r="BB23" s="24">
        <v>33.4</v>
      </c>
      <c r="BC23" s="24">
        <v>175.14</v>
      </c>
      <c r="BF23" s="24">
        <v>1</v>
      </c>
      <c r="BG23" s="24">
        <v>4</v>
      </c>
      <c r="BH23" s="24">
        <v>2</v>
      </c>
      <c r="BI23" s="24">
        <v>2</v>
      </c>
      <c r="BK23" s="24">
        <v>2</v>
      </c>
      <c r="BL23" s="24">
        <v>1</v>
      </c>
      <c r="BO23" s="24" t="s">
        <v>578</v>
      </c>
      <c r="BP23" s="24" t="s">
        <v>597</v>
      </c>
      <c r="BQ23" s="24" t="s">
        <v>597</v>
      </c>
      <c r="BR23" s="24" t="s">
        <v>597</v>
      </c>
      <c r="BT23" s="24" t="s">
        <v>562</v>
      </c>
      <c r="BU23" s="24" t="s">
        <v>559</v>
      </c>
      <c r="BX23" s="24">
        <f t="shared" si="20"/>
        <v>22.56</v>
      </c>
      <c r="BY23" s="24">
        <f t="shared" si="22"/>
        <v>568.91999999999996</v>
      </c>
      <c r="BZ23" s="24">
        <f t="shared" si="23"/>
        <v>766.02</v>
      </c>
      <c r="CA23" s="24">
        <f t="shared" si="24"/>
        <v>1461.76</v>
      </c>
      <c r="CC23" s="24">
        <f t="shared" si="25"/>
        <v>2796.7</v>
      </c>
      <c r="CD23" s="24">
        <f t="shared" si="9"/>
        <v>66.8</v>
      </c>
      <c r="CE23" s="24">
        <f t="shared" si="10"/>
        <v>175.14</v>
      </c>
      <c r="CL23" s="48" t="s">
        <v>610</v>
      </c>
      <c r="CM23" s="49">
        <v>22.556000000000001</v>
      </c>
      <c r="CN23" s="49"/>
      <c r="CO23" s="49">
        <f>3*0.25</f>
        <v>0.75</v>
      </c>
      <c r="CP23" s="49"/>
      <c r="CQ23" s="50">
        <v>0.2</v>
      </c>
      <c r="CR23" s="49"/>
      <c r="CS23" s="49"/>
      <c r="CT23" s="49">
        <v>0.13</v>
      </c>
      <c r="CU23" s="51">
        <f>2*0.018</f>
        <v>3.5999999999999997E-2</v>
      </c>
      <c r="CV23" s="49"/>
      <c r="CW23" s="49"/>
      <c r="CX23" s="52"/>
    </row>
    <row r="24" spans="1:102" ht="15">
      <c r="A24" s="82" t="s">
        <v>664</v>
      </c>
      <c r="B24" s="25"/>
      <c r="C24" s="81">
        <v>13.33215</v>
      </c>
      <c r="D24" s="81"/>
      <c r="I24" s="27" t="s">
        <v>597</v>
      </c>
      <c r="J24" s="27" t="s">
        <v>560</v>
      </c>
      <c r="O24" s="83">
        <f t="shared" si="19"/>
        <v>0</v>
      </c>
      <c r="R24" s="25"/>
      <c r="S24" s="24">
        <v>0.65400000000000003</v>
      </c>
      <c r="V24" s="24">
        <v>50</v>
      </c>
      <c r="Y24" s="24">
        <f>S24*V24</f>
        <v>32.700000000000003</v>
      </c>
      <c r="AV24" s="25"/>
      <c r="AW24" s="24">
        <v>22.56</v>
      </c>
      <c r="AX24" s="24">
        <v>142.22999999999999</v>
      </c>
      <c r="AY24" s="24">
        <v>383.01</v>
      </c>
      <c r="AZ24" s="24">
        <v>730.88</v>
      </c>
      <c r="BB24" s="24">
        <v>33.4</v>
      </c>
      <c r="BC24" s="24">
        <v>160.74</v>
      </c>
      <c r="BF24" s="24">
        <v>1</v>
      </c>
      <c r="BG24" s="24">
        <v>4</v>
      </c>
      <c r="BH24" s="24">
        <v>2</v>
      </c>
      <c r="BI24" s="24">
        <v>2</v>
      </c>
      <c r="BK24" s="24">
        <v>2</v>
      </c>
      <c r="BL24" s="24">
        <v>1</v>
      </c>
      <c r="BO24" s="24" t="s">
        <v>578</v>
      </c>
      <c r="BP24" s="24" t="s">
        <v>597</v>
      </c>
      <c r="BQ24" s="24" t="s">
        <v>597</v>
      </c>
      <c r="BR24" s="24" t="s">
        <v>597</v>
      </c>
      <c r="BT24" s="24" t="s">
        <v>562</v>
      </c>
      <c r="BU24" s="24" t="s">
        <v>559</v>
      </c>
      <c r="BX24" s="24">
        <f t="shared" si="20"/>
        <v>22.56</v>
      </c>
      <c r="BY24" s="24">
        <f t="shared" si="22"/>
        <v>568.91999999999996</v>
      </c>
      <c r="BZ24" s="24">
        <f t="shared" si="23"/>
        <v>766.02</v>
      </c>
      <c r="CA24" s="24">
        <f t="shared" si="24"/>
        <v>1461.76</v>
      </c>
      <c r="CC24" s="24">
        <f t="shared" si="25"/>
        <v>2796.7</v>
      </c>
      <c r="CD24" s="24">
        <f t="shared" si="9"/>
        <v>66.8</v>
      </c>
      <c r="CE24" s="24">
        <f t="shared" si="10"/>
        <v>160.74</v>
      </c>
    </row>
    <row r="25" spans="1:102" ht="15">
      <c r="A25" s="24" t="s">
        <v>665</v>
      </c>
      <c r="B25" s="25"/>
      <c r="C25" s="81">
        <v>4.4401500000000009</v>
      </c>
      <c r="D25" s="81"/>
      <c r="F25" s="24">
        <v>125</v>
      </c>
      <c r="K25" s="27" t="s">
        <v>597</v>
      </c>
      <c r="L25" s="27" t="s">
        <v>600</v>
      </c>
      <c r="M25" s="27" t="s">
        <v>597</v>
      </c>
      <c r="O25" s="83">
        <f t="shared" si="19"/>
        <v>555.01875000000007</v>
      </c>
      <c r="R25" s="25"/>
      <c r="T25" s="24">
        <v>1.5</v>
      </c>
      <c r="W25" s="24">
        <v>50</v>
      </c>
      <c r="Z25" s="24">
        <f>T25*W25</f>
        <v>75</v>
      </c>
      <c r="AV25" s="25"/>
      <c r="AW25" s="24">
        <v>22.56</v>
      </c>
      <c r="BA25" s="24">
        <v>257.38</v>
      </c>
      <c r="BC25" s="24">
        <v>137</v>
      </c>
      <c r="BF25" s="24">
        <v>1</v>
      </c>
      <c r="BJ25" s="24">
        <v>1</v>
      </c>
      <c r="BL25" s="24">
        <v>1</v>
      </c>
      <c r="BO25" s="24" t="s">
        <v>578</v>
      </c>
      <c r="BS25" s="24" t="s">
        <v>597</v>
      </c>
      <c r="BU25" s="24" t="s">
        <v>559</v>
      </c>
      <c r="BX25" s="24">
        <f>AW25*BF25</f>
        <v>22.56</v>
      </c>
      <c r="CB25" s="24">
        <f t="shared" ref="CB25:CB27" si="26">BA25*BJ25</f>
        <v>257.38</v>
      </c>
      <c r="CC25" s="24">
        <f>CB25</f>
        <v>257.38</v>
      </c>
      <c r="CD25" s="24">
        <f t="shared" ref="CD25:CD31" si="27">BB25*BK25</f>
        <v>0</v>
      </c>
      <c r="CE25" s="24">
        <f t="shared" ref="CE25:CE37" si="28">BC25*BL25</f>
        <v>137</v>
      </c>
      <c r="CL25" s="39" t="s">
        <v>601</v>
      </c>
      <c r="CM25" s="40">
        <v>22.556000000000001</v>
      </c>
      <c r="CN25" s="40"/>
      <c r="CO25" s="40"/>
      <c r="CP25" s="40"/>
      <c r="CQ25" s="41"/>
      <c r="CR25" s="40"/>
      <c r="CS25" s="40"/>
      <c r="CT25" s="40"/>
      <c r="CU25" s="41"/>
      <c r="CV25" s="44">
        <v>1.1000000000000001</v>
      </c>
      <c r="CW25" s="40"/>
      <c r="CX25" s="43"/>
    </row>
    <row r="26" spans="1:102" ht="15">
      <c r="A26" s="24" t="s">
        <v>666</v>
      </c>
      <c r="B26" s="25"/>
      <c r="C26" s="81">
        <v>5.2123500000000007</v>
      </c>
      <c r="D26" s="81"/>
      <c r="F26" s="24">
        <v>70</v>
      </c>
      <c r="K26" s="27" t="s">
        <v>597</v>
      </c>
      <c r="M26" s="27" t="s">
        <v>597</v>
      </c>
      <c r="O26" s="83">
        <f t="shared" si="19"/>
        <v>364.86450000000002</v>
      </c>
      <c r="R26" s="25"/>
      <c r="T26" s="24">
        <v>1.5</v>
      </c>
      <c r="W26" s="24">
        <v>50</v>
      </c>
      <c r="Z26" s="24">
        <f t="shared" ref="Z26:Z31" si="29">T26*W26</f>
        <v>75</v>
      </c>
      <c r="AV26" s="25"/>
      <c r="AW26" s="24">
        <v>22.56</v>
      </c>
      <c r="BA26" s="24">
        <v>257.38</v>
      </c>
      <c r="BC26" s="24">
        <v>135</v>
      </c>
      <c r="BF26" s="24">
        <v>1</v>
      </c>
      <c r="BJ26" s="24">
        <v>1</v>
      </c>
      <c r="BL26" s="24">
        <v>1</v>
      </c>
      <c r="BO26" s="24" t="s">
        <v>578</v>
      </c>
      <c r="BS26" s="24" t="s">
        <v>597</v>
      </c>
      <c r="BU26" s="24" t="s">
        <v>559</v>
      </c>
      <c r="BX26" s="24">
        <f t="shared" ref="BX26:BX31" si="30">AW26*BF26</f>
        <v>22.56</v>
      </c>
      <c r="CB26" s="24">
        <f t="shared" si="26"/>
        <v>257.38</v>
      </c>
      <c r="CC26" s="24">
        <f>CB26</f>
        <v>257.38</v>
      </c>
      <c r="CD26" s="24">
        <f t="shared" si="27"/>
        <v>0</v>
      </c>
      <c r="CE26" s="24">
        <f t="shared" si="28"/>
        <v>135</v>
      </c>
      <c r="CL26" s="39" t="s">
        <v>603</v>
      </c>
      <c r="CM26" s="40">
        <v>22.556000000000001</v>
      </c>
      <c r="CN26" s="40"/>
      <c r="CO26" s="40"/>
      <c r="CP26" s="40"/>
      <c r="CQ26" s="41"/>
      <c r="CR26" s="40"/>
      <c r="CS26" s="40"/>
      <c r="CT26" s="40"/>
      <c r="CU26" s="41"/>
      <c r="CV26" s="45">
        <v>0.624</v>
      </c>
      <c r="CW26" s="40"/>
      <c r="CX26" s="43"/>
    </row>
    <row r="27" spans="1:102" ht="15">
      <c r="A27" s="82" t="s">
        <v>667</v>
      </c>
      <c r="B27" s="25"/>
      <c r="C27" s="81">
        <v>6.7567499999999994</v>
      </c>
      <c r="D27" s="81"/>
      <c r="K27" s="27" t="s">
        <v>597</v>
      </c>
      <c r="M27" s="27" t="s">
        <v>597</v>
      </c>
      <c r="O27" s="83">
        <f t="shared" si="19"/>
        <v>0</v>
      </c>
      <c r="R27" s="25"/>
      <c r="T27" s="24">
        <v>1.5</v>
      </c>
      <c r="W27" s="24">
        <v>50</v>
      </c>
      <c r="Z27" s="24">
        <f t="shared" si="29"/>
        <v>75</v>
      </c>
      <c r="AV27" s="25"/>
      <c r="AW27" s="24">
        <v>22.56</v>
      </c>
      <c r="BA27" s="24">
        <v>257.38</v>
      </c>
      <c r="BC27" s="24">
        <v>135</v>
      </c>
      <c r="BF27" s="24">
        <v>1</v>
      </c>
      <c r="BJ27" s="24">
        <v>1</v>
      </c>
      <c r="BL27" s="24">
        <v>1</v>
      </c>
      <c r="BO27" s="24" t="s">
        <v>578</v>
      </c>
      <c r="BS27" s="24" t="s">
        <v>597</v>
      </c>
      <c r="BU27" s="24" t="s">
        <v>559</v>
      </c>
      <c r="BX27" s="24">
        <f t="shared" si="30"/>
        <v>22.56</v>
      </c>
      <c r="CB27" s="24">
        <f t="shared" si="26"/>
        <v>257.38</v>
      </c>
      <c r="CC27" s="24">
        <f t="shared" ref="CC27" si="31">CB27</f>
        <v>257.38</v>
      </c>
      <c r="CD27" s="24">
        <f t="shared" si="27"/>
        <v>0</v>
      </c>
      <c r="CE27" s="24">
        <f t="shared" si="28"/>
        <v>135</v>
      </c>
      <c r="CL27" s="39" t="s">
        <v>605</v>
      </c>
      <c r="CM27" s="40">
        <v>22.556000000000001</v>
      </c>
      <c r="CN27" s="40">
        <f>4*0.3756</f>
        <v>1.5024</v>
      </c>
      <c r="CO27" s="40">
        <f>2*0.74</f>
        <v>1.48</v>
      </c>
      <c r="CP27" s="46">
        <f>1*0.17</f>
        <v>0.17</v>
      </c>
      <c r="CQ27" s="47">
        <v>0.4</v>
      </c>
      <c r="CR27" s="40">
        <f>0.08</f>
        <v>0.08</v>
      </c>
      <c r="CS27" s="40">
        <f>2*0.01</f>
        <v>0.02</v>
      </c>
      <c r="CT27" s="40"/>
      <c r="CU27" s="41"/>
      <c r="CV27" s="40"/>
      <c r="CW27" s="40"/>
      <c r="CX27" s="43"/>
    </row>
    <row r="28" spans="1:102" ht="15">
      <c r="A28" s="24" t="s">
        <v>668</v>
      </c>
      <c r="B28" s="25"/>
      <c r="C28" s="81">
        <v>7.9150499999999999</v>
      </c>
      <c r="D28" s="81"/>
      <c r="F28" s="24">
        <v>40</v>
      </c>
      <c r="I28" s="27" t="s">
        <v>597</v>
      </c>
      <c r="J28" s="27" t="s">
        <v>560</v>
      </c>
      <c r="O28" s="83">
        <f t="shared" si="19"/>
        <v>316.60199999999998</v>
      </c>
      <c r="R28" s="25"/>
      <c r="T28" s="24">
        <v>1.5</v>
      </c>
      <c r="W28" s="24">
        <v>50</v>
      </c>
      <c r="Z28" s="24">
        <f t="shared" si="29"/>
        <v>75</v>
      </c>
      <c r="AV28" s="25"/>
      <c r="AW28" s="24">
        <v>22.56</v>
      </c>
      <c r="AX28" s="24">
        <v>142.22999999999999</v>
      </c>
      <c r="AY28" s="24">
        <v>383.01</v>
      </c>
      <c r="AZ28" s="24">
        <v>730.88</v>
      </c>
      <c r="BB28" s="24">
        <v>33.4</v>
      </c>
      <c r="BC28" s="24">
        <v>175.14</v>
      </c>
      <c r="BF28" s="24">
        <v>1</v>
      </c>
      <c r="BG28" s="24">
        <v>4</v>
      </c>
      <c r="BH28" s="24">
        <v>2</v>
      </c>
      <c r="BI28" s="24">
        <v>2</v>
      </c>
      <c r="BK28" s="24">
        <v>2</v>
      </c>
      <c r="BL28" s="24">
        <v>1</v>
      </c>
      <c r="BO28" s="24" t="s">
        <v>578</v>
      </c>
      <c r="BP28" s="24" t="s">
        <v>597</v>
      </c>
      <c r="BQ28" s="24" t="s">
        <v>597</v>
      </c>
      <c r="BR28" s="24" t="s">
        <v>597</v>
      </c>
      <c r="BT28" s="24" t="s">
        <v>562</v>
      </c>
      <c r="BU28" s="24" t="s">
        <v>559</v>
      </c>
      <c r="BX28" s="24">
        <f t="shared" si="30"/>
        <v>22.56</v>
      </c>
      <c r="BY28" s="24">
        <f t="shared" ref="BY28:BY31" si="32">AX28*BG28</f>
        <v>568.91999999999996</v>
      </c>
      <c r="BZ28" s="24">
        <f t="shared" ref="BZ28:BZ31" si="33">AY28*BH28</f>
        <v>766.02</v>
      </c>
      <c r="CA28" s="24">
        <f t="shared" ref="CA28:CA31" si="34">AZ28*BI28</f>
        <v>1461.76</v>
      </c>
      <c r="CC28" s="24">
        <f>BY28+BZ28+CA28</f>
        <v>2796.7</v>
      </c>
      <c r="CD28" s="24">
        <f t="shared" si="27"/>
        <v>66.8</v>
      </c>
      <c r="CE28" s="24">
        <f t="shared" si="28"/>
        <v>175.14</v>
      </c>
      <c r="CL28" s="39" t="s">
        <v>607</v>
      </c>
      <c r="CM28" s="40">
        <v>22.556000000000001</v>
      </c>
      <c r="CN28" s="40">
        <f>4*0.3756</f>
        <v>1.5024</v>
      </c>
      <c r="CO28" s="40">
        <f>2*0.74</f>
        <v>1.48</v>
      </c>
      <c r="CP28" s="46">
        <f>1*0.17</f>
        <v>0.17</v>
      </c>
      <c r="CQ28" s="47">
        <v>1.4</v>
      </c>
      <c r="CR28" s="45">
        <f>0.04</f>
        <v>0.04</v>
      </c>
      <c r="CS28" s="40">
        <f>2*0.01</f>
        <v>0.02</v>
      </c>
      <c r="CT28" s="40"/>
      <c r="CU28" s="41"/>
      <c r="CV28" s="40"/>
      <c r="CW28" s="40"/>
      <c r="CX28" s="43"/>
    </row>
    <row r="29" spans="1:102" ht="15">
      <c r="A29" s="24" t="s">
        <v>669</v>
      </c>
      <c r="B29" s="25"/>
      <c r="C29" s="81">
        <v>8.6872500000000006</v>
      </c>
      <c r="D29" s="81"/>
      <c r="F29" s="24">
        <v>32</v>
      </c>
      <c r="I29" s="27" t="s">
        <v>597</v>
      </c>
      <c r="J29" s="27" t="s">
        <v>560</v>
      </c>
      <c r="O29" s="83">
        <f t="shared" si="19"/>
        <v>277.99200000000002</v>
      </c>
      <c r="R29" s="25"/>
      <c r="T29" s="24">
        <v>1.5</v>
      </c>
      <c r="W29" s="24">
        <v>50</v>
      </c>
      <c r="Z29" s="24">
        <f t="shared" si="29"/>
        <v>75</v>
      </c>
      <c r="AV29" s="25"/>
      <c r="AW29" s="24">
        <v>22.56</v>
      </c>
      <c r="AX29" s="24">
        <v>142.22999999999999</v>
      </c>
      <c r="AY29" s="24">
        <v>383.01</v>
      </c>
      <c r="AZ29" s="24">
        <v>730.88</v>
      </c>
      <c r="BB29" s="24">
        <v>33.4</v>
      </c>
      <c r="BC29" s="24">
        <v>175.14</v>
      </c>
      <c r="BF29" s="24">
        <v>1</v>
      </c>
      <c r="BG29" s="24">
        <v>4</v>
      </c>
      <c r="BH29" s="24">
        <v>2</v>
      </c>
      <c r="BI29" s="24">
        <v>2</v>
      </c>
      <c r="BK29" s="24">
        <v>2</v>
      </c>
      <c r="BL29" s="24">
        <v>1</v>
      </c>
      <c r="BO29" s="24" t="s">
        <v>578</v>
      </c>
      <c r="BP29" s="24" t="s">
        <v>597</v>
      </c>
      <c r="BQ29" s="24" t="s">
        <v>597</v>
      </c>
      <c r="BR29" s="24" t="s">
        <v>597</v>
      </c>
      <c r="BT29" s="24" t="s">
        <v>562</v>
      </c>
      <c r="BU29" s="24" t="s">
        <v>559</v>
      </c>
      <c r="BX29" s="24">
        <f t="shared" si="30"/>
        <v>22.56</v>
      </c>
      <c r="BY29" s="24">
        <f t="shared" si="32"/>
        <v>568.91999999999996</v>
      </c>
      <c r="BZ29" s="24">
        <f t="shared" si="33"/>
        <v>766.02</v>
      </c>
      <c r="CA29" s="24">
        <f t="shared" si="34"/>
        <v>1461.76</v>
      </c>
      <c r="CC29" s="24">
        <f t="shared" ref="CC29:CC31" si="35">BY29+BZ29+CA29</f>
        <v>2796.7</v>
      </c>
      <c r="CD29" s="24">
        <f t="shared" si="27"/>
        <v>66.8</v>
      </c>
      <c r="CE29" s="24">
        <f t="shared" si="28"/>
        <v>175.14</v>
      </c>
      <c r="CL29" s="39" t="s">
        <v>609</v>
      </c>
      <c r="CM29" s="40">
        <v>22.556000000000001</v>
      </c>
      <c r="CN29" s="40"/>
      <c r="CO29" s="40"/>
      <c r="CP29" s="40"/>
      <c r="CQ29" s="41"/>
      <c r="CR29" s="40"/>
      <c r="CS29" s="40"/>
      <c r="CT29" s="40"/>
      <c r="CU29" s="41"/>
      <c r="CV29" s="40"/>
      <c r="CW29" s="40"/>
      <c r="CX29" s="43"/>
    </row>
    <row r="30" spans="1:102" ht="15.75" thickBot="1">
      <c r="A30" s="24" t="s">
        <v>670</v>
      </c>
      <c r="B30" s="25"/>
      <c r="C30" s="81">
        <v>9.4594500000000004</v>
      </c>
      <c r="D30" s="81"/>
      <c r="F30" s="24">
        <v>24</v>
      </c>
      <c r="I30" s="27" t="s">
        <v>597</v>
      </c>
      <c r="J30" s="27" t="s">
        <v>560</v>
      </c>
      <c r="O30" s="83">
        <f t="shared" si="19"/>
        <v>227.02680000000001</v>
      </c>
      <c r="R30" s="25"/>
      <c r="T30" s="24">
        <v>1.5</v>
      </c>
      <c r="W30" s="24">
        <v>50</v>
      </c>
      <c r="Z30" s="24">
        <f t="shared" si="29"/>
        <v>75</v>
      </c>
      <c r="AV30" s="25"/>
      <c r="AW30" s="24">
        <v>22.56</v>
      </c>
      <c r="AX30" s="24">
        <v>142.22999999999999</v>
      </c>
      <c r="AY30" s="24">
        <v>383.01</v>
      </c>
      <c r="AZ30" s="24">
        <v>730.88</v>
      </c>
      <c r="BB30" s="24">
        <v>33.4</v>
      </c>
      <c r="BC30" s="24">
        <v>175.14</v>
      </c>
      <c r="BF30" s="24">
        <v>1</v>
      </c>
      <c r="BG30" s="24">
        <v>4</v>
      </c>
      <c r="BH30" s="24">
        <v>2</v>
      </c>
      <c r="BI30" s="24">
        <v>2</v>
      </c>
      <c r="BK30" s="24">
        <v>2</v>
      </c>
      <c r="BL30" s="24">
        <v>1</v>
      </c>
      <c r="BO30" s="24" t="s">
        <v>578</v>
      </c>
      <c r="BP30" s="24" t="s">
        <v>597</v>
      </c>
      <c r="BQ30" s="24" t="s">
        <v>597</v>
      </c>
      <c r="BR30" s="24" t="s">
        <v>597</v>
      </c>
      <c r="BT30" s="24" t="s">
        <v>562</v>
      </c>
      <c r="BU30" s="24" t="s">
        <v>559</v>
      </c>
      <c r="BX30" s="24">
        <f t="shared" si="30"/>
        <v>22.56</v>
      </c>
      <c r="BY30" s="24">
        <f t="shared" si="32"/>
        <v>568.91999999999996</v>
      </c>
      <c r="BZ30" s="24">
        <f t="shared" si="33"/>
        <v>766.02</v>
      </c>
      <c r="CA30" s="24">
        <f t="shared" si="34"/>
        <v>1461.76</v>
      </c>
      <c r="CC30" s="24">
        <f t="shared" si="35"/>
        <v>2796.7</v>
      </c>
      <c r="CD30" s="24">
        <f t="shared" si="27"/>
        <v>66.8</v>
      </c>
      <c r="CE30" s="24">
        <f t="shared" si="28"/>
        <v>175.14</v>
      </c>
      <c r="CL30" s="48" t="s">
        <v>610</v>
      </c>
      <c r="CM30" s="49">
        <v>22.556000000000001</v>
      </c>
      <c r="CN30" s="49"/>
      <c r="CO30" s="49">
        <f>3*0.25</f>
        <v>0.75</v>
      </c>
      <c r="CP30" s="49"/>
      <c r="CQ30" s="50">
        <v>0.2</v>
      </c>
      <c r="CR30" s="49"/>
      <c r="CS30" s="49"/>
      <c r="CT30" s="49">
        <v>0.13</v>
      </c>
      <c r="CU30" s="51">
        <f>2*0.018</f>
        <v>3.5999999999999997E-2</v>
      </c>
      <c r="CV30" s="49"/>
      <c r="CW30" s="49"/>
      <c r="CX30" s="52"/>
    </row>
    <row r="31" spans="1:102" ht="15">
      <c r="A31" s="82" t="s">
        <v>671</v>
      </c>
      <c r="B31" s="25"/>
      <c r="C31" s="81">
        <v>13.33215</v>
      </c>
      <c r="D31" s="81"/>
      <c r="I31" s="27" t="s">
        <v>597</v>
      </c>
      <c r="J31" s="27" t="s">
        <v>560</v>
      </c>
      <c r="O31" s="83">
        <f t="shared" si="19"/>
        <v>0</v>
      </c>
      <c r="R31" s="25"/>
      <c r="T31" s="24">
        <v>1.5</v>
      </c>
      <c r="W31" s="24">
        <v>50</v>
      </c>
      <c r="Z31" s="24">
        <f t="shared" si="29"/>
        <v>75</v>
      </c>
      <c r="AV31" s="25"/>
      <c r="AW31" s="24">
        <v>22.56</v>
      </c>
      <c r="AX31" s="24">
        <v>142.22999999999999</v>
      </c>
      <c r="AY31" s="24">
        <v>383.01</v>
      </c>
      <c r="AZ31" s="24">
        <v>730.88</v>
      </c>
      <c r="BB31" s="24">
        <v>33.4</v>
      </c>
      <c r="BC31" s="24">
        <v>160.74</v>
      </c>
      <c r="BF31" s="24">
        <v>1</v>
      </c>
      <c r="BG31" s="24">
        <v>4</v>
      </c>
      <c r="BH31" s="24">
        <v>2</v>
      </c>
      <c r="BI31" s="24">
        <v>2</v>
      </c>
      <c r="BK31" s="24">
        <v>2</v>
      </c>
      <c r="BL31" s="24">
        <v>1</v>
      </c>
      <c r="BO31" s="24" t="s">
        <v>578</v>
      </c>
      <c r="BP31" s="24" t="s">
        <v>597</v>
      </c>
      <c r="BQ31" s="24" t="s">
        <v>597</v>
      </c>
      <c r="BR31" s="24" t="s">
        <v>597</v>
      </c>
      <c r="BT31" s="24" t="s">
        <v>562</v>
      </c>
      <c r="BU31" s="24" t="s">
        <v>559</v>
      </c>
      <c r="BX31" s="24">
        <f t="shared" si="30"/>
        <v>22.56</v>
      </c>
      <c r="BY31" s="24">
        <f t="shared" si="32"/>
        <v>568.91999999999996</v>
      </c>
      <c r="BZ31" s="24">
        <f t="shared" si="33"/>
        <v>766.02</v>
      </c>
      <c r="CA31" s="24">
        <f t="shared" si="34"/>
        <v>1461.76</v>
      </c>
      <c r="CC31" s="24">
        <f t="shared" si="35"/>
        <v>2796.7</v>
      </c>
      <c r="CD31" s="24">
        <f t="shared" si="27"/>
        <v>66.8</v>
      </c>
      <c r="CE31" s="24">
        <f t="shared" si="28"/>
        <v>160.74</v>
      </c>
    </row>
    <row r="32" spans="1:102">
      <c r="A32" s="24" t="s">
        <v>630</v>
      </c>
      <c r="B32" s="25"/>
      <c r="C32" s="81"/>
      <c r="G32" s="24">
        <v>150</v>
      </c>
      <c r="O32" s="83"/>
      <c r="R32" s="25"/>
      <c r="S32" s="24">
        <v>1.258</v>
      </c>
      <c r="V32" s="24">
        <v>6</v>
      </c>
      <c r="Y32" s="24">
        <f>S32*V32</f>
        <v>7.548</v>
      </c>
      <c r="AV32" s="25"/>
      <c r="AW32" s="24">
        <v>22.56</v>
      </c>
      <c r="BC32" s="24">
        <v>201.9</v>
      </c>
      <c r="BF32" s="24">
        <v>1</v>
      </c>
      <c r="BL32" s="24">
        <v>1</v>
      </c>
      <c r="BO32" s="24" t="s">
        <v>578</v>
      </c>
      <c r="BU32" s="24" t="s">
        <v>702</v>
      </c>
      <c r="BX32" s="24">
        <f>AW32*BF32</f>
        <v>22.56</v>
      </c>
      <c r="CC32" s="24">
        <f>Y32</f>
        <v>7.548</v>
      </c>
      <c r="CE32" s="24">
        <f t="shared" si="28"/>
        <v>201.9</v>
      </c>
    </row>
    <row r="33" spans="1:83">
      <c r="A33" s="24" t="s">
        <v>631</v>
      </c>
      <c r="B33" s="25"/>
      <c r="G33" s="24">
        <v>150</v>
      </c>
      <c r="R33" s="25"/>
      <c r="S33" s="24">
        <v>1.4890000000000001</v>
      </c>
      <c r="V33" s="24">
        <v>5</v>
      </c>
      <c r="Y33" s="24">
        <f t="shared" ref="Y33:Y37" si="36">S33*V33</f>
        <v>7.4450000000000003</v>
      </c>
      <c r="AV33" s="25"/>
      <c r="AW33" s="24">
        <v>22.56</v>
      </c>
      <c r="BC33" s="24">
        <v>199.4</v>
      </c>
      <c r="BF33" s="24">
        <v>1</v>
      </c>
      <c r="BL33" s="24">
        <v>1</v>
      </c>
      <c r="BO33" s="24" t="s">
        <v>578</v>
      </c>
      <c r="BU33" s="24" t="s">
        <v>703</v>
      </c>
      <c r="BX33" s="24">
        <f t="shared" ref="BX33:BX37" si="37">AW33*BF33</f>
        <v>22.56</v>
      </c>
      <c r="CC33" s="24">
        <f t="shared" ref="CC33:CC37" si="38">Y33</f>
        <v>7.4450000000000003</v>
      </c>
      <c r="CE33" s="24">
        <f t="shared" si="28"/>
        <v>199.4</v>
      </c>
    </row>
    <row r="34" spans="1:83">
      <c r="A34" s="24" t="s">
        <v>632</v>
      </c>
      <c r="B34" s="25"/>
      <c r="G34" s="24">
        <v>150</v>
      </c>
      <c r="R34" s="25"/>
      <c r="S34" s="24">
        <v>1.5920000000000001</v>
      </c>
      <c r="V34" s="24">
        <v>4</v>
      </c>
      <c r="Y34" s="24">
        <f t="shared" si="36"/>
        <v>6.3680000000000003</v>
      </c>
      <c r="AV34" s="25"/>
      <c r="AW34" s="24">
        <v>22.56</v>
      </c>
      <c r="BC34" s="24">
        <v>193.1</v>
      </c>
      <c r="BF34" s="24">
        <v>1</v>
      </c>
      <c r="BL34" s="24">
        <v>1</v>
      </c>
      <c r="BO34" s="24" t="s">
        <v>578</v>
      </c>
      <c r="BU34" s="24" t="s">
        <v>704</v>
      </c>
      <c r="BX34" s="24">
        <f t="shared" si="37"/>
        <v>22.56</v>
      </c>
      <c r="CC34" s="24">
        <f t="shared" si="38"/>
        <v>6.3680000000000003</v>
      </c>
      <c r="CE34" s="24">
        <f t="shared" si="28"/>
        <v>193.1</v>
      </c>
    </row>
    <row r="35" spans="1:83">
      <c r="A35" s="24" t="s">
        <v>633</v>
      </c>
      <c r="B35" s="25"/>
      <c r="G35" s="24">
        <v>100</v>
      </c>
      <c r="R35" s="25"/>
      <c r="S35" s="24">
        <v>1.258</v>
      </c>
      <c r="V35" s="24">
        <v>6</v>
      </c>
      <c r="Y35" s="24">
        <f t="shared" si="36"/>
        <v>7.548</v>
      </c>
      <c r="AV35" s="25"/>
      <c r="AW35" s="24">
        <v>22.56</v>
      </c>
      <c r="BC35" s="24">
        <v>201.9</v>
      </c>
      <c r="BF35" s="24">
        <v>1</v>
      </c>
      <c r="BL35" s="24">
        <v>1</v>
      </c>
      <c r="BO35" s="24" t="s">
        <v>578</v>
      </c>
      <c r="BU35" s="24" t="s">
        <v>705</v>
      </c>
      <c r="BX35" s="24">
        <f t="shared" si="37"/>
        <v>22.56</v>
      </c>
      <c r="CC35" s="24">
        <f t="shared" si="38"/>
        <v>7.548</v>
      </c>
      <c r="CE35" s="24">
        <f t="shared" si="28"/>
        <v>201.9</v>
      </c>
    </row>
    <row r="36" spans="1:83">
      <c r="A36" s="24" t="s">
        <v>634</v>
      </c>
      <c r="B36" s="25"/>
      <c r="G36" s="24">
        <v>100</v>
      </c>
      <c r="R36" s="25"/>
      <c r="S36" s="24">
        <v>1.4890000000000001</v>
      </c>
      <c r="V36" s="24">
        <v>5</v>
      </c>
      <c r="Y36" s="24">
        <f t="shared" si="36"/>
        <v>7.4450000000000003</v>
      </c>
      <c r="AV36" s="25"/>
      <c r="AW36" s="24">
        <v>22.56</v>
      </c>
      <c r="BC36" s="24">
        <v>199.4</v>
      </c>
      <c r="BF36" s="24">
        <v>1</v>
      </c>
      <c r="BL36" s="24">
        <v>1</v>
      </c>
      <c r="BO36" s="24" t="s">
        <v>578</v>
      </c>
      <c r="BU36" s="24" t="s">
        <v>706</v>
      </c>
      <c r="BX36" s="24">
        <f t="shared" si="37"/>
        <v>22.56</v>
      </c>
      <c r="CC36" s="24">
        <f t="shared" si="38"/>
        <v>7.4450000000000003</v>
      </c>
      <c r="CE36" s="24">
        <f t="shared" si="28"/>
        <v>199.4</v>
      </c>
    </row>
    <row r="37" spans="1:83">
      <c r="A37" s="24" t="s">
        <v>635</v>
      </c>
      <c r="B37" s="25"/>
      <c r="G37" s="24">
        <v>100</v>
      </c>
      <c r="R37" s="25"/>
      <c r="S37" s="24">
        <v>1.5920000000000001</v>
      </c>
      <c r="V37" s="24">
        <v>4</v>
      </c>
      <c r="Y37" s="24">
        <f t="shared" si="36"/>
        <v>6.3680000000000003</v>
      </c>
      <c r="AV37" s="25"/>
      <c r="AW37" s="24">
        <v>22.56</v>
      </c>
      <c r="BC37" s="24">
        <v>193.1</v>
      </c>
      <c r="BF37" s="24">
        <v>1</v>
      </c>
      <c r="BL37" s="24">
        <v>1</v>
      </c>
      <c r="BO37" s="24" t="s">
        <v>578</v>
      </c>
      <c r="BU37" s="24" t="s">
        <v>707</v>
      </c>
      <c r="BX37" s="24">
        <f t="shared" si="37"/>
        <v>22.56</v>
      </c>
      <c r="CC37" s="24">
        <f t="shared" si="38"/>
        <v>6.3680000000000003</v>
      </c>
      <c r="CE37" s="24">
        <f t="shared" si="28"/>
        <v>193.1</v>
      </c>
    </row>
    <row r="38" spans="1:83">
      <c r="A38" s="24" t="s">
        <v>636</v>
      </c>
      <c r="B38" s="25"/>
      <c r="G38" s="24">
        <v>150</v>
      </c>
      <c r="R38" s="25"/>
      <c r="S38" s="24">
        <v>1.258</v>
      </c>
      <c r="AV38" s="25"/>
      <c r="AW38" s="24">
        <v>22.56</v>
      </c>
    </row>
    <row r="39" spans="1:83">
      <c r="A39" s="24" t="s">
        <v>637</v>
      </c>
      <c r="B39" s="25"/>
      <c r="G39" s="24">
        <v>150</v>
      </c>
      <c r="R39" s="25"/>
      <c r="S39" s="24">
        <v>1.4890000000000001</v>
      </c>
      <c r="AV39" s="25"/>
      <c r="AW39" s="24">
        <v>22.56</v>
      </c>
    </row>
    <row r="40" spans="1:83">
      <c r="A40" s="24" t="s">
        <v>638</v>
      </c>
      <c r="B40" s="25"/>
      <c r="G40" s="24">
        <v>150</v>
      </c>
      <c r="R40" s="25"/>
      <c r="S40" s="24">
        <v>1.5920000000000001</v>
      </c>
      <c r="AV40" s="25"/>
      <c r="AW40" s="24">
        <v>22.56</v>
      </c>
    </row>
    <row r="41" spans="1:83">
      <c r="A41" s="24" t="s">
        <v>639</v>
      </c>
      <c r="B41" s="25"/>
      <c r="G41" s="24">
        <v>100</v>
      </c>
      <c r="R41" s="25"/>
      <c r="S41" s="24">
        <v>1.258</v>
      </c>
      <c r="AV41" s="25"/>
      <c r="AW41" s="24">
        <v>22.56</v>
      </c>
    </row>
    <row r="42" spans="1:83">
      <c r="A42" s="24" t="s">
        <v>640</v>
      </c>
      <c r="B42" s="25"/>
      <c r="G42" s="24">
        <v>100</v>
      </c>
      <c r="R42" s="25"/>
      <c r="S42" s="24">
        <v>1.4890000000000001</v>
      </c>
      <c r="AV42" s="25"/>
      <c r="AW42" s="24">
        <v>22.56</v>
      </c>
    </row>
    <row r="43" spans="1:83">
      <c r="A43" s="24" t="s">
        <v>641</v>
      </c>
      <c r="B43" s="25"/>
      <c r="G43" s="24">
        <v>100</v>
      </c>
      <c r="R43" s="25"/>
      <c r="S43" s="24">
        <v>1.5920000000000001</v>
      </c>
      <c r="AV43" s="25"/>
      <c r="AW43" s="24">
        <v>22.56</v>
      </c>
    </row>
  </sheetData>
  <mergeCells count="3">
    <mergeCell ref="CM1:CQ1"/>
    <mergeCell ref="CR1:CU1"/>
    <mergeCell ref="CV1:CX1"/>
  </mergeCells>
  <phoneticPr fontId="13"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56D19-88EF-4297-8E42-F9EF582CBE81}">
  <dimension ref="A1:BL29"/>
  <sheetViews>
    <sheetView workbookViewId="0">
      <selection activeCell="A34" sqref="A34:XFD34"/>
    </sheetView>
  </sheetViews>
  <sheetFormatPr defaultColWidth="9.140625" defaultRowHeight="12.75" outlineLevelCol="1"/>
  <cols>
    <col min="1" max="1" width="11.5703125" style="24" bestFit="1" customWidth="1"/>
    <col min="2" max="2" width="2.140625" style="24" customWidth="1"/>
    <col min="3" max="4" width="10.7109375" style="24" customWidth="1" outlineLevel="1"/>
    <col min="5" max="5" width="11.5703125" style="24" bestFit="1" customWidth="1" outlineLevel="1"/>
    <col min="6" max="6" width="10.7109375" style="24" customWidth="1" outlineLevel="1"/>
    <col min="7" max="7" width="2.140625" style="24" customWidth="1" outlineLevel="1"/>
    <col min="8" max="8" width="17.85546875" style="24" customWidth="1"/>
    <col min="9" max="9" width="2.140625" style="24" customWidth="1"/>
    <col min="10" max="28" width="17.85546875" style="24" customWidth="1"/>
    <col min="29" max="29" width="2.140625" style="24" customWidth="1"/>
    <col min="30" max="36" width="10.7109375" style="24" customWidth="1" outlineLevel="1"/>
    <col min="37" max="37" width="17.85546875" style="24" customWidth="1"/>
    <col min="38" max="38" width="2.140625" style="24" customWidth="1"/>
    <col min="39" max="45" width="10.7109375" style="24" customWidth="1" outlineLevel="1"/>
    <col min="46" max="46" width="17.85546875" style="24" customWidth="1"/>
    <col min="47" max="47" width="2.140625" style="24" customWidth="1"/>
    <col min="48" max="54" width="10.7109375" style="24" customWidth="1" outlineLevel="1"/>
    <col min="55" max="55" width="17.85546875" style="24" customWidth="1"/>
    <col min="56" max="56" width="2.140625" style="24" customWidth="1"/>
    <col min="57" max="64" width="10.7109375" style="24" customWidth="1" outlineLevel="1"/>
    <col min="65" max="65" width="17.85546875" style="24" customWidth="1"/>
    <col min="66" max="16384" width="9.140625" style="24"/>
  </cols>
  <sheetData>
    <row r="1" spans="1:63" ht="15">
      <c r="B1" s="25"/>
      <c r="C1" s="24" t="s">
        <v>567</v>
      </c>
      <c r="F1" s="24" t="s">
        <v>567</v>
      </c>
      <c r="G1" s="25"/>
      <c r="H1" s="24" t="s">
        <v>615</v>
      </c>
      <c r="I1" s="25"/>
      <c r="J1" s="24" t="s">
        <v>569</v>
      </c>
      <c r="Q1" s="24" t="s">
        <v>569</v>
      </c>
      <c r="S1" s="24" t="s">
        <v>569</v>
      </c>
      <c r="Z1" s="24" t="s">
        <v>569</v>
      </c>
      <c r="AB1" s="24" t="s">
        <v>569</v>
      </c>
      <c r="AI1" s="24" t="s">
        <v>569</v>
      </c>
      <c r="AK1" s="24" t="s">
        <v>569</v>
      </c>
      <c r="AS1" s="24" t="s">
        <v>569</v>
      </c>
      <c r="AY1" s="26"/>
      <c r="AZ1" s="135" t="s">
        <v>570</v>
      </c>
      <c r="BA1" s="135"/>
      <c r="BB1" s="135"/>
      <c r="BC1" s="135"/>
      <c r="BD1" s="135"/>
      <c r="BE1" s="136" t="s">
        <v>571</v>
      </c>
      <c r="BF1" s="136"/>
      <c r="BG1" s="136"/>
      <c r="BH1" s="136"/>
      <c r="BI1" s="135" t="s">
        <v>412</v>
      </c>
      <c r="BJ1" s="135"/>
      <c r="BK1" s="137"/>
    </row>
    <row r="2" spans="1:63" ht="15">
      <c r="B2" s="25"/>
      <c r="C2" s="24" t="s">
        <v>575</v>
      </c>
      <c r="D2" s="28"/>
      <c r="E2" s="28"/>
      <c r="F2" s="24" t="s">
        <v>575</v>
      </c>
      <c r="G2" s="25"/>
      <c r="H2" s="24" t="s">
        <v>572</v>
      </c>
      <c r="I2" s="25"/>
      <c r="J2" s="24" t="s">
        <v>572</v>
      </c>
      <c r="Q2" s="24" t="s">
        <v>572</v>
      </c>
      <c r="S2" s="24" t="s">
        <v>573</v>
      </c>
      <c r="Z2" s="24" t="s">
        <v>573</v>
      </c>
      <c r="AB2" s="24" t="s">
        <v>574</v>
      </c>
      <c r="AI2" s="24" t="s">
        <v>574</v>
      </c>
      <c r="AK2" s="24" t="s">
        <v>576</v>
      </c>
      <c r="AS2" s="24" t="s">
        <v>576</v>
      </c>
      <c r="AY2" s="29" t="s">
        <v>577</v>
      </c>
      <c r="AZ2" s="30" t="s">
        <v>578</v>
      </c>
      <c r="BA2" s="30" t="s">
        <v>579</v>
      </c>
      <c r="BB2" s="30" t="s">
        <v>580</v>
      </c>
      <c r="BC2" s="30" t="s">
        <v>581</v>
      </c>
      <c r="BD2" s="31" t="s">
        <v>582</v>
      </c>
      <c r="BE2" s="30" t="s">
        <v>583</v>
      </c>
      <c r="BF2" s="30" t="s">
        <v>584</v>
      </c>
      <c r="BG2" s="30" t="s">
        <v>585</v>
      </c>
      <c r="BH2" s="32" t="s">
        <v>586</v>
      </c>
      <c r="BI2" s="33" t="s">
        <v>587</v>
      </c>
      <c r="BJ2" s="30" t="s">
        <v>588</v>
      </c>
      <c r="BK2" s="34" t="s">
        <v>589</v>
      </c>
    </row>
    <row r="3" spans="1:63" ht="13.5" thickBot="1">
      <c r="B3" s="25"/>
      <c r="C3" s="35" t="s">
        <v>597</v>
      </c>
      <c r="D3" s="35" t="s">
        <v>565</v>
      </c>
      <c r="E3" s="35" t="s">
        <v>726</v>
      </c>
      <c r="F3" s="36"/>
      <c r="G3" s="37"/>
      <c r="I3" s="37"/>
      <c r="J3" s="38" t="s">
        <v>594</v>
      </c>
      <c r="K3" s="35" t="s">
        <v>579</v>
      </c>
      <c r="L3" s="38" t="s">
        <v>595</v>
      </c>
      <c r="M3" s="35" t="s">
        <v>580</v>
      </c>
      <c r="N3" s="38" t="s">
        <v>596</v>
      </c>
      <c r="O3" s="35" t="s">
        <v>581</v>
      </c>
      <c r="P3" s="35" t="s">
        <v>582</v>
      </c>
      <c r="S3" s="38" t="s">
        <v>594</v>
      </c>
      <c r="T3" s="35" t="s">
        <v>579</v>
      </c>
      <c r="U3" s="38" t="s">
        <v>595</v>
      </c>
      <c r="V3" s="35" t="s">
        <v>580</v>
      </c>
      <c r="W3" s="38" t="s">
        <v>596</v>
      </c>
      <c r="X3" s="35" t="s">
        <v>581</v>
      </c>
      <c r="Y3" s="35" t="s">
        <v>582</v>
      </c>
      <c r="AB3" s="38" t="s">
        <v>594</v>
      </c>
      <c r="AC3" s="35" t="s">
        <v>579</v>
      </c>
      <c r="AD3" s="38" t="s">
        <v>595</v>
      </c>
      <c r="AE3" s="35" t="s">
        <v>580</v>
      </c>
      <c r="AF3" s="38" t="s">
        <v>596</v>
      </c>
      <c r="AG3" s="35" t="s">
        <v>581</v>
      </c>
      <c r="AH3" s="35" t="s">
        <v>582</v>
      </c>
      <c r="AK3" s="38" t="s">
        <v>594</v>
      </c>
      <c r="AL3" s="35" t="s">
        <v>579</v>
      </c>
      <c r="AM3" s="38" t="s">
        <v>595</v>
      </c>
      <c r="AN3" s="35" t="s">
        <v>580</v>
      </c>
      <c r="AO3" s="38" t="s">
        <v>596</v>
      </c>
      <c r="AP3" s="38" t="s">
        <v>597</v>
      </c>
      <c r="AQ3" s="35" t="s">
        <v>581</v>
      </c>
      <c r="AR3" s="35" t="s">
        <v>582</v>
      </c>
      <c r="AY3" s="39" t="s">
        <v>598</v>
      </c>
      <c r="AZ3" s="40">
        <v>22.556000000000001</v>
      </c>
      <c r="BA3" s="40"/>
      <c r="BB3" s="40"/>
      <c r="BC3" s="40"/>
      <c r="BD3" s="41">
        <v>0.1</v>
      </c>
      <c r="BE3" s="40"/>
      <c r="BF3" s="40"/>
      <c r="BG3" s="40">
        <v>0.2</v>
      </c>
      <c r="BH3" s="42">
        <f>2*0.02</f>
        <v>0.04</v>
      </c>
      <c r="BI3" s="40"/>
      <c r="BJ3" s="40"/>
      <c r="BK3" s="43"/>
    </row>
    <row r="4" spans="1:63" ht="15">
      <c r="A4" s="24" t="s">
        <v>715</v>
      </c>
      <c r="B4" s="25"/>
      <c r="C4" s="24">
        <f>C27</f>
        <v>1278</v>
      </c>
      <c r="D4" s="24">
        <f>C28</f>
        <v>52</v>
      </c>
      <c r="E4" s="24">
        <f>C29</f>
        <v>81</v>
      </c>
      <c r="G4" s="25"/>
      <c r="I4" s="25"/>
      <c r="J4" s="24">
        <v>22.56</v>
      </c>
      <c r="N4" s="24">
        <v>257.38</v>
      </c>
      <c r="P4" s="24">
        <v>137</v>
      </c>
      <c r="S4" s="24">
        <v>1</v>
      </c>
      <c r="W4" s="24">
        <v>1</v>
      </c>
      <c r="Y4" s="24">
        <v>1</v>
      </c>
      <c r="AB4" s="24" t="s">
        <v>578</v>
      </c>
      <c r="AF4" s="24" t="s">
        <v>597</v>
      </c>
      <c r="AH4" s="24" t="s">
        <v>559</v>
      </c>
      <c r="AK4" s="24">
        <f>J4*S4</f>
        <v>22.56</v>
      </c>
      <c r="AO4" s="24">
        <f t="shared" ref="AO4:AO5" si="0">N4*W4</f>
        <v>257.38</v>
      </c>
      <c r="AP4" s="24">
        <f>AO4</f>
        <v>257.38</v>
      </c>
      <c r="AQ4" s="24">
        <f t="shared" ref="AQ4:AR5" si="1">O4*X4</f>
        <v>0</v>
      </c>
      <c r="AR4" s="24">
        <f t="shared" si="1"/>
        <v>137</v>
      </c>
      <c r="AY4" s="39" t="s">
        <v>601</v>
      </c>
      <c r="AZ4" s="40">
        <v>22.556000000000001</v>
      </c>
      <c r="BA4" s="40"/>
      <c r="BB4" s="40"/>
      <c r="BC4" s="40"/>
      <c r="BD4" s="41"/>
      <c r="BE4" s="40"/>
      <c r="BF4" s="40"/>
      <c r="BG4" s="40"/>
      <c r="BH4" s="41"/>
      <c r="BI4" s="44">
        <v>1.1000000000000001</v>
      </c>
      <c r="BJ4" s="40"/>
      <c r="BK4" s="43"/>
    </row>
    <row r="5" spans="1:63" ht="15">
      <c r="A5" s="24" t="s">
        <v>716</v>
      </c>
      <c r="B5" s="25"/>
      <c r="C5" s="24">
        <f>F27</f>
        <v>1054</v>
      </c>
      <c r="D5" s="24">
        <f>F28</f>
        <v>52</v>
      </c>
      <c r="G5" s="25"/>
      <c r="I5" s="25"/>
      <c r="J5" s="24">
        <v>22.56</v>
      </c>
      <c r="N5" s="24">
        <v>257.38</v>
      </c>
      <c r="P5" s="24">
        <v>135</v>
      </c>
      <c r="S5" s="24">
        <v>1</v>
      </c>
      <c r="W5" s="24">
        <v>1</v>
      </c>
      <c r="Y5" s="24">
        <v>1</v>
      </c>
      <c r="AB5" s="24" t="s">
        <v>578</v>
      </c>
      <c r="AF5" s="24" t="s">
        <v>597</v>
      </c>
      <c r="AH5" s="24" t="s">
        <v>559</v>
      </c>
      <c r="AK5" s="24">
        <f t="shared" ref="AK5" si="2">J5*S5</f>
        <v>22.56</v>
      </c>
      <c r="AO5" s="24">
        <f t="shared" si="0"/>
        <v>257.38</v>
      </c>
      <c r="AP5" s="24">
        <f>AO5</f>
        <v>257.38</v>
      </c>
      <c r="AQ5" s="24">
        <f t="shared" si="1"/>
        <v>0</v>
      </c>
      <c r="AR5" s="24">
        <f t="shared" si="1"/>
        <v>135</v>
      </c>
      <c r="AY5" s="39" t="s">
        <v>603</v>
      </c>
      <c r="AZ5" s="40">
        <v>22.556000000000001</v>
      </c>
      <c r="BA5" s="40"/>
      <c r="BB5" s="40"/>
      <c r="BC5" s="40"/>
      <c r="BD5" s="41"/>
      <c r="BE5" s="40"/>
      <c r="BF5" s="40"/>
      <c r="BG5" s="40"/>
      <c r="BH5" s="41"/>
      <c r="BI5" s="45">
        <v>0.624</v>
      </c>
      <c r="BJ5" s="40"/>
      <c r="BK5" s="43"/>
    </row>
    <row r="11" spans="1:63">
      <c r="A11" s="103" t="s">
        <v>117</v>
      </c>
      <c r="E11" s="103" t="s">
        <v>729</v>
      </c>
    </row>
    <row r="12" spans="1:63">
      <c r="A12" s="24" t="s">
        <v>717</v>
      </c>
      <c r="C12" s="24">
        <v>489</v>
      </c>
      <c r="E12" s="24" t="s">
        <v>717</v>
      </c>
      <c r="F12" s="24">
        <v>561</v>
      </c>
    </row>
    <row r="13" spans="1:63">
      <c r="A13" s="24" t="s">
        <v>718</v>
      </c>
      <c r="C13" s="24">
        <v>143</v>
      </c>
      <c r="E13" s="24" t="s">
        <v>718</v>
      </c>
      <c r="F13" s="24">
        <v>16</v>
      </c>
    </row>
    <row r="14" spans="1:63">
      <c r="A14" s="24" t="s">
        <v>719</v>
      </c>
      <c r="C14" s="24">
        <v>77</v>
      </c>
      <c r="E14" s="24" t="s">
        <v>719</v>
      </c>
      <c r="F14" s="24">
        <v>30</v>
      </c>
    </row>
    <row r="15" spans="1:63">
      <c r="A15" s="24" t="s">
        <v>720</v>
      </c>
      <c r="C15" s="24">
        <v>36</v>
      </c>
      <c r="E15" s="24" t="s">
        <v>720</v>
      </c>
      <c r="F15" s="24">
        <v>291</v>
      </c>
    </row>
    <row r="16" spans="1:63">
      <c r="A16" s="24" t="s">
        <v>721</v>
      </c>
      <c r="C16" s="24">
        <v>258</v>
      </c>
      <c r="E16" s="24" t="s">
        <v>721</v>
      </c>
      <c r="F16" s="24">
        <v>122</v>
      </c>
    </row>
    <row r="17" spans="1:6">
      <c r="A17" s="24" t="s">
        <v>722</v>
      </c>
      <c r="C17" s="24">
        <v>30</v>
      </c>
      <c r="E17" s="24" t="s">
        <v>722</v>
      </c>
      <c r="F17" s="24">
        <v>34</v>
      </c>
    </row>
    <row r="18" spans="1:6">
      <c r="A18" s="24" t="s">
        <v>723</v>
      </c>
      <c r="C18" s="24">
        <v>72</v>
      </c>
      <c r="E18" s="24" t="s">
        <v>727</v>
      </c>
      <c r="F18" s="24">
        <v>8</v>
      </c>
    </row>
    <row r="19" spans="1:6">
      <c r="A19" s="24" t="s">
        <v>724</v>
      </c>
      <c r="C19" s="24">
        <v>16</v>
      </c>
      <c r="E19" s="24" t="s">
        <v>600</v>
      </c>
      <c r="F19" s="24">
        <v>44</v>
      </c>
    </row>
    <row r="20" spans="1:6">
      <c r="A20" s="24" t="s">
        <v>725</v>
      </c>
      <c r="C20" s="24">
        <v>157</v>
      </c>
      <c r="E20" s="24" t="s">
        <v>728</v>
      </c>
    </row>
    <row r="21" spans="1:6">
      <c r="A21" s="24" t="s">
        <v>726</v>
      </c>
      <c r="C21" s="24">
        <v>81</v>
      </c>
    </row>
    <row r="22" spans="1:6">
      <c r="A22" s="24" t="s">
        <v>727</v>
      </c>
      <c r="C22" s="24">
        <v>8</v>
      </c>
    </row>
    <row r="23" spans="1:6">
      <c r="A23" s="24" t="s">
        <v>600</v>
      </c>
      <c r="C23" s="24">
        <v>44</v>
      </c>
    </row>
    <row r="24" spans="1:6">
      <c r="A24" s="24" t="s">
        <v>728</v>
      </c>
    </row>
    <row r="27" spans="1:6">
      <c r="A27" s="24" t="s">
        <v>597</v>
      </c>
      <c r="C27" s="24">
        <f>SUM(C12:C20)</f>
        <v>1278</v>
      </c>
      <c r="F27" s="24">
        <f>SUM(F12:F17)</f>
        <v>1054</v>
      </c>
    </row>
    <row r="28" spans="1:6">
      <c r="A28" s="24" t="s">
        <v>565</v>
      </c>
      <c r="C28" s="24">
        <f>SUM(C22:C23)</f>
        <v>52</v>
      </c>
      <c r="F28" s="24">
        <f>SUM(F18:F19)</f>
        <v>52</v>
      </c>
    </row>
    <row r="29" spans="1:6">
      <c r="A29" s="24" t="s">
        <v>726</v>
      </c>
      <c r="C29" s="24">
        <f>C21</f>
        <v>81</v>
      </c>
    </row>
  </sheetData>
  <mergeCells count="3">
    <mergeCell ref="AZ1:BD1"/>
    <mergeCell ref="BE1:BH1"/>
    <mergeCell ref="BI1:BK1"/>
  </mergeCells>
  <phoneticPr fontId="13" type="noConversion"/>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6d9044e5-5d32-47b2-a3c9-bf5eba5a2a5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002E0FC5124C64EB365ECC3CB8D9A39" ma:contentTypeVersion="18" ma:contentTypeDescription="Create a new document." ma:contentTypeScope="" ma:versionID="f423f2cee3098ec0fe4608dc1d8c7aa8">
  <xsd:schema xmlns:xsd="http://www.w3.org/2001/XMLSchema" xmlns:xs="http://www.w3.org/2001/XMLSchema" xmlns:p="http://schemas.microsoft.com/office/2006/metadata/properties" xmlns:ns3="6d9044e5-5d32-47b2-a3c9-bf5eba5a2a58" xmlns:ns4="a6cb0764-cddc-480e-baf7-33828f7359ca" targetNamespace="http://schemas.microsoft.com/office/2006/metadata/properties" ma:root="true" ma:fieldsID="d8cda208fbffcd0268fdfe224a39e70c" ns3:_="" ns4:_="">
    <xsd:import namespace="6d9044e5-5d32-47b2-a3c9-bf5eba5a2a58"/>
    <xsd:import namespace="a6cb0764-cddc-480e-baf7-33828f7359c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Locatio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9044e5-5d32-47b2-a3c9-bf5eba5a2a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description="" ma:indexed="true"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cb0764-cddc-480e-baf7-33828f7359c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70963C-B4D6-426D-A7E9-0D0FC11EBDB5}">
  <ds:schemaRefs>
    <ds:schemaRef ds:uri="http://schemas.microsoft.com/sharepoint/v3/contenttype/forms"/>
  </ds:schemaRefs>
</ds:datastoreItem>
</file>

<file path=customXml/itemProps2.xml><?xml version="1.0" encoding="utf-8"?>
<ds:datastoreItem xmlns:ds="http://schemas.openxmlformats.org/officeDocument/2006/customXml" ds:itemID="{2E5E3C26-8FFF-4213-8DCB-338D00D0471C}">
  <ds:schemaRefs>
    <ds:schemaRef ds:uri="a6cb0764-cddc-480e-baf7-33828f7359ca"/>
    <ds:schemaRef ds:uri="http://www.w3.org/XML/1998/namespace"/>
    <ds:schemaRef ds:uri="http://schemas.microsoft.com/office/2006/metadata/properties"/>
    <ds:schemaRef ds:uri="http://schemas.microsoft.com/office/2006/documentManagement/types"/>
    <ds:schemaRef ds:uri="http://purl.org/dc/terms/"/>
    <ds:schemaRef ds:uri="http://purl.org/dc/elements/1.1/"/>
    <ds:schemaRef ds:uri="http://purl.org/dc/dcmitype/"/>
    <ds:schemaRef ds:uri="http://schemas.microsoft.com/office/infopath/2007/PartnerControls"/>
    <ds:schemaRef ds:uri="http://schemas.openxmlformats.org/package/2006/metadata/core-properties"/>
    <ds:schemaRef ds:uri="6d9044e5-5d32-47b2-a3c9-bf5eba5a2a58"/>
  </ds:schemaRefs>
</ds:datastoreItem>
</file>

<file path=customXml/itemProps3.xml><?xml version="1.0" encoding="utf-8"?>
<ds:datastoreItem xmlns:ds="http://schemas.openxmlformats.org/officeDocument/2006/customXml" ds:itemID="{49FBF9B3-3330-4534-84CD-055A69EA87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9044e5-5d32-47b2-a3c9-bf5eba5a2a58"/>
    <ds:schemaRef ds:uri="a6cb0764-cddc-480e-baf7-33828f7359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2807411-b497-4361-9ada-fcbcf7204676}" enabled="0" method="" siteId="{42807411-b497-4361-9ada-fcbcf7204676}"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Single input </vt:lpstr>
      <vt:lpstr>Batch input</vt:lpstr>
      <vt:lpstr>Batch details</vt:lpstr>
      <vt:lpstr>Data</vt:lpstr>
      <vt:lpstr>LookUp Roll&amp;Packs</vt:lpstr>
      <vt:lpstr>LookUp Gelpacks</vt:lpstr>
      <vt:lpstr>LookUp ExBox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Methorst, Erwin</dc:creator>
  <cp:lastModifiedBy>Methorst, Erwin</cp:lastModifiedBy>
  <dcterms:created xsi:type="dcterms:W3CDTF">2025-01-21T09:25:26Z</dcterms:created>
  <dcterms:modified xsi:type="dcterms:W3CDTF">2026-01-06T12:57:07Z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0x0101000002E0FC5124C64EB365ECC3CB8D9A39</vt:lpwstr>
  </property>
</Properties>
</file>